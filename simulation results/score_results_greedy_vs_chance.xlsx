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orderius-my.sharepoint.com/personal/143187_corderius_nl/Documents/5e 6e jaar PWS/PWS repository/simulation results/"/>
    </mc:Choice>
  </mc:AlternateContent>
  <xr:revisionPtr revIDLastSave="17" documentId="8_{00791B10-877D-4FC0-A0AC-534E53E3F4C7}" xr6:coauthVersionLast="47" xr6:coauthVersionMax="47" xr10:uidLastSave="{05CAB479-DFC4-48C5-865F-2424EABCA35E}"/>
  <bookViews>
    <workbookView xWindow="-120" yWindow="-120" windowWidth="20730" windowHeight="11040" activeTab="1" xr2:uid="{00000000-000D-0000-FFFF-FFFF00000000}"/>
  </bookViews>
  <sheets>
    <sheet name="Grafiek1" sheetId="3" r:id="rId1"/>
    <sheet name="Blad1" sheetId="1" r:id="rId2"/>
    <sheet name="Blad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O1" i="1" l="1"/>
  <c r="ABI1" i="1"/>
  <c r="ABC1" i="1"/>
  <c r="AAW1" i="1"/>
  <c r="AAQ1" i="1"/>
  <c r="AAK1" i="1"/>
  <c r="AAE1" i="1"/>
  <c r="ZY1" i="1"/>
  <c r="ZS1" i="1"/>
  <c r="ZM1" i="1"/>
  <c r="ZG1" i="1"/>
  <c r="ZA1" i="1"/>
  <c r="YU1" i="1"/>
  <c r="YO1" i="1"/>
  <c r="YI1" i="1"/>
  <c r="YC1" i="1"/>
  <c r="XW1" i="1"/>
  <c r="XQ1" i="1"/>
  <c r="XK1" i="1"/>
  <c r="XE1" i="1"/>
  <c r="WY1" i="1"/>
  <c r="WS1" i="1"/>
  <c r="WM1" i="1"/>
  <c r="WG1" i="1"/>
  <c r="WA1" i="1"/>
  <c r="VU1" i="1"/>
  <c r="VO1" i="1"/>
  <c r="VI1" i="1"/>
  <c r="VC1" i="1"/>
  <c r="UW1" i="1"/>
  <c r="UQ1" i="1"/>
  <c r="UK1" i="1"/>
  <c r="UE1" i="1"/>
  <c r="TY1" i="1"/>
  <c r="TS1" i="1"/>
  <c r="TM1" i="1"/>
  <c r="TG1" i="1"/>
  <c r="TA1" i="1"/>
  <c r="SU1" i="1"/>
  <c r="SO1" i="1"/>
  <c r="SI1" i="1"/>
  <c r="SC1" i="1"/>
  <c r="RW1" i="1"/>
  <c r="RQ1" i="1"/>
  <c r="RK1" i="1"/>
  <c r="RE1" i="1"/>
  <c r="QY1" i="1"/>
  <c r="QS1" i="1"/>
  <c r="QM1" i="1"/>
  <c r="QG1" i="1"/>
  <c r="QA1" i="1"/>
  <c r="PU1" i="1"/>
  <c r="PO1" i="1"/>
  <c r="PI1" i="1"/>
  <c r="PC1" i="1"/>
  <c r="OW1" i="1"/>
  <c r="OQ1" i="1"/>
  <c r="OK1" i="1"/>
  <c r="OE1" i="1"/>
  <c r="NY1" i="1"/>
  <c r="NS1" i="1"/>
  <c r="NM1" i="1"/>
  <c r="NG1" i="1"/>
  <c r="NA1" i="1"/>
  <c r="MU1" i="1"/>
  <c r="MO1" i="1"/>
  <c r="MI1" i="1"/>
  <c r="MC1" i="1"/>
  <c r="LW1" i="1"/>
  <c r="LQ1" i="1"/>
  <c r="LK1" i="1"/>
  <c r="LE1" i="1"/>
  <c r="KY1" i="1"/>
  <c r="KS1" i="1"/>
  <c r="KM1" i="1"/>
  <c r="KG1" i="1"/>
  <c r="KA1" i="1"/>
  <c r="JU1" i="1"/>
  <c r="JO1" i="1"/>
  <c r="JI1" i="1"/>
  <c r="JC1" i="1"/>
  <c r="IW1" i="1"/>
  <c r="IQ1" i="1"/>
  <c r="IK1" i="1"/>
  <c r="IE1" i="1"/>
  <c r="HY1" i="1"/>
  <c r="HS1" i="1"/>
  <c r="HM1" i="1"/>
  <c r="HG1" i="1"/>
  <c r="HA1" i="1"/>
  <c r="GU1" i="1"/>
  <c r="GO1" i="1"/>
  <c r="GI1" i="1"/>
  <c r="GC1" i="1"/>
  <c r="FW1" i="1"/>
  <c r="FQ1" i="1"/>
  <c r="FK1" i="1"/>
  <c r="FE1" i="1"/>
  <c r="EY1" i="1"/>
  <c r="ES1" i="1"/>
  <c r="EM1" i="1"/>
  <c r="EG1" i="1"/>
  <c r="EA1" i="1"/>
  <c r="DU1" i="1"/>
  <c r="DO1" i="1"/>
  <c r="DI1" i="1"/>
  <c r="DC1" i="1"/>
  <c r="CW1" i="1"/>
  <c r="CQ1" i="1"/>
  <c r="CK1" i="1"/>
  <c r="CE1" i="1"/>
  <c r="BY1" i="1"/>
  <c r="BS1" i="1"/>
  <c r="BM1" i="1"/>
  <c r="BG1" i="1"/>
  <c r="BA1" i="1"/>
  <c r="AU1" i="1"/>
  <c r="AO1" i="1"/>
  <c r="AI1" i="1"/>
  <c r="AC1" i="1"/>
  <c r="W1" i="1"/>
  <c r="Q1" i="1"/>
  <c r="K1" i="1"/>
  <c r="E1" i="1"/>
  <c r="J51" i="1"/>
  <c r="J50" i="1"/>
  <c r="E62" i="1"/>
  <c r="E27" i="1"/>
  <c r="NM27" i="1"/>
  <c r="NN27" i="1" a="1"/>
  <c r="NN27" i="1"/>
  <c r="NL27" i="1" s="1" a="1"/>
  <c r="NL27" i="1" s="1"/>
  <c r="NO27" i="1" s="1"/>
  <c r="NS27" i="1"/>
  <c r="NT27" i="1" a="1"/>
  <c r="NT27" i="1"/>
  <c r="NY27" i="1"/>
  <c r="NZ27" i="1" a="1"/>
  <c r="NZ27" i="1" s="1"/>
  <c r="OE27" i="1"/>
  <c r="OF27" i="1" a="1"/>
  <c r="OF27" i="1" s="1"/>
  <c r="OK27" i="1"/>
  <c r="OL27" i="1" a="1"/>
  <c r="OL27" i="1" s="1"/>
  <c r="OQ27" i="1"/>
  <c r="OR27" i="1" a="1"/>
  <c r="OR27" i="1" s="1"/>
  <c r="OW27" i="1"/>
  <c r="OX27" i="1" a="1"/>
  <c r="OX27" i="1" s="1"/>
  <c r="PC27" i="1"/>
  <c r="PD27" i="1" a="1"/>
  <c r="PD27" i="1" s="1"/>
  <c r="PI27" i="1"/>
  <c r="PJ27" i="1" a="1"/>
  <c r="PJ27" i="1" s="1"/>
  <c r="PO27" i="1"/>
  <c r="PP27" i="1" a="1"/>
  <c r="PP27" i="1" s="1"/>
  <c r="PU27" i="1"/>
  <c r="PV27" i="1" a="1"/>
  <c r="PV27" i="1" s="1"/>
  <c r="PT27" i="1" s="1" a="1"/>
  <c r="PT27" i="1" s="1"/>
  <c r="PW27" i="1" s="1"/>
  <c r="QA27" i="1"/>
  <c r="QB27" i="1" a="1"/>
  <c r="QB27" i="1" s="1"/>
  <c r="QG27" i="1"/>
  <c r="QH27" i="1" a="1"/>
  <c r="QH27" i="1" s="1"/>
  <c r="QF27" i="1" s="1" a="1"/>
  <c r="QF27" i="1" s="1"/>
  <c r="QI27" i="1" s="1"/>
  <c r="QM27" i="1"/>
  <c r="QN27" i="1" a="1"/>
  <c r="QN27" i="1" s="1"/>
  <c r="QS27" i="1"/>
  <c r="QT27" i="1" a="1"/>
  <c r="QT27" i="1" s="1"/>
  <c r="QY27" i="1"/>
  <c r="QZ27" i="1" a="1"/>
  <c r="QZ27" i="1" s="1"/>
  <c r="RE27" i="1"/>
  <c r="RF27" i="1" a="1"/>
  <c r="RF27" i="1" s="1"/>
  <c r="RK27" i="1"/>
  <c r="RL27" i="1" a="1"/>
  <c r="RL27" i="1" s="1"/>
  <c r="RQ27" i="1"/>
  <c r="RR27" i="1" a="1"/>
  <c r="RR27" i="1" s="1"/>
  <c r="RW27" i="1"/>
  <c r="RX27" i="1" a="1"/>
  <c r="RX27" i="1" s="1"/>
  <c r="SC27" i="1"/>
  <c r="SD27" i="1" a="1"/>
  <c r="SD27" i="1" s="1"/>
  <c r="SI27" i="1"/>
  <c r="SJ27" i="1" a="1"/>
  <c r="SJ27" i="1" s="1"/>
  <c r="SO27" i="1"/>
  <c r="SP27" i="1" a="1"/>
  <c r="SP27" i="1" s="1"/>
  <c r="SU27" i="1"/>
  <c r="SV27" i="1" a="1"/>
  <c r="SV27" i="1" s="1"/>
  <c r="TA27" i="1"/>
  <c r="TB27" i="1" a="1"/>
  <c r="TB27" i="1" s="1"/>
  <c r="SZ27" i="1" s="1" a="1"/>
  <c r="SZ27" i="1" s="1"/>
  <c r="TC27" i="1" s="1"/>
  <c r="TG27" i="1"/>
  <c r="TH27" i="1" a="1"/>
  <c r="TH27" i="1" s="1"/>
  <c r="TM27" i="1"/>
  <c r="TN27" i="1" a="1"/>
  <c r="TN27" i="1"/>
  <c r="TS27" i="1"/>
  <c r="TT27" i="1" a="1"/>
  <c r="TT27" i="1" s="1"/>
  <c r="TY27" i="1"/>
  <c r="TZ27" i="1" a="1"/>
  <c r="TZ27" i="1" s="1"/>
  <c r="TX27" i="1" s="1" a="1"/>
  <c r="TX27" i="1" s="1"/>
  <c r="UA27" i="1" s="1"/>
  <c r="UE27" i="1"/>
  <c r="UF27" i="1" a="1"/>
  <c r="UF27" i="1" s="1"/>
  <c r="UK27" i="1"/>
  <c r="UL27" i="1" a="1"/>
  <c r="UL27" i="1" s="1"/>
  <c r="UJ27" i="1" s="1" a="1"/>
  <c r="UJ27" i="1" s="1"/>
  <c r="UM27" i="1" s="1"/>
  <c r="UQ27" i="1"/>
  <c r="UR27" i="1" a="1"/>
  <c r="UR27" i="1" s="1"/>
  <c r="UW27" i="1"/>
  <c r="UX27" i="1" a="1"/>
  <c r="UX27" i="1" s="1"/>
  <c r="VC27" i="1"/>
  <c r="VD27" i="1" a="1"/>
  <c r="VD27" i="1" s="1"/>
  <c r="VI27" i="1"/>
  <c r="VJ27" i="1" a="1"/>
  <c r="VJ27" i="1" s="1"/>
  <c r="VO27" i="1"/>
  <c r="VP27" i="1" a="1"/>
  <c r="VP27" i="1" s="1"/>
  <c r="VU27" i="1"/>
  <c r="VV27" i="1" a="1"/>
  <c r="VV27" i="1" s="1"/>
  <c r="VT27" i="1" s="1" a="1"/>
  <c r="VT27" i="1" s="1"/>
  <c r="VW27" i="1" s="1"/>
  <c r="WA27" i="1"/>
  <c r="WB27" i="1" a="1"/>
  <c r="WB27" i="1" s="1"/>
  <c r="WG27" i="1"/>
  <c r="WH27" i="1" a="1"/>
  <c r="WH27" i="1" s="1"/>
  <c r="WF27" i="1" s="1" a="1"/>
  <c r="WF27" i="1" s="1"/>
  <c r="WI27" i="1" s="1"/>
  <c r="WM27" i="1"/>
  <c r="WN27" i="1" a="1"/>
  <c r="WN27" i="1" s="1"/>
  <c r="WS27" i="1"/>
  <c r="WT27" i="1" a="1"/>
  <c r="WT27" i="1" s="1"/>
  <c r="WY27" i="1"/>
  <c r="WZ27" i="1" a="1"/>
  <c r="WZ27" i="1"/>
  <c r="XE27" i="1"/>
  <c r="XF27" i="1" a="1"/>
  <c r="XF27" i="1" s="1"/>
  <c r="XK27" i="1"/>
  <c r="XL27" i="1" a="1"/>
  <c r="XL27" i="1" s="1"/>
  <c r="XQ27" i="1"/>
  <c r="XR27" i="1" a="1"/>
  <c r="XR27" i="1" s="1"/>
  <c r="XW27" i="1"/>
  <c r="XX27" i="1" a="1"/>
  <c r="XX27" i="1" s="1"/>
  <c r="YC27" i="1"/>
  <c r="YD27" i="1" a="1"/>
  <c r="YD27" i="1" s="1"/>
  <c r="YI27" i="1"/>
  <c r="YJ27" i="1" a="1"/>
  <c r="YJ27" i="1" s="1"/>
  <c r="YO27" i="1"/>
  <c r="YP27" i="1" a="1"/>
  <c r="YP27" i="1"/>
  <c r="YU27" i="1"/>
  <c r="YV27" i="1" a="1"/>
  <c r="YV27" i="1" s="1"/>
  <c r="ZA27" i="1"/>
  <c r="ZB27" i="1" a="1"/>
  <c r="ZB27" i="1" s="1"/>
  <c r="ZG27" i="1"/>
  <c r="ZH27" i="1" a="1"/>
  <c r="ZH27" i="1" s="1"/>
  <c r="ZM27" i="1"/>
  <c r="ZN27" i="1" a="1"/>
  <c r="ZN27" i="1" s="1"/>
  <c r="ZS27" i="1"/>
  <c r="ZT27" i="1" a="1"/>
  <c r="ZT27" i="1" s="1"/>
  <c r="ZY27" i="1"/>
  <c r="ZZ27" i="1" a="1"/>
  <c r="ZZ27" i="1" s="1"/>
  <c r="AAE27" i="1"/>
  <c r="AAF27" i="1" a="1"/>
  <c r="AAF27" i="1" s="1"/>
  <c r="AAK27" i="1"/>
  <c r="AAL27" i="1" a="1"/>
  <c r="AAL27" i="1" s="1"/>
  <c r="AAM27" i="1" s="1"/>
  <c r="AAQ27" i="1"/>
  <c r="AAR27" i="1" a="1"/>
  <c r="AAR27" i="1" s="1"/>
  <c r="AAW27" i="1"/>
  <c r="AAX27" i="1" a="1"/>
  <c r="AAX27" i="1" s="1"/>
  <c r="ABC27" i="1"/>
  <c r="ABD27" i="1" a="1"/>
  <c r="ABD27" i="1" s="1"/>
  <c r="ABI27" i="1"/>
  <c r="ABJ27" i="1" a="1"/>
  <c r="ABJ27" i="1" s="1"/>
  <c r="ABO27" i="1"/>
  <c r="ABP27" i="1" a="1"/>
  <c r="ABP27" i="1" s="1"/>
  <c r="Q27" i="1"/>
  <c r="R27" i="1" a="1"/>
  <c r="R27" i="1"/>
  <c r="W27" i="1"/>
  <c r="X27" i="1" a="1"/>
  <c r="X27" i="1" s="1"/>
  <c r="AC27" i="1"/>
  <c r="AD27" i="1" a="1"/>
  <c r="AD27" i="1" s="1"/>
  <c r="AB27" i="1" s="1" a="1"/>
  <c r="AB27" i="1" s="1"/>
  <c r="AE27" i="1" s="1"/>
  <c r="AI27" i="1"/>
  <c r="AJ27" i="1" a="1"/>
  <c r="AJ27" i="1" s="1"/>
  <c r="AO27" i="1"/>
  <c r="AP27" i="1" a="1"/>
  <c r="AP27" i="1" s="1"/>
  <c r="AN27" i="1" s="1" a="1"/>
  <c r="AN27" i="1" s="1"/>
  <c r="AQ27" i="1" s="1"/>
  <c r="AU27" i="1"/>
  <c r="AV27" i="1" a="1"/>
  <c r="AV27" i="1" s="1"/>
  <c r="BA27" i="1"/>
  <c r="BB27" i="1" a="1"/>
  <c r="BB27" i="1" s="1"/>
  <c r="AZ27" i="1" s="1" a="1"/>
  <c r="AZ27" i="1" s="1"/>
  <c r="BC27" i="1" s="1"/>
  <c r="BG27" i="1"/>
  <c r="BH27" i="1" a="1"/>
  <c r="BH27" i="1" s="1"/>
  <c r="BM27" i="1"/>
  <c r="BN27" i="1" a="1"/>
  <c r="BN27" i="1" s="1"/>
  <c r="BL27" i="1" s="1" a="1"/>
  <c r="BL27" i="1" s="1"/>
  <c r="BO27" i="1" s="1"/>
  <c r="BS27" i="1"/>
  <c r="BT27" i="1" a="1"/>
  <c r="BT27" i="1"/>
  <c r="BY27" i="1"/>
  <c r="BZ27" i="1" a="1"/>
  <c r="BZ27" i="1" s="1"/>
  <c r="CE27" i="1"/>
  <c r="CF27" i="1" a="1"/>
  <c r="CF27" i="1" s="1"/>
  <c r="CK27" i="1"/>
  <c r="CL27" i="1" a="1"/>
  <c r="CL27" i="1" s="1"/>
  <c r="CQ27" i="1"/>
  <c r="CR27" i="1" a="1"/>
  <c r="CR27" i="1" s="1"/>
  <c r="CW27" i="1"/>
  <c r="CX27" i="1" a="1"/>
  <c r="CX27" i="1" s="1"/>
  <c r="DC27" i="1"/>
  <c r="DD27" i="1" a="1"/>
  <c r="DD27" i="1" s="1"/>
  <c r="DI27" i="1"/>
  <c r="DJ27" i="1" a="1"/>
  <c r="DJ27" i="1"/>
  <c r="DO27" i="1"/>
  <c r="DP27" i="1" a="1"/>
  <c r="DP27" i="1" s="1"/>
  <c r="DU27" i="1"/>
  <c r="DV27" i="1" a="1"/>
  <c r="DV27" i="1" s="1"/>
  <c r="EA27" i="1"/>
  <c r="EB27" i="1" a="1"/>
  <c r="EB27" i="1" s="1"/>
  <c r="EG27" i="1"/>
  <c r="EH27" i="1" a="1"/>
  <c r="EH27" i="1" s="1"/>
  <c r="EM27" i="1"/>
  <c r="EN27" i="1" a="1"/>
  <c r="EN27" i="1" s="1"/>
  <c r="ES27" i="1"/>
  <c r="ET27" i="1" a="1"/>
  <c r="ET27" i="1" s="1"/>
  <c r="EY27" i="1"/>
  <c r="EZ27" i="1" a="1"/>
  <c r="EZ27" i="1" s="1"/>
  <c r="FE27" i="1"/>
  <c r="FF27" i="1" a="1"/>
  <c r="FF27" i="1" s="1"/>
  <c r="FK27" i="1"/>
  <c r="FL27" i="1" a="1"/>
  <c r="FL27" i="1" s="1"/>
  <c r="FQ27" i="1"/>
  <c r="FR27" i="1" a="1"/>
  <c r="FR27" i="1" s="1"/>
  <c r="FW27" i="1"/>
  <c r="FX27" i="1" a="1"/>
  <c r="FX27" i="1" s="1"/>
  <c r="GC27" i="1"/>
  <c r="GD27" i="1" a="1"/>
  <c r="GD27" i="1" s="1"/>
  <c r="GI27" i="1"/>
  <c r="GJ27" i="1" a="1"/>
  <c r="GJ27" i="1" s="1"/>
  <c r="GO27" i="1"/>
  <c r="GP27" i="1" a="1"/>
  <c r="GP27" i="1"/>
  <c r="GU27" i="1"/>
  <c r="GV27" i="1" a="1"/>
  <c r="GV27" i="1" s="1"/>
  <c r="HA27" i="1"/>
  <c r="HB27" i="1" a="1"/>
  <c r="HB27" i="1" s="1"/>
  <c r="GZ27" i="1" s="1" a="1"/>
  <c r="GZ27" i="1" s="1"/>
  <c r="HC27" i="1" s="1"/>
  <c r="HG27" i="1"/>
  <c r="HH27" i="1" a="1"/>
  <c r="HH27" i="1" s="1"/>
  <c r="HM27" i="1"/>
  <c r="HN27" i="1" a="1"/>
  <c r="HN27" i="1" s="1"/>
  <c r="HL27" i="1" s="1" a="1"/>
  <c r="HL27" i="1" s="1"/>
  <c r="HO27" i="1" s="1"/>
  <c r="HS27" i="1"/>
  <c r="HT27" i="1" a="1"/>
  <c r="HT27" i="1"/>
  <c r="HY27" i="1"/>
  <c r="HZ27" i="1" a="1"/>
  <c r="HZ27" i="1" s="1"/>
  <c r="IE27" i="1"/>
  <c r="IF27" i="1" a="1"/>
  <c r="IF27" i="1" s="1"/>
  <c r="IK27" i="1"/>
  <c r="IL27" i="1" a="1"/>
  <c r="IL27" i="1" s="1"/>
  <c r="IQ27" i="1"/>
  <c r="IR27" i="1" a="1"/>
  <c r="IR27" i="1" s="1"/>
  <c r="IW27" i="1"/>
  <c r="IX27" i="1" a="1"/>
  <c r="IX27" i="1"/>
  <c r="JC27" i="1"/>
  <c r="JD27" i="1" a="1"/>
  <c r="JD27" i="1" s="1"/>
  <c r="JI27" i="1"/>
  <c r="JJ27" i="1" a="1"/>
  <c r="JJ27" i="1" s="1"/>
  <c r="JO27" i="1"/>
  <c r="JP27" i="1" a="1"/>
  <c r="JP27" i="1" s="1"/>
  <c r="JU27" i="1"/>
  <c r="JV27" i="1" a="1"/>
  <c r="JV27" i="1" s="1"/>
  <c r="KA27" i="1"/>
  <c r="KB27" i="1" a="1"/>
  <c r="KB27" i="1" s="1"/>
  <c r="KG27" i="1"/>
  <c r="KH27" i="1" a="1"/>
  <c r="KH27" i="1" s="1"/>
  <c r="KM27" i="1"/>
  <c r="KN27" i="1" a="1"/>
  <c r="KN27" i="1" s="1"/>
  <c r="KS27" i="1"/>
  <c r="KT27" i="1" a="1"/>
  <c r="KT27" i="1" s="1"/>
  <c r="KY27" i="1"/>
  <c r="KZ27" i="1" a="1"/>
  <c r="KZ27" i="1" s="1"/>
  <c r="LE27" i="1"/>
  <c r="LF27" i="1" a="1"/>
  <c r="LF27" i="1"/>
  <c r="LK27" i="1"/>
  <c r="LL27" i="1" a="1"/>
  <c r="LL27" i="1" s="1"/>
  <c r="LQ27" i="1"/>
  <c r="LR27" i="1" a="1"/>
  <c r="LR27" i="1" s="1"/>
  <c r="LW27" i="1"/>
  <c r="LX27" i="1" a="1"/>
  <c r="LX27" i="1" s="1"/>
  <c r="MC27" i="1"/>
  <c r="MD27" i="1" a="1"/>
  <c r="MD27" i="1" s="1"/>
  <c r="MI27" i="1"/>
  <c r="MJ27" i="1" a="1"/>
  <c r="MJ27" i="1" s="1"/>
  <c r="MO27" i="1"/>
  <c r="MP27" i="1" a="1"/>
  <c r="MP27" i="1" s="1"/>
  <c r="MU27" i="1"/>
  <c r="MV27" i="1" a="1"/>
  <c r="MV27" i="1" s="1"/>
  <c r="NA27" i="1"/>
  <c r="NB27" i="1" a="1"/>
  <c r="NB27" i="1" s="1"/>
  <c r="NG27" i="1"/>
  <c r="NH27" i="1" a="1"/>
  <c r="NH27" i="1" s="1"/>
  <c r="K27" i="1"/>
  <c r="F27" i="1" a="1"/>
  <c r="F27" i="1" s="1"/>
  <c r="L27" i="1" a="1"/>
  <c r="L27" i="1" s="1"/>
  <c r="D47" i="1"/>
  <c r="JL23" i="1"/>
  <c r="JF23" i="1"/>
  <c r="JL22" i="1"/>
  <c r="JF22" i="1"/>
  <c r="N22" i="1"/>
  <c r="JL21" i="1"/>
  <c r="JF21" i="1"/>
  <c r="T21" i="1"/>
  <c r="N21" i="1"/>
  <c r="ABL20" i="1"/>
  <c r="ABF20" i="1"/>
  <c r="NV20" i="1"/>
  <c r="JL20" i="1"/>
  <c r="JF20" i="1"/>
  <c r="IT20" i="1"/>
  <c r="T20" i="1"/>
  <c r="N20" i="1"/>
  <c r="ABL19" i="1"/>
  <c r="ABF19" i="1"/>
  <c r="ZV19" i="1"/>
  <c r="XZ19" i="1"/>
  <c r="XB19" i="1"/>
  <c r="UT19" i="1"/>
  <c r="OB19" i="1"/>
  <c r="NV19" i="1"/>
  <c r="JL19" i="1"/>
  <c r="JF19" i="1"/>
  <c r="IZ19" i="1"/>
  <c r="IT19" i="1"/>
  <c r="T19" i="1"/>
  <c r="N19" i="1"/>
  <c r="ABL18" i="1"/>
  <c r="ABF18" i="1"/>
  <c r="AAB18" i="1"/>
  <c r="ZV18" i="1"/>
  <c r="ZJ18" i="1"/>
  <c r="YF18" i="1"/>
  <c r="XZ18" i="1"/>
  <c r="XH18" i="1"/>
  <c r="XB18" i="1"/>
  <c r="UZ18" i="1"/>
  <c r="UT18" i="1"/>
  <c r="RB18" i="1"/>
  <c r="QJ18" i="1"/>
  <c r="QD18" i="1"/>
  <c r="PF18" i="1"/>
  <c r="OB18" i="1"/>
  <c r="NV18" i="1"/>
  <c r="NJ18" i="1"/>
  <c r="KV18" i="1"/>
  <c r="KP18" i="1"/>
  <c r="JL18" i="1"/>
  <c r="JF18" i="1"/>
  <c r="IZ18" i="1"/>
  <c r="IT18" i="1"/>
  <c r="HJ18" i="1"/>
  <c r="FH18" i="1"/>
  <c r="FB18" i="1"/>
  <c r="DX18" i="1"/>
  <c r="DR18" i="1"/>
  <c r="CZ18" i="1"/>
  <c r="CT18" i="1"/>
  <c r="BJ18" i="1"/>
  <c r="AL18" i="1"/>
  <c r="AF18" i="1"/>
  <c r="Z18" i="1"/>
  <c r="T18" i="1"/>
  <c r="N18" i="1"/>
  <c r="ABL17" i="1"/>
  <c r="ABF17" i="1"/>
  <c r="AAH17" i="1"/>
  <c r="AAB17" i="1"/>
  <c r="ZV17" i="1"/>
  <c r="ZP17" i="1"/>
  <c r="ZJ17" i="1"/>
  <c r="ZD17" i="1"/>
  <c r="YX17" i="1"/>
  <c r="YF17" i="1"/>
  <c r="XZ17" i="1"/>
  <c r="XH17" i="1"/>
  <c r="XB17" i="1"/>
  <c r="WV17" i="1"/>
  <c r="WP17" i="1"/>
  <c r="WD17" i="1"/>
  <c r="VR17" i="1"/>
  <c r="VF17" i="1"/>
  <c r="UZ17" i="1"/>
  <c r="UT17" i="1"/>
  <c r="UH17" i="1"/>
  <c r="TD17" i="1"/>
  <c r="SX17" i="1"/>
  <c r="RH17" i="1"/>
  <c r="RB17" i="1"/>
  <c r="QJ17" i="1"/>
  <c r="QD17" i="1"/>
  <c r="PL17" i="1"/>
  <c r="PF17" i="1"/>
  <c r="OB17" i="1"/>
  <c r="NV17" i="1"/>
  <c r="NP17" i="1"/>
  <c r="NJ17" i="1"/>
  <c r="ND17" i="1"/>
  <c r="MX17" i="1"/>
  <c r="KV17" i="1"/>
  <c r="KP17" i="1"/>
  <c r="KJ17" i="1"/>
  <c r="KD17" i="1"/>
  <c r="JL17" i="1"/>
  <c r="JF17" i="1"/>
  <c r="IZ17" i="1"/>
  <c r="IT17" i="1"/>
  <c r="HP17" i="1"/>
  <c r="HJ17" i="1"/>
  <c r="GR17" i="1"/>
  <c r="GL17" i="1"/>
  <c r="FH17" i="1"/>
  <c r="FB17" i="1"/>
  <c r="DX17" i="1"/>
  <c r="DR17" i="1"/>
  <c r="CZ17" i="1"/>
  <c r="CT17" i="1"/>
  <c r="CN17" i="1"/>
  <c r="CH17" i="1"/>
  <c r="BP17" i="1"/>
  <c r="BJ17" i="1"/>
  <c r="AR17" i="1"/>
  <c r="AL17" i="1"/>
  <c r="AF17" i="1"/>
  <c r="Z17" i="1"/>
  <c r="T17" i="1"/>
  <c r="N17" i="1"/>
  <c r="ABL16" i="1"/>
  <c r="ABF16" i="1"/>
  <c r="AAN16" i="1"/>
  <c r="AAH16" i="1"/>
  <c r="AAB16" i="1"/>
  <c r="ZV16" i="1"/>
  <c r="ZP16" i="1"/>
  <c r="ZJ16" i="1"/>
  <c r="ZD16" i="1"/>
  <c r="YX16" i="1"/>
  <c r="YL16" i="1"/>
  <c r="YF16" i="1"/>
  <c r="XZ16" i="1"/>
  <c r="XT16" i="1"/>
  <c r="XN16" i="1"/>
  <c r="XH16" i="1"/>
  <c r="XB16" i="1"/>
  <c r="WV16" i="1"/>
  <c r="WP16" i="1"/>
  <c r="WJ16" i="1"/>
  <c r="WD16" i="1"/>
  <c r="VX16" i="1"/>
  <c r="VR16" i="1"/>
  <c r="VL16" i="1"/>
  <c r="VF16" i="1"/>
  <c r="UZ16" i="1"/>
  <c r="UT16" i="1"/>
  <c r="UN16" i="1"/>
  <c r="UH16" i="1"/>
  <c r="TD16" i="1"/>
  <c r="SX16" i="1"/>
  <c r="RN16" i="1"/>
  <c r="RH16" i="1"/>
  <c r="RB16" i="1"/>
  <c r="QP16" i="1"/>
  <c r="QJ16" i="1"/>
  <c r="QD16" i="1"/>
  <c r="PL16" i="1"/>
  <c r="PF16" i="1"/>
  <c r="OT16" i="1"/>
  <c r="OH16" i="1"/>
  <c r="OB16" i="1"/>
  <c r="NV16" i="1"/>
  <c r="NP16" i="1"/>
  <c r="NJ16" i="1"/>
  <c r="ND16" i="1"/>
  <c r="MX16" i="1"/>
  <c r="MF16" i="1"/>
  <c r="LZ16" i="1"/>
  <c r="LH16" i="1"/>
  <c r="LB16" i="1"/>
  <c r="KV16" i="1"/>
  <c r="KP16" i="1"/>
  <c r="KJ16" i="1"/>
  <c r="KD16" i="1"/>
  <c r="JL16" i="1"/>
  <c r="JF16" i="1"/>
  <c r="IZ16" i="1"/>
  <c r="IT16" i="1"/>
  <c r="HP16" i="1"/>
  <c r="HJ16" i="1"/>
  <c r="GR16" i="1"/>
  <c r="GL16" i="1"/>
  <c r="FT16" i="1"/>
  <c r="FN16" i="1"/>
  <c r="FH16" i="1"/>
  <c r="FB16" i="1"/>
  <c r="DX16" i="1"/>
  <c r="DR16" i="1"/>
  <c r="CZ16" i="1"/>
  <c r="CT16" i="1"/>
  <c r="CN16" i="1"/>
  <c r="CH16" i="1"/>
  <c r="BV16" i="1"/>
  <c r="BP16" i="1"/>
  <c r="BJ16" i="1"/>
  <c r="AR16" i="1"/>
  <c r="AL16" i="1"/>
  <c r="AF16" i="1"/>
  <c r="Z16" i="1"/>
  <c r="T16" i="1"/>
  <c r="N16" i="1"/>
  <c r="ABL15" i="1"/>
  <c r="ABF15" i="1"/>
  <c r="AAZ15" i="1"/>
  <c r="AAT15" i="1"/>
  <c r="AAN15" i="1"/>
  <c r="AAH15" i="1"/>
  <c r="AAB15" i="1"/>
  <c r="ZV15" i="1"/>
  <c r="ZP15" i="1"/>
  <c r="ZJ15" i="1"/>
  <c r="ZD15" i="1"/>
  <c r="YX15" i="1"/>
  <c r="YR15" i="1"/>
  <c r="YL15" i="1"/>
  <c r="YF15" i="1"/>
  <c r="XZ15" i="1"/>
  <c r="XT15" i="1"/>
  <c r="XN15" i="1"/>
  <c r="XH15" i="1"/>
  <c r="XB15" i="1"/>
  <c r="WV15" i="1"/>
  <c r="WP15" i="1"/>
  <c r="WJ15" i="1"/>
  <c r="WD15" i="1"/>
  <c r="VX15" i="1"/>
  <c r="VR15" i="1"/>
  <c r="VL15" i="1"/>
  <c r="VF15" i="1"/>
  <c r="UZ15" i="1"/>
  <c r="UT15" i="1"/>
  <c r="UN15" i="1"/>
  <c r="UH15" i="1"/>
  <c r="TJ15" i="1"/>
  <c r="TD15" i="1"/>
  <c r="SX15" i="1"/>
  <c r="RZ15" i="1"/>
  <c r="RT15" i="1"/>
  <c r="RN15" i="1"/>
  <c r="RH15" i="1"/>
  <c r="RB15" i="1"/>
  <c r="QV15" i="1"/>
  <c r="QP15" i="1"/>
  <c r="QJ15" i="1"/>
  <c r="QD15" i="1"/>
  <c r="PL15" i="1"/>
  <c r="PF15" i="1"/>
  <c r="OZ15" i="1"/>
  <c r="OT15" i="1"/>
  <c r="ON15" i="1"/>
  <c r="OH15" i="1"/>
  <c r="OB15" i="1"/>
  <c r="NV15" i="1"/>
  <c r="NP15" i="1"/>
  <c r="NJ15" i="1"/>
  <c r="ND15" i="1"/>
  <c r="MX15" i="1"/>
  <c r="ML15" i="1"/>
  <c r="MF15" i="1"/>
  <c r="LZ15" i="1"/>
  <c r="LH15" i="1"/>
  <c r="LB15" i="1"/>
  <c r="KV15" i="1"/>
  <c r="KP15" i="1"/>
  <c r="KJ15" i="1"/>
  <c r="KD15" i="1"/>
  <c r="JL15" i="1"/>
  <c r="JF15" i="1"/>
  <c r="IZ15" i="1"/>
  <c r="IT15" i="1"/>
  <c r="IB15" i="1"/>
  <c r="HV15" i="1"/>
  <c r="HP15" i="1"/>
  <c r="HJ15" i="1"/>
  <c r="GR15" i="1"/>
  <c r="GL15" i="1"/>
  <c r="GF15" i="1"/>
  <c r="FZ15" i="1"/>
  <c r="FT15" i="1"/>
  <c r="FN15" i="1"/>
  <c r="FH15" i="1"/>
  <c r="FB15" i="1"/>
  <c r="EP15" i="1"/>
  <c r="ED15" i="1"/>
  <c r="DX15" i="1"/>
  <c r="DR15" i="1"/>
  <c r="DL15" i="1"/>
  <c r="DF15" i="1"/>
  <c r="CZ15" i="1"/>
  <c r="CT15" i="1"/>
  <c r="CN15" i="1"/>
  <c r="CH15" i="1"/>
  <c r="CB15" i="1"/>
  <c r="BV15" i="1"/>
  <c r="BP15" i="1"/>
  <c r="BJ15" i="1"/>
  <c r="AR15" i="1"/>
  <c r="AL15" i="1"/>
  <c r="AF15" i="1"/>
  <c r="Z15" i="1"/>
  <c r="T15" i="1"/>
  <c r="N15" i="1"/>
  <c r="H15" i="1"/>
  <c r="B15" i="1"/>
  <c r="ABL14" i="1"/>
  <c r="ABF14" i="1"/>
  <c r="AAZ14" i="1"/>
  <c r="AAT14" i="1"/>
  <c r="AAN14" i="1"/>
  <c r="AAH14" i="1"/>
  <c r="AAB14" i="1"/>
  <c r="ZV14" i="1"/>
  <c r="ZP14" i="1"/>
  <c r="ZJ14" i="1"/>
  <c r="ZD14" i="1"/>
  <c r="YX14" i="1"/>
  <c r="YR14" i="1"/>
  <c r="YL14" i="1"/>
  <c r="YF14" i="1"/>
  <c r="XZ14" i="1"/>
  <c r="XT14" i="1"/>
  <c r="XN14" i="1"/>
  <c r="XH14" i="1"/>
  <c r="XB14" i="1"/>
  <c r="WV14" i="1"/>
  <c r="WP14" i="1"/>
  <c r="WJ14" i="1"/>
  <c r="WD14" i="1"/>
  <c r="VX14" i="1"/>
  <c r="VR14" i="1"/>
  <c r="VL14" i="1"/>
  <c r="VF14" i="1"/>
  <c r="UZ14" i="1"/>
  <c r="UT14" i="1"/>
  <c r="UN14" i="1"/>
  <c r="UH14" i="1"/>
  <c r="UB14" i="1"/>
  <c r="TV14" i="1"/>
  <c r="TP14" i="1"/>
  <c r="TJ14" i="1"/>
  <c r="TD14" i="1"/>
  <c r="SX14" i="1"/>
  <c r="SL14" i="1"/>
  <c r="SF14" i="1"/>
  <c r="RZ14" i="1"/>
  <c r="RT14" i="1"/>
  <c r="RN14" i="1"/>
  <c r="RH14" i="1"/>
  <c r="RB14" i="1"/>
  <c r="QV14" i="1"/>
  <c r="QP14" i="1"/>
  <c r="QJ14" i="1"/>
  <c r="QD14" i="1"/>
  <c r="PX14" i="1"/>
  <c r="PR14" i="1"/>
  <c r="PL14" i="1"/>
  <c r="PF14" i="1"/>
  <c r="OZ14" i="1"/>
  <c r="OT14" i="1"/>
  <c r="ON14" i="1"/>
  <c r="OH14" i="1"/>
  <c r="OB14" i="1"/>
  <c r="NV14" i="1"/>
  <c r="NP14" i="1"/>
  <c r="NJ14" i="1"/>
  <c r="ND14" i="1"/>
  <c r="MX14" i="1"/>
  <c r="MR14" i="1"/>
  <c r="ML14" i="1"/>
  <c r="MF14" i="1"/>
  <c r="LZ14" i="1"/>
  <c r="LT14" i="1"/>
  <c r="LN14" i="1"/>
  <c r="LH14" i="1"/>
  <c r="LB14" i="1"/>
  <c r="KV14" i="1"/>
  <c r="KP14" i="1"/>
  <c r="KJ14" i="1"/>
  <c r="KD14" i="1"/>
  <c r="JX14" i="1"/>
  <c r="JR14" i="1"/>
  <c r="JL14" i="1"/>
  <c r="JF14" i="1"/>
  <c r="IZ14" i="1"/>
  <c r="IT14" i="1"/>
  <c r="IN14" i="1"/>
  <c r="IH14" i="1"/>
  <c r="IB14" i="1"/>
  <c r="HV14" i="1"/>
  <c r="HP14" i="1"/>
  <c r="HJ14" i="1"/>
  <c r="HD14" i="1"/>
  <c r="GX14" i="1"/>
  <c r="GR14" i="1"/>
  <c r="GL14" i="1"/>
  <c r="GF14" i="1"/>
  <c r="FZ14" i="1"/>
  <c r="FT14" i="1"/>
  <c r="FN14" i="1"/>
  <c r="FH14" i="1"/>
  <c r="FB14" i="1"/>
  <c r="EV14" i="1"/>
  <c r="EP14" i="1"/>
  <c r="EJ14" i="1"/>
  <c r="ED14" i="1"/>
  <c r="DX14" i="1"/>
  <c r="DR14" i="1"/>
  <c r="DL14" i="1"/>
  <c r="DF14" i="1"/>
  <c r="CZ14" i="1"/>
  <c r="CT14" i="1"/>
  <c r="CN14" i="1"/>
  <c r="CH14" i="1"/>
  <c r="CB14" i="1"/>
  <c r="BV14" i="1"/>
  <c r="BP14" i="1"/>
  <c r="BJ14" i="1"/>
  <c r="BD14" i="1"/>
  <c r="AX14" i="1"/>
  <c r="AR14" i="1"/>
  <c r="AL14" i="1"/>
  <c r="AF14" i="1"/>
  <c r="Z14" i="1"/>
  <c r="T14" i="1"/>
  <c r="N14" i="1"/>
  <c r="H14" i="1"/>
  <c r="B14" i="1"/>
  <c r="ABL13" i="1"/>
  <c r="ABF13" i="1"/>
  <c r="AAZ13" i="1"/>
  <c r="AAT13" i="1"/>
  <c r="AAN13" i="1"/>
  <c r="AAH13" i="1"/>
  <c r="AAB13" i="1"/>
  <c r="ZV13" i="1"/>
  <c r="ZP13" i="1"/>
  <c r="ZJ13" i="1"/>
  <c r="ZD13" i="1"/>
  <c r="YX13" i="1"/>
  <c r="YR13" i="1"/>
  <c r="YL13" i="1"/>
  <c r="YF13" i="1"/>
  <c r="XZ13" i="1"/>
  <c r="XT13" i="1"/>
  <c r="XN13" i="1"/>
  <c r="XH13" i="1"/>
  <c r="XB13" i="1"/>
  <c r="WV13" i="1"/>
  <c r="WP13" i="1"/>
  <c r="WJ13" i="1"/>
  <c r="WD13" i="1"/>
  <c r="VX13" i="1"/>
  <c r="VR13" i="1"/>
  <c r="VL13" i="1"/>
  <c r="VF13" i="1"/>
  <c r="UZ13" i="1"/>
  <c r="UT13" i="1"/>
  <c r="UN13" i="1"/>
  <c r="UH13" i="1"/>
  <c r="UB13" i="1"/>
  <c r="TV13" i="1"/>
  <c r="TP13" i="1"/>
  <c r="TJ13" i="1"/>
  <c r="TD13" i="1"/>
  <c r="SX13" i="1"/>
  <c r="SR13" i="1"/>
  <c r="SL13" i="1"/>
  <c r="SF13" i="1"/>
  <c r="RZ13" i="1"/>
  <c r="RT13" i="1"/>
  <c r="RN13" i="1"/>
  <c r="RH13" i="1"/>
  <c r="RB13" i="1"/>
  <c r="QV13" i="1"/>
  <c r="QP13" i="1"/>
  <c r="QJ13" i="1"/>
  <c r="QD13" i="1"/>
  <c r="PX13" i="1"/>
  <c r="PR13" i="1"/>
  <c r="PL13" i="1"/>
  <c r="PF13" i="1"/>
  <c r="OZ13" i="1"/>
  <c r="OT13" i="1"/>
  <c r="ON13" i="1"/>
  <c r="OH13" i="1"/>
  <c r="OB13" i="1"/>
  <c r="NV13" i="1"/>
  <c r="NP13" i="1"/>
  <c r="NJ13" i="1"/>
  <c r="ND13" i="1"/>
  <c r="MX13" i="1"/>
  <c r="MR13" i="1"/>
  <c r="ML13" i="1"/>
  <c r="MF13" i="1"/>
  <c r="LZ13" i="1"/>
  <c r="LT13" i="1"/>
  <c r="LN13" i="1"/>
  <c r="LH13" i="1"/>
  <c r="LB13" i="1"/>
  <c r="KV13" i="1"/>
  <c r="KP13" i="1"/>
  <c r="KJ13" i="1"/>
  <c r="KD13" i="1"/>
  <c r="JX13" i="1"/>
  <c r="JR13" i="1"/>
  <c r="JL13" i="1"/>
  <c r="JF13" i="1"/>
  <c r="IZ13" i="1"/>
  <c r="IT13" i="1"/>
  <c r="IN13" i="1"/>
  <c r="IH13" i="1"/>
  <c r="IB13" i="1"/>
  <c r="HV13" i="1"/>
  <c r="HP13" i="1"/>
  <c r="HJ13" i="1"/>
  <c r="HD13" i="1"/>
  <c r="GX13" i="1"/>
  <c r="GR13" i="1"/>
  <c r="GL13" i="1"/>
  <c r="GF13" i="1"/>
  <c r="FZ13" i="1"/>
  <c r="FT13" i="1"/>
  <c r="FN13" i="1"/>
  <c r="FH13" i="1"/>
  <c r="FB13" i="1"/>
  <c r="EV13" i="1"/>
  <c r="EP13" i="1"/>
  <c r="EJ13" i="1"/>
  <c r="ED13" i="1"/>
  <c r="DX13" i="1"/>
  <c r="DR13" i="1"/>
  <c r="DL13" i="1"/>
  <c r="DF13" i="1"/>
  <c r="CZ13" i="1"/>
  <c r="CT13" i="1"/>
  <c r="CN13" i="1"/>
  <c r="CH13" i="1"/>
  <c r="CB13" i="1"/>
  <c r="BV13" i="1"/>
  <c r="BP13" i="1"/>
  <c r="BJ13" i="1"/>
  <c r="BD13" i="1"/>
  <c r="AX13" i="1"/>
  <c r="AR13" i="1"/>
  <c r="AL13" i="1"/>
  <c r="AF13" i="1"/>
  <c r="Z13" i="1"/>
  <c r="T13" i="1"/>
  <c r="N13" i="1"/>
  <c r="H13" i="1"/>
  <c r="B13" i="1"/>
  <c r="ABL12" i="1"/>
  <c r="ABF12" i="1"/>
  <c r="AAZ12" i="1"/>
  <c r="AAT12" i="1"/>
  <c r="AAN12" i="1"/>
  <c r="AAH12" i="1"/>
  <c r="AAB12" i="1"/>
  <c r="ZV12" i="1"/>
  <c r="ZP12" i="1"/>
  <c r="ZJ12" i="1"/>
  <c r="ZD12" i="1"/>
  <c r="YX12" i="1"/>
  <c r="YR12" i="1"/>
  <c r="YL12" i="1"/>
  <c r="YF12" i="1"/>
  <c r="XZ12" i="1"/>
  <c r="XT12" i="1"/>
  <c r="XN12" i="1"/>
  <c r="XH12" i="1"/>
  <c r="XB12" i="1"/>
  <c r="WV12" i="1"/>
  <c r="WP12" i="1"/>
  <c r="WJ12" i="1"/>
  <c r="WD12" i="1"/>
  <c r="VX12" i="1"/>
  <c r="VR12" i="1"/>
  <c r="VL12" i="1"/>
  <c r="VF12" i="1"/>
  <c r="UZ12" i="1"/>
  <c r="UT12" i="1"/>
  <c r="UN12" i="1"/>
  <c r="UH12" i="1"/>
  <c r="UB12" i="1"/>
  <c r="TV12" i="1"/>
  <c r="TP12" i="1"/>
  <c r="TJ12" i="1"/>
  <c r="TD12" i="1"/>
  <c r="SX12" i="1"/>
  <c r="SR12" i="1"/>
  <c r="SL12" i="1"/>
  <c r="SF12" i="1"/>
  <c r="RZ12" i="1"/>
  <c r="RT12" i="1"/>
  <c r="RN12" i="1"/>
  <c r="RH12" i="1"/>
  <c r="RB12" i="1"/>
  <c r="QV12" i="1"/>
  <c r="QP12" i="1"/>
  <c r="QJ12" i="1"/>
  <c r="QD12" i="1"/>
  <c r="PX12" i="1"/>
  <c r="PR12" i="1"/>
  <c r="PL12" i="1"/>
  <c r="PF12" i="1"/>
  <c r="OZ12" i="1"/>
  <c r="OT12" i="1"/>
  <c r="ON12" i="1"/>
  <c r="OH12" i="1"/>
  <c r="OB12" i="1"/>
  <c r="NV12" i="1"/>
  <c r="NP12" i="1"/>
  <c r="NJ12" i="1"/>
  <c r="ND12" i="1"/>
  <c r="MX12" i="1"/>
  <c r="MR12" i="1"/>
  <c r="ML12" i="1"/>
  <c r="MF12" i="1"/>
  <c r="LZ12" i="1"/>
  <c r="LT12" i="1"/>
  <c r="LN12" i="1"/>
  <c r="LH12" i="1"/>
  <c r="LB12" i="1"/>
  <c r="KV12" i="1"/>
  <c r="KP12" i="1"/>
  <c r="KJ12" i="1"/>
  <c r="KD12" i="1"/>
  <c r="JX12" i="1"/>
  <c r="JR12" i="1"/>
  <c r="JL12" i="1"/>
  <c r="JF12" i="1"/>
  <c r="IZ12" i="1"/>
  <c r="IT12" i="1"/>
  <c r="IN12" i="1"/>
  <c r="IH12" i="1"/>
  <c r="IB12" i="1"/>
  <c r="HV12" i="1"/>
  <c r="HP12" i="1"/>
  <c r="HJ12" i="1"/>
  <c r="HD12" i="1"/>
  <c r="GX12" i="1"/>
  <c r="GR12" i="1"/>
  <c r="GL12" i="1"/>
  <c r="GF12" i="1"/>
  <c r="FZ12" i="1"/>
  <c r="FT12" i="1"/>
  <c r="FN12" i="1"/>
  <c r="FH12" i="1"/>
  <c r="FB12" i="1"/>
  <c r="EV12" i="1"/>
  <c r="EP12" i="1"/>
  <c r="EJ12" i="1"/>
  <c r="ED12" i="1"/>
  <c r="DX12" i="1"/>
  <c r="DR12" i="1"/>
  <c r="DL12" i="1"/>
  <c r="DF12" i="1"/>
  <c r="CZ12" i="1"/>
  <c r="CT12" i="1"/>
  <c r="CN12" i="1"/>
  <c r="CH12" i="1"/>
  <c r="CB12" i="1"/>
  <c r="BV12" i="1"/>
  <c r="BP12" i="1"/>
  <c r="BJ12" i="1"/>
  <c r="BD12" i="1"/>
  <c r="AX12" i="1"/>
  <c r="AR12" i="1"/>
  <c r="AL12" i="1"/>
  <c r="AF12" i="1"/>
  <c r="Z12" i="1"/>
  <c r="T12" i="1"/>
  <c r="N12" i="1"/>
  <c r="H12" i="1"/>
  <c r="B12" i="1"/>
  <c r="ABL11" i="1"/>
  <c r="ABF11" i="1"/>
  <c r="AAZ11" i="1"/>
  <c r="AAT11" i="1"/>
  <c r="AAN11" i="1"/>
  <c r="AAH11" i="1"/>
  <c r="AAB11" i="1"/>
  <c r="ZV11" i="1"/>
  <c r="ZP11" i="1"/>
  <c r="ZJ11" i="1"/>
  <c r="ZD11" i="1"/>
  <c r="YX11" i="1"/>
  <c r="YR11" i="1"/>
  <c r="YL11" i="1"/>
  <c r="YF11" i="1"/>
  <c r="XZ11" i="1"/>
  <c r="XT11" i="1"/>
  <c r="XN11" i="1"/>
  <c r="XH11" i="1"/>
  <c r="XB11" i="1"/>
  <c r="WV11" i="1"/>
  <c r="WP11" i="1"/>
  <c r="WJ11" i="1"/>
  <c r="WD11" i="1"/>
  <c r="VX11" i="1"/>
  <c r="VR11" i="1"/>
  <c r="VL11" i="1"/>
  <c r="VF11" i="1"/>
  <c r="UZ11" i="1"/>
  <c r="UT11" i="1"/>
  <c r="UN11" i="1"/>
  <c r="UH11" i="1"/>
  <c r="UB11" i="1"/>
  <c r="TV11" i="1"/>
  <c r="TP11" i="1"/>
  <c r="TJ11" i="1"/>
  <c r="TD11" i="1"/>
  <c r="SX11" i="1"/>
  <c r="SR11" i="1"/>
  <c r="SL11" i="1"/>
  <c r="SF11" i="1"/>
  <c r="RZ11" i="1"/>
  <c r="RT11" i="1"/>
  <c r="RN11" i="1"/>
  <c r="RH11" i="1"/>
  <c r="RB11" i="1"/>
  <c r="QV11" i="1"/>
  <c r="QP11" i="1"/>
  <c r="QJ11" i="1"/>
  <c r="QD11" i="1"/>
  <c r="PX11" i="1"/>
  <c r="PR11" i="1"/>
  <c r="PL11" i="1"/>
  <c r="PF11" i="1"/>
  <c r="OZ11" i="1"/>
  <c r="OT11" i="1"/>
  <c r="ON11" i="1"/>
  <c r="OH11" i="1"/>
  <c r="OB11" i="1"/>
  <c r="NV11" i="1"/>
  <c r="NP11" i="1"/>
  <c r="NJ11" i="1"/>
  <c r="ND11" i="1"/>
  <c r="MX11" i="1"/>
  <c r="MR11" i="1"/>
  <c r="ML11" i="1"/>
  <c r="MF11" i="1"/>
  <c r="LZ11" i="1"/>
  <c r="LT11" i="1"/>
  <c r="LN11" i="1"/>
  <c r="LH11" i="1"/>
  <c r="LB11" i="1"/>
  <c r="KV11" i="1"/>
  <c r="KP11" i="1"/>
  <c r="KJ11" i="1"/>
  <c r="KD11" i="1"/>
  <c r="JX11" i="1"/>
  <c r="JR11" i="1"/>
  <c r="JL11" i="1"/>
  <c r="JF11" i="1"/>
  <c r="IZ11" i="1"/>
  <c r="IT11" i="1"/>
  <c r="IN11" i="1"/>
  <c r="IH11" i="1"/>
  <c r="IB11" i="1"/>
  <c r="HV11" i="1"/>
  <c r="HP11" i="1"/>
  <c r="HJ11" i="1"/>
  <c r="HD11" i="1"/>
  <c r="GX11" i="1"/>
  <c r="GR11" i="1"/>
  <c r="GL11" i="1"/>
  <c r="GF11" i="1"/>
  <c r="FZ11" i="1"/>
  <c r="FT11" i="1"/>
  <c r="FN11" i="1"/>
  <c r="FH11" i="1"/>
  <c r="FB11" i="1"/>
  <c r="EV11" i="1"/>
  <c r="EP11" i="1"/>
  <c r="EJ11" i="1"/>
  <c r="ED11" i="1"/>
  <c r="DX11" i="1"/>
  <c r="DR11" i="1"/>
  <c r="DL11" i="1"/>
  <c r="DF11" i="1"/>
  <c r="CZ11" i="1"/>
  <c r="CT11" i="1"/>
  <c r="CN11" i="1"/>
  <c r="CH11" i="1"/>
  <c r="CB11" i="1"/>
  <c r="BV11" i="1"/>
  <c r="BP11" i="1"/>
  <c r="BJ11" i="1"/>
  <c r="BD11" i="1"/>
  <c r="AX11" i="1"/>
  <c r="AR11" i="1"/>
  <c r="AL11" i="1"/>
  <c r="AF11" i="1"/>
  <c r="Z11" i="1"/>
  <c r="T11" i="1"/>
  <c r="N11" i="1"/>
  <c r="H11" i="1"/>
  <c r="B11" i="1"/>
  <c r="ABL10" i="1"/>
  <c r="ABF10" i="1"/>
  <c r="AAZ10" i="1"/>
  <c r="AAT10" i="1"/>
  <c r="AAN10" i="1"/>
  <c r="AAH10" i="1"/>
  <c r="AAB10" i="1"/>
  <c r="ZV10" i="1"/>
  <c r="ZP10" i="1"/>
  <c r="ZJ10" i="1"/>
  <c r="ZD10" i="1"/>
  <c r="YX10" i="1"/>
  <c r="YR10" i="1"/>
  <c r="YL10" i="1"/>
  <c r="YF10" i="1"/>
  <c r="XZ10" i="1"/>
  <c r="XT10" i="1"/>
  <c r="XN10" i="1"/>
  <c r="XH10" i="1"/>
  <c r="XB10" i="1"/>
  <c r="WV10" i="1"/>
  <c r="WP10" i="1"/>
  <c r="WJ10" i="1"/>
  <c r="WD10" i="1"/>
  <c r="VX10" i="1"/>
  <c r="VR10" i="1"/>
  <c r="VL10" i="1"/>
  <c r="VF10" i="1"/>
  <c r="UZ10" i="1"/>
  <c r="UT10" i="1"/>
  <c r="UN10" i="1"/>
  <c r="UH10" i="1"/>
  <c r="UB10" i="1"/>
  <c r="TV10" i="1"/>
  <c r="TP10" i="1"/>
  <c r="TJ10" i="1"/>
  <c r="TD10" i="1"/>
  <c r="SX10" i="1"/>
  <c r="SR10" i="1"/>
  <c r="SL10" i="1"/>
  <c r="SF10" i="1"/>
  <c r="RZ10" i="1"/>
  <c r="RT10" i="1"/>
  <c r="RN10" i="1"/>
  <c r="RH10" i="1"/>
  <c r="RB10" i="1"/>
  <c r="QV10" i="1"/>
  <c r="QP10" i="1"/>
  <c r="QJ10" i="1"/>
  <c r="QD10" i="1"/>
  <c r="PX10" i="1"/>
  <c r="PR10" i="1"/>
  <c r="PL10" i="1"/>
  <c r="PF10" i="1"/>
  <c r="OZ10" i="1"/>
  <c r="OT10" i="1"/>
  <c r="ON10" i="1"/>
  <c r="OH10" i="1"/>
  <c r="OB10" i="1"/>
  <c r="NV10" i="1"/>
  <c r="NP10" i="1"/>
  <c r="NJ10" i="1"/>
  <c r="ND10" i="1"/>
  <c r="MX10" i="1"/>
  <c r="MR10" i="1"/>
  <c r="ML10" i="1"/>
  <c r="MF10" i="1"/>
  <c r="LZ10" i="1"/>
  <c r="LT10" i="1"/>
  <c r="LN10" i="1"/>
  <c r="LH10" i="1"/>
  <c r="LB10" i="1"/>
  <c r="KV10" i="1"/>
  <c r="KP10" i="1"/>
  <c r="KJ10" i="1"/>
  <c r="KD10" i="1"/>
  <c r="JX10" i="1"/>
  <c r="JR10" i="1"/>
  <c r="JL10" i="1"/>
  <c r="JF10" i="1"/>
  <c r="IZ10" i="1"/>
  <c r="IT10" i="1"/>
  <c r="IN10" i="1"/>
  <c r="IH10" i="1"/>
  <c r="IB10" i="1"/>
  <c r="HV10" i="1"/>
  <c r="HP10" i="1"/>
  <c r="HJ10" i="1"/>
  <c r="HD10" i="1"/>
  <c r="GX10" i="1"/>
  <c r="GR10" i="1"/>
  <c r="GL10" i="1"/>
  <c r="GF10" i="1"/>
  <c r="FZ10" i="1"/>
  <c r="FT10" i="1"/>
  <c r="FN10" i="1"/>
  <c r="FH10" i="1"/>
  <c r="FB10" i="1"/>
  <c r="EV10" i="1"/>
  <c r="EP10" i="1"/>
  <c r="EJ10" i="1"/>
  <c r="ED10" i="1"/>
  <c r="DX10" i="1"/>
  <c r="DR10" i="1"/>
  <c r="DL10" i="1"/>
  <c r="DF10" i="1"/>
  <c r="CZ10" i="1"/>
  <c r="CT10" i="1"/>
  <c r="CN10" i="1"/>
  <c r="CH10" i="1"/>
  <c r="CB10" i="1"/>
  <c r="BV10" i="1"/>
  <c r="BP10" i="1"/>
  <c r="BJ10" i="1"/>
  <c r="BD10" i="1"/>
  <c r="AX10" i="1"/>
  <c r="AR10" i="1"/>
  <c r="AL10" i="1"/>
  <c r="AF10" i="1"/>
  <c r="Z10" i="1"/>
  <c r="T10" i="1"/>
  <c r="N10" i="1"/>
  <c r="H10" i="1"/>
  <c r="B10" i="1"/>
  <c r="ABL9" i="1"/>
  <c r="ABF9" i="1"/>
  <c r="AAZ9" i="1"/>
  <c r="AAT9" i="1"/>
  <c r="AAN9" i="1"/>
  <c r="AAH9" i="1"/>
  <c r="AAB9" i="1"/>
  <c r="ZV9" i="1"/>
  <c r="ZP9" i="1"/>
  <c r="ZJ9" i="1"/>
  <c r="ZD9" i="1"/>
  <c r="YX9" i="1"/>
  <c r="YR9" i="1"/>
  <c r="YL9" i="1"/>
  <c r="YF9" i="1"/>
  <c r="XZ9" i="1"/>
  <c r="XT9" i="1"/>
  <c r="XN9" i="1"/>
  <c r="XH9" i="1"/>
  <c r="XB9" i="1"/>
  <c r="WV9" i="1"/>
  <c r="WP9" i="1"/>
  <c r="WJ9" i="1"/>
  <c r="WD9" i="1"/>
  <c r="VX9" i="1"/>
  <c r="VR9" i="1"/>
  <c r="VL9" i="1"/>
  <c r="VF9" i="1"/>
  <c r="UZ9" i="1"/>
  <c r="UT9" i="1"/>
  <c r="UN9" i="1"/>
  <c r="UH9" i="1"/>
  <c r="UB9" i="1"/>
  <c r="TV9" i="1"/>
  <c r="TP9" i="1"/>
  <c r="TJ9" i="1"/>
  <c r="TD9" i="1"/>
  <c r="SX9" i="1"/>
  <c r="SR9" i="1"/>
  <c r="SL9" i="1"/>
  <c r="SF9" i="1"/>
  <c r="RZ9" i="1"/>
  <c r="RT9" i="1"/>
  <c r="RN9" i="1"/>
  <c r="RH9" i="1"/>
  <c r="RB9" i="1"/>
  <c r="QV9" i="1"/>
  <c r="QP9" i="1"/>
  <c r="QJ9" i="1"/>
  <c r="QD9" i="1"/>
  <c r="PX9" i="1"/>
  <c r="PR9" i="1"/>
  <c r="PL9" i="1"/>
  <c r="PF9" i="1"/>
  <c r="OZ9" i="1"/>
  <c r="OT9" i="1"/>
  <c r="ON9" i="1"/>
  <c r="OH9" i="1"/>
  <c r="OB9" i="1"/>
  <c r="NV9" i="1"/>
  <c r="NP9" i="1"/>
  <c r="NJ9" i="1"/>
  <c r="ND9" i="1"/>
  <c r="MX9" i="1"/>
  <c r="MR9" i="1"/>
  <c r="ML9" i="1"/>
  <c r="MF9" i="1"/>
  <c r="LZ9" i="1"/>
  <c r="LT9" i="1"/>
  <c r="LN9" i="1"/>
  <c r="LH9" i="1"/>
  <c r="LB9" i="1"/>
  <c r="KV9" i="1"/>
  <c r="KP9" i="1"/>
  <c r="KJ9" i="1"/>
  <c r="KD9" i="1"/>
  <c r="JX9" i="1"/>
  <c r="JR9" i="1"/>
  <c r="JL9" i="1"/>
  <c r="JF9" i="1"/>
  <c r="IZ9" i="1"/>
  <c r="IT9" i="1"/>
  <c r="IN9" i="1"/>
  <c r="IH9" i="1"/>
  <c r="IB9" i="1"/>
  <c r="HV9" i="1"/>
  <c r="HP9" i="1"/>
  <c r="HJ9" i="1"/>
  <c r="HD9" i="1"/>
  <c r="GX9" i="1"/>
  <c r="GR9" i="1"/>
  <c r="GL9" i="1"/>
  <c r="GF9" i="1"/>
  <c r="FZ9" i="1"/>
  <c r="FT9" i="1"/>
  <c r="FN9" i="1"/>
  <c r="FH9" i="1"/>
  <c r="FB9" i="1"/>
  <c r="EV9" i="1"/>
  <c r="EP9" i="1"/>
  <c r="EJ9" i="1"/>
  <c r="ED9" i="1"/>
  <c r="DX9" i="1"/>
  <c r="DR9" i="1"/>
  <c r="DL9" i="1"/>
  <c r="DF9" i="1"/>
  <c r="CZ9" i="1"/>
  <c r="CT9" i="1"/>
  <c r="CN9" i="1"/>
  <c r="CH9" i="1"/>
  <c r="CB9" i="1"/>
  <c r="BV9" i="1"/>
  <c r="BP9" i="1"/>
  <c r="BJ9" i="1"/>
  <c r="BD9" i="1"/>
  <c r="AX9" i="1"/>
  <c r="AR9" i="1"/>
  <c r="AL9" i="1"/>
  <c r="AF9" i="1"/>
  <c r="Z9" i="1"/>
  <c r="T9" i="1"/>
  <c r="N9" i="1"/>
  <c r="H9" i="1"/>
  <c r="B9" i="1"/>
  <c r="ABL8" i="1"/>
  <c r="ABF8" i="1"/>
  <c r="AAZ8" i="1"/>
  <c r="AAT8" i="1"/>
  <c r="AAN8" i="1"/>
  <c r="AAH8" i="1"/>
  <c r="AAB8" i="1"/>
  <c r="ZV8" i="1"/>
  <c r="ZP8" i="1"/>
  <c r="ZJ8" i="1"/>
  <c r="ZD8" i="1"/>
  <c r="YX8" i="1"/>
  <c r="YR8" i="1"/>
  <c r="YL8" i="1"/>
  <c r="YF8" i="1"/>
  <c r="XZ8" i="1"/>
  <c r="XT8" i="1"/>
  <c r="XN8" i="1"/>
  <c r="XH8" i="1"/>
  <c r="XB8" i="1"/>
  <c r="WV8" i="1"/>
  <c r="WP8" i="1"/>
  <c r="WJ8" i="1"/>
  <c r="WD8" i="1"/>
  <c r="VX8" i="1"/>
  <c r="VR8" i="1"/>
  <c r="VL8" i="1"/>
  <c r="VF8" i="1"/>
  <c r="UZ8" i="1"/>
  <c r="UT8" i="1"/>
  <c r="UN8" i="1"/>
  <c r="UH8" i="1"/>
  <c r="UB8" i="1"/>
  <c r="TV8" i="1"/>
  <c r="TP8" i="1"/>
  <c r="TJ8" i="1"/>
  <c r="TD8" i="1"/>
  <c r="SX8" i="1"/>
  <c r="SR8" i="1"/>
  <c r="SL8" i="1"/>
  <c r="SF8" i="1"/>
  <c r="RZ8" i="1"/>
  <c r="RT8" i="1"/>
  <c r="RN8" i="1"/>
  <c r="RH8" i="1"/>
  <c r="RB8" i="1"/>
  <c r="QV8" i="1"/>
  <c r="QP8" i="1"/>
  <c r="QJ8" i="1"/>
  <c r="QD8" i="1"/>
  <c r="PX8" i="1"/>
  <c r="PR8" i="1"/>
  <c r="PL8" i="1"/>
  <c r="PF8" i="1"/>
  <c r="OZ8" i="1"/>
  <c r="OT8" i="1"/>
  <c r="ON8" i="1"/>
  <c r="OH8" i="1"/>
  <c r="OB8" i="1"/>
  <c r="NV8" i="1"/>
  <c r="NP8" i="1"/>
  <c r="NJ8" i="1"/>
  <c r="ND8" i="1"/>
  <c r="MX8" i="1"/>
  <c r="MR8" i="1"/>
  <c r="ML8" i="1"/>
  <c r="MF8" i="1"/>
  <c r="LZ8" i="1"/>
  <c r="LT8" i="1"/>
  <c r="LN8" i="1"/>
  <c r="LH8" i="1"/>
  <c r="LB8" i="1"/>
  <c r="KV8" i="1"/>
  <c r="KP8" i="1"/>
  <c r="KJ8" i="1"/>
  <c r="KD8" i="1"/>
  <c r="JX8" i="1"/>
  <c r="JR8" i="1"/>
  <c r="JL8" i="1"/>
  <c r="JF8" i="1"/>
  <c r="IZ8" i="1"/>
  <c r="IT8" i="1"/>
  <c r="IN8" i="1"/>
  <c r="IH8" i="1"/>
  <c r="IB8" i="1"/>
  <c r="HV8" i="1"/>
  <c r="HP8" i="1"/>
  <c r="HJ8" i="1"/>
  <c r="HD8" i="1"/>
  <c r="GX8" i="1"/>
  <c r="GR8" i="1"/>
  <c r="GL8" i="1"/>
  <c r="GF8" i="1"/>
  <c r="FZ8" i="1"/>
  <c r="FT8" i="1"/>
  <c r="FN8" i="1"/>
  <c r="FH8" i="1"/>
  <c r="FB8" i="1"/>
  <c r="EV8" i="1"/>
  <c r="EP8" i="1"/>
  <c r="EJ8" i="1"/>
  <c r="ED8" i="1"/>
  <c r="DX8" i="1"/>
  <c r="DR8" i="1"/>
  <c r="DL8" i="1"/>
  <c r="DF8" i="1"/>
  <c r="CZ8" i="1"/>
  <c r="CT8" i="1"/>
  <c r="CN8" i="1"/>
  <c r="CH8" i="1"/>
  <c r="CB8" i="1"/>
  <c r="BV8" i="1"/>
  <c r="BP8" i="1"/>
  <c r="BJ8" i="1"/>
  <c r="BD8" i="1"/>
  <c r="AX8" i="1"/>
  <c r="AR8" i="1"/>
  <c r="AL8" i="1"/>
  <c r="AF8" i="1"/>
  <c r="Z8" i="1"/>
  <c r="T8" i="1"/>
  <c r="N8" i="1"/>
  <c r="H8" i="1"/>
  <c r="B8" i="1"/>
  <c r="ABL7" i="1"/>
  <c r="ABF7" i="1"/>
  <c r="AAZ7" i="1"/>
  <c r="AAT7" i="1"/>
  <c r="AAN7" i="1"/>
  <c r="AAH7" i="1"/>
  <c r="AAB7" i="1"/>
  <c r="ZV7" i="1"/>
  <c r="ZP7" i="1"/>
  <c r="ZJ7" i="1"/>
  <c r="ZD7" i="1"/>
  <c r="YX7" i="1"/>
  <c r="YR7" i="1"/>
  <c r="YL7" i="1"/>
  <c r="YF7" i="1"/>
  <c r="XZ7" i="1"/>
  <c r="XT7" i="1"/>
  <c r="XN7" i="1"/>
  <c r="XH7" i="1"/>
  <c r="XB7" i="1"/>
  <c r="WV7" i="1"/>
  <c r="WP7" i="1"/>
  <c r="WJ7" i="1"/>
  <c r="WD7" i="1"/>
  <c r="VX7" i="1"/>
  <c r="VR7" i="1"/>
  <c r="VL7" i="1"/>
  <c r="VF7" i="1"/>
  <c r="UZ7" i="1"/>
  <c r="UT7" i="1"/>
  <c r="UN7" i="1"/>
  <c r="UH7" i="1"/>
  <c r="UB7" i="1"/>
  <c r="TV7" i="1"/>
  <c r="TP7" i="1"/>
  <c r="TJ7" i="1"/>
  <c r="TD7" i="1"/>
  <c r="SX7" i="1"/>
  <c r="SR7" i="1"/>
  <c r="SL7" i="1"/>
  <c r="SF7" i="1"/>
  <c r="RZ7" i="1"/>
  <c r="RT7" i="1"/>
  <c r="RN7" i="1"/>
  <c r="RH7" i="1"/>
  <c r="RB7" i="1"/>
  <c r="QV7" i="1"/>
  <c r="QP7" i="1"/>
  <c r="QJ7" i="1"/>
  <c r="QD7" i="1"/>
  <c r="PX7" i="1"/>
  <c r="PR7" i="1"/>
  <c r="PL7" i="1"/>
  <c r="PF7" i="1"/>
  <c r="OZ7" i="1"/>
  <c r="OT7" i="1"/>
  <c r="ON7" i="1"/>
  <c r="OH7" i="1"/>
  <c r="OB7" i="1"/>
  <c r="NV7" i="1"/>
  <c r="NP7" i="1"/>
  <c r="NJ7" i="1"/>
  <c r="ND7" i="1"/>
  <c r="MX7" i="1"/>
  <c r="MR7" i="1"/>
  <c r="ML7" i="1"/>
  <c r="MF7" i="1"/>
  <c r="LZ7" i="1"/>
  <c r="LT7" i="1"/>
  <c r="LN7" i="1"/>
  <c r="LH7" i="1"/>
  <c r="LB7" i="1"/>
  <c r="KV7" i="1"/>
  <c r="KP7" i="1"/>
  <c r="KJ7" i="1"/>
  <c r="KD7" i="1"/>
  <c r="JX7" i="1"/>
  <c r="JR7" i="1"/>
  <c r="JL7" i="1"/>
  <c r="JF7" i="1"/>
  <c r="IZ7" i="1"/>
  <c r="IT7" i="1"/>
  <c r="IN7" i="1"/>
  <c r="IH7" i="1"/>
  <c r="IB7" i="1"/>
  <c r="HV7" i="1"/>
  <c r="HP7" i="1"/>
  <c r="HJ7" i="1"/>
  <c r="HD7" i="1"/>
  <c r="GX7" i="1"/>
  <c r="GR7" i="1"/>
  <c r="GL7" i="1"/>
  <c r="GF7" i="1"/>
  <c r="FZ7" i="1"/>
  <c r="FT7" i="1"/>
  <c r="FN7" i="1"/>
  <c r="FH7" i="1"/>
  <c r="FB7" i="1"/>
  <c r="EV7" i="1"/>
  <c r="EP7" i="1"/>
  <c r="EJ7" i="1"/>
  <c r="ED7" i="1"/>
  <c r="DX7" i="1"/>
  <c r="DR7" i="1"/>
  <c r="DL7" i="1"/>
  <c r="DF7" i="1"/>
  <c r="CZ7" i="1"/>
  <c r="CT7" i="1"/>
  <c r="CN7" i="1"/>
  <c r="CH7" i="1"/>
  <c r="CB7" i="1"/>
  <c r="BV7" i="1"/>
  <c r="BP7" i="1"/>
  <c r="BJ7" i="1"/>
  <c r="BD7" i="1"/>
  <c r="AX7" i="1"/>
  <c r="AR7" i="1"/>
  <c r="AL7" i="1"/>
  <c r="AF7" i="1"/>
  <c r="Z7" i="1"/>
  <c r="T7" i="1"/>
  <c r="N7" i="1"/>
  <c r="H7" i="1"/>
  <c r="B7" i="1"/>
  <c r="ABL6" i="1"/>
  <c r="ABF6" i="1"/>
  <c r="AAZ6" i="1"/>
  <c r="AAT6" i="1"/>
  <c r="AAN6" i="1"/>
  <c r="AAH6" i="1"/>
  <c r="AAB6" i="1"/>
  <c r="ZV6" i="1"/>
  <c r="ZP6" i="1"/>
  <c r="ZJ6" i="1"/>
  <c r="ZD6" i="1"/>
  <c r="YX6" i="1"/>
  <c r="YR6" i="1"/>
  <c r="YL6" i="1"/>
  <c r="YF6" i="1"/>
  <c r="XZ6" i="1"/>
  <c r="XT6" i="1"/>
  <c r="XN6" i="1"/>
  <c r="XH6" i="1"/>
  <c r="XB6" i="1"/>
  <c r="WV6" i="1"/>
  <c r="WP6" i="1"/>
  <c r="WJ6" i="1"/>
  <c r="WD6" i="1"/>
  <c r="VX6" i="1"/>
  <c r="VR6" i="1"/>
  <c r="VL6" i="1"/>
  <c r="VF6" i="1"/>
  <c r="UZ6" i="1"/>
  <c r="UT6" i="1"/>
  <c r="UN6" i="1"/>
  <c r="UH6" i="1"/>
  <c r="UB6" i="1"/>
  <c r="TV6" i="1"/>
  <c r="TP6" i="1"/>
  <c r="TJ6" i="1"/>
  <c r="TD6" i="1"/>
  <c r="SX6" i="1"/>
  <c r="SR6" i="1"/>
  <c r="SL6" i="1"/>
  <c r="SF6" i="1"/>
  <c r="RZ6" i="1"/>
  <c r="RT6" i="1"/>
  <c r="RN6" i="1"/>
  <c r="RH6" i="1"/>
  <c r="RB6" i="1"/>
  <c r="QV6" i="1"/>
  <c r="QP6" i="1"/>
  <c r="QJ6" i="1"/>
  <c r="QD6" i="1"/>
  <c r="PX6" i="1"/>
  <c r="PR6" i="1"/>
  <c r="PL6" i="1"/>
  <c r="PF6" i="1"/>
  <c r="OZ6" i="1"/>
  <c r="OT6" i="1"/>
  <c r="ON6" i="1"/>
  <c r="OH6" i="1"/>
  <c r="OB6" i="1"/>
  <c r="NV6" i="1"/>
  <c r="NP6" i="1"/>
  <c r="NJ6" i="1"/>
  <c r="ND6" i="1"/>
  <c r="MX6" i="1"/>
  <c r="MR6" i="1"/>
  <c r="ML6" i="1"/>
  <c r="MF6" i="1"/>
  <c r="LZ6" i="1"/>
  <c r="LT6" i="1"/>
  <c r="LN6" i="1"/>
  <c r="LH6" i="1"/>
  <c r="LB6" i="1"/>
  <c r="KV6" i="1"/>
  <c r="KP6" i="1"/>
  <c r="KJ6" i="1"/>
  <c r="KD6" i="1"/>
  <c r="JX6" i="1"/>
  <c r="JR6" i="1"/>
  <c r="JL6" i="1"/>
  <c r="JF6" i="1"/>
  <c r="IZ6" i="1"/>
  <c r="IT6" i="1"/>
  <c r="IN6" i="1"/>
  <c r="IH6" i="1"/>
  <c r="IB6" i="1"/>
  <c r="HV6" i="1"/>
  <c r="HP6" i="1"/>
  <c r="HJ6" i="1"/>
  <c r="HD6" i="1"/>
  <c r="GX6" i="1"/>
  <c r="GR6" i="1"/>
  <c r="GL6" i="1"/>
  <c r="GF6" i="1"/>
  <c r="FZ6" i="1"/>
  <c r="FT6" i="1"/>
  <c r="FN6" i="1"/>
  <c r="FH6" i="1"/>
  <c r="FB6" i="1"/>
  <c r="EV6" i="1"/>
  <c r="EP6" i="1"/>
  <c r="EJ6" i="1"/>
  <c r="ED6" i="1"/>
  <c r="DX6" i="1"/>
  <c r="DR6" i="1"/>
  <c r="DL6" i="1"/>
  <c r="DF6" i="1"/>
  <c r="CZ6" i="1"/>
  <c r="CT6" i="1"/>
  <c r="CN6" i="1"/>
  <c r="CH6" i="1"/>
  <c r="CB6" i="1"/>
  <c r="BV6" i="1"/>
  <c r="BP6" i="1"/>
  <c r="BJ6" i="1"/>
  <c r="BD6" i="1"/>
  <c r="AX6" i="1"/>
  <c r="AR6" i="1"/>
  <c r="AL6" i="1"/>
  <c r="AF6" i="1"/>
  <c r="Z6" i="1"/>
  <c r="T6" i="1"/>
  <c r="N6" i="1"/>
  <c r="H6" i="1"/>
  <c r="B6" i="1"/>
  <c r="ABL5" i="1"/>
  <c r="ABF5" i="1"/>
  <c r="AAZ5" i="1"/>
  <c r="AAT5" i="1"/>
  <c r="AAN5" i="1"/>
  <c r="AAH5" i="1"/>
  <c r="AAB5" i="1"/>
  <c r="ZV5" i="1"/>
  <c r="ZP5" i="1"/>
  <c r="ZJ5" i="1"/>
  <c r="ZD5" i="1"/>
  <c r="YX5" i="1"/>
  <c r="YR5" i="1"/>
  <c r="YL5" i="1"/>
  <c r="YF5" i="1"/>
  <c r="XZ5" i="1"/>
  <c r="XT5" i="1"/>
  <c r="XN5" i="1"/>
  <c r="XH5" i="1"/>
  <c r="XB5" i="1"/>
  <c r="WV5" i="1"/>
  <c r="WP5" i="1"/>
  <c r="WJ5" i="1"/>
  <c r="WD5" i="1"/>
  <c r="VX5" i="1"/>
  <c r="VR5" i="1"/>
  <c r="VL5" i="1"/>
  <c r="VF5" i="1"/>
  <c r="UZ5" i="1"/>
  <c r="UT5" i="1"/>
  <c r="UN5" i="1"/>
  <c r="UH5" i="1"/>
  <c r="UB5" i="1"/>
  <c r="TV5" i="1"/>
  <c r="TP5" i="1"/>
  <c r="TJ5" i="1"/>
  <c r="TD5" i="1"/>
  <c r="SX5" i="1"/>
  <c r="SR5" i="1"/>
  <c r="SL5" i="1"/>
  <c r="SF5" i="1"/>
  <c r="RZ5" i="1"/>
  <c r="RT5" i="1"/>
  <c r="RN5" i="1"/>
  <c r="RH5" i="1"/>
  <c r="RB5" i="1"/>
  <c r="QV5" i="1"/>
  <c r="QP5" i="1"/>
  <c r="QJ5" i="1"/>
  <c r="QD5" i="1"/>
  <c r="PX5" i="1"/>
  <c r="PR5" i="1"/>
  <c r="PL5" i="1"/>
  <c r="PF5" i="1"/>
  <c r="OZ5" i="1"/>
  <c r="OT5" i="1"/>
  <c r="ON5" i="1"/>
  <c r="OH5" i="1"/>
  <c r="OB5" i="1"/>
  <c r="NV5" i="1"/>
  <c r="NP5" i="1"/>
  <c r="NJ5" i="1"/>
  <c r="ND5" i="1"/>
  <c r="MX5" i="1"/>
  <c r="MR5" i="1"/>
  <c r="ML5" i="1"/>
  <c r="MF5" i="1"/>
  <c r="LZ5" i="1"/>
  <c r="LT5" i="1"/>
  <c r="LN5" i="1"/>
  <c r="LH5" i="1"/>
  <c r="LB5" i="1"/>
  <c r="KV5" i="1"/>
  <c r="KP5" i="1"/>
  <c r="KJ5" i="1"/>
  <c r="KD5" i="1"/>
  <c r="JX5" i="1"/>
  <c r="JR5" i="1"/>
  <c r="JL5" i="1"/>
  <c r="JF5" i="1"/>
  <c r="IZ5" i="1"/>
  <c r="IT5" i="1"/>
  <c r="IN5" i="1"/>
  <c r="IH5" i="1"/>
  <c r="IB5" i="1"/>
  <c r="HV5" i="1"/>
  <c r="HP5" i="1"/>
  <c r="HJ5" i="1"/>
  <c r="HD5" i="1"/>
  <c r="GX5" i="1"/>
  <c r="GR5" i="1"/>
  <c r="GL5" i="1"/>
  <c r="GF5" i="1"/>
  <c r="FZ5" i="1"/>
  <c r="FT5" i="1"/>
  <c r="FN5" i="1"/>
  <c r="FH5" i="1"/>
  <c r="FB5" i="1"/>
  <c r="EV5" i="1"/>
  <c r="EP5" i="1"/>
  <c r="EJ5" i="1"/>
  <c r="ED5" i="1"/>
  <c r="DX5" i="1"/>
  <c r="DR5" i="1"/>
  <c r="DL5" i="1"/>
  <c r="DF5" i="1"/>
  <c r="CZ5" i="1"/>
  <c r="CT5" i="1"/>
  <c r="CN5" i="1"/>
  <c r="CH5" i="1"/>
  <c r="CB5" i="1"/>
  <c r="BV5" i="1"/>
  <c r="BP5" i="1"/>
  <c r="BJ5" i="1"/>
  <c r="BD5" i="1"/>
  <c r="AX5" i="1"/>
  <c r="AR5" i="1"/>
  <c r="AL5" i="1"/>
  <c r="AF5" i="1"/>
  <c r="Z5" i="1"/>
  <c r="T5" i="1"/>
  <c r="N5" i="1"/>
  <c r="H5" i="1"/>
  <c r="B5" i="1"/>
  <c r="ABL4" i="1"/>
  <c r="ABF4" i="1"/>
  <c r="AAZ4" i="1"/>
  <c r="AAT4" i="1"/>
  <c r="AAN4" i="1"/>
  <c r="AAH4" i="1"/>
  <c r="AAB4" i="1"/>
  <c r="ZV4" i="1"/>
  <c r="ZP4" i="1"/>
  <c r="ZJ4" i="1"/>
  <c r="ZD4" i="1"/>
  <c r="YX4" i="1"/>
  <c r="YR4" i="1"/>
  <c r="YL4" i="1"/>
  <c r="YF4" i="1"/>
  <c r="XZ4" i="1"/>
  <c r="XT4" i="1"/>
  <c r="XN4" i="1"/>
  <c r="XH4" i="1"/>
  <c r="XB4" i="1"/>
  <c r="WV4" i="1"/>
  <c r="WP4" i="1"/>
  <c r="WJ4" i="1"/>
  <c r="WD4" i="1"/>
  <c r="VX4" i="1"/>
  <c r="VR4" i="1"/>
  <c r="VL4" i="1"/>
  <c r="VF4" i="1"/>
  <c r="UZ4" i="1"/>
  <c r="UT4" i="1"/>
  <c r="UN4" i="1"/>
  <c r="UH4" i="1"/>
  <c r="UB4" i="1"/>
  <c r="TV4" i="1"/>
  <c r="TP4" i="1"/>
  <c r="TJ4" i="1"/>
  <c r="TD4" i="1"/>
  <c r="SX4" i="1"/>
  <c r="SR4" i="1"/>
  <c r="SL4" i="1"/>
  <c r="SF4" i="1"/>
  <c r="RZ4" i="1"/>
  <c r="RT4" i="1"/>
  <c r="RN4" i="1"/>
  <c r="RH4" i="1"/>
  <c r="RB4" i="1"/>
  <c r="QV4" i="1"/>
  <c r="QP4" i="1"/>
  <c r="QJ4" i="1"/>
  <c r="QD4" i="1"/>
  <c r="PX4" i="1"/>
  <c r="PR4" i="1"/>
  <c r="PL4" i="1"/>
  <c r="PF4" i="1"/>
  <c r="OZ4" i="1"/>
  <c r="OT4" i="1"/>
  <c r="ON4" i="1"/>
  <c r="OH4" i="1"/>
  <c r="OB4" i="1"/>
  <c r="NV4" i="1"/>
  <c r="NP4" i="1"/>
  <c r="NJ4" i="1"/>
  <c r="ND4" i="1"/>
  <c r="MX4" i="1"/>
  <c r="MR4" i="1"/>
  <c r="ML4" i="1"/>
  <c r="MF4" i="1"/>
  <c r="LZ4" i="1"/>
  <c r="LT4" i="1"/>
  <c r="LN4" i="1"/>
  <c r="LH4" i="1"/>
  <c r="LB4" i="1"/>
  <c r="KV4" i="1"/>
  <c r="KP4" i="1"/>
  <c r="KJ4" i="1"/>
  <c r="KD4" i="1"/>
  <c r="JX4" i="1"/>
  <c r="JR4" i="1"/>
  <c r="JL4" i="1"/>
  <c r="JF4" i="1"/>
  <c r="IZ4" i="1"/>
  <c r="IT4" i="1"/>
  <c r="IN4" i="1"/>
  <c r="IH4" i="1"/>
  <c r="IB4" i="1"/>
  <c r="HV4" i="1"/>
  <c r="HP4" i="1"/>
  <c r="HJ4" i="1"/>
  <c r="HD4" i="1"/>
  <c r="GX4" i="1"/>
  <c r="GR4" i="1"/>
  <c r="GL4" i="1"/>
  <c r="GF4" i="1"/>
  <c r="FZ4" i="1"/>
  <c r="FT4" i="1"/>
  <c r="FN4" i="1"/>
  <c r="FH4" i="1"/>
  <c r="FB4" i="1"/>
  <c r="EV4" i="1"/>
  <c r="EP4" i="1"/>
  <c r="EJ4" i="1"/>
  <c r="ED4" i="1"/>
  <c r="DX4" i="1"/>
  <c r="DR4" i="1"/>
  <c r="DL4" i="1"/>
  <c r="DF4" i="1"/>
  <c r="CZ4" i="1"/>
  <c r="CT4" i="1"/>
  <c r="CN4" i="1"/>
  <c r="CH4" i="1"/>
  <c r="CB4" i="1"/>
  <c r="BV4" i="1"/>
  <c r="BP4" i="1"/>
  <c r="BJ4" i="1"/>
  <c r="BD4" i="1"/>
  <c r="AX4" i="1"/>
  <c r="AR4" i="1"/>
  <c r="AL4" i="1"/>
  <c r="AF4" i="1"/>
  <c r="Z4" i="1"/>
  <c r="T4" i="1"/>
  <c r="N4" i="1"/>
  <c r="H4" i="1"/>
  <c r="B4" i="1"/>
  <c r="ABL3" i="1"/>
  <c r="ABF3" i="1"/>
  <c r="AAZ3" i="1"/>
  <c r="AAT3" i="1"/>
  <c r="AAN3" i="1"/>
  <c r="AAH3" i="1"/>
  <c r="AAB3" i="1"/>
  <c r="ZV3" i="1"/>
  <c r="ZP3" i="1"/>
  <c r="ZJ3" i="1"/>
  <c r="ZD3" i="1"/>
  <c r="YX3" i="1"/>
  <c r="YR3" i="1"/>
  <c r="YL3" i="1"/>
  <c r="YF3" i="1"/>
  <c r="XZ3" i="1"/>
  <c r="XT3" i="1"/>
  <c r="XN3" i="1"/>
  <c r="XH3" i="1"/>
  <c r="XB3" i="1"/>
  <c r="WV3" i="1"/>
  <c r="WP3" i="1"/>
  <c r="WJ3" i="1"/>
  <c r="WD3" i="1"/>
  <c r="VX3" i="1"/>
  <c r="VR3" i="1"/>
  <c r="VL3" i="1"/>
  <c r="VF3" i="1"/>
  <c r="UZ3" i="1"/>
  <c r="UT3" i="1"/>
  <c r="UN3" i="1"/>
  <c r="UH3" i="1"/>
  <c r="UB3" i="1"/>
  <c r="TV3" i="1"/>
  <c r="TP3" i="1"/>
  <c r="TJ3" i="1"/>
  <c r="TD3" i="1"/>
  <c r="SX3" i="1"/>
  <c r="SR3" i="1"/>
  <c r="SL3" i="1"/>
  <c r="SF3" i="1"/>
  <c r="RZ3" i="1"/>
  <c r="RT3" i="1"/>
  <c r="RN3" i="1"/>
  <c r="RH3" i="1"/>
  <c r="RB3" i="1"/>
  <c r="QV3" i="1"/>
  <c r="QP3" i="1"/>
  <c r="QJ3" i="1"/>
  <c r="QD3" i="1"/>
  <c r="PX3" i="1"/>
  <c r="PR3" i="1"/>
  <c r="PL3" i="1"/>
  <c r="PF3" i="1"/>
  <c r="OZ3" i="1"/>
  <c r="OT3" i="1"/>
  <c r="ON3" i="1"/>
  <c r="OH3" i="1"/>
  <c r="OB3" i="1"/>
  <c r="NV3" i="1"/>
  <c r="NP3" i="1"/>
  <c r="NJ3" i="1"/>
  <c r="ND3" i="1"/>
  <c r="MX3" i="1"/>
  <c r="MR3" i="1"/>
  <c r="ML3" i="1"/>
  <c r="MF3" i="1"/>
  <c r="LZ3" i="1"/>
  <c r="LT3" i="1"/>
  <c r="LN3" i="1"/>
  <c r="LH3" i="1"/>
  <c r="LB3" i="1"/>
  <c r="KV3" i="1"/>
  <c r="KP3" i="1"/>
  <c r="KJ3" i="1"/>
  <c r="KD3" i="1"/>
  <c r="JX3" i="1"/>
  <c r="JR3" i="1"/>
  <c r="JL3" i="1"/>
  <c r="JF3" i="1"/>
  <c r="IZ3" i="1"/>
  <c r="IT3" i="1"/>
  <c r="IN3" i="1"/>
  <c r="IH3" i="1"/>
  <c r="IB3" i="1"/>
  <c r="HV3" i="1"/>
  <c r="HP3" i="1"/>
  <c r="HJ3" i="1"/>
  <c r="HD3" i="1"/>
  <c r="GX3" i="1"/>
  <c r="GR3" i="1"/>
  <c r="GL3" i="1"/>
  <c r="GF3" i="1"/>
  <c r="FZ3" i="1"/>
  <c r="FT3" i="1"/>
  <c r="FN3" i="1"/>
  <c r="FH3" i="1"/>
  <c r="FB3" i="1"/>
  <c r="EV3" i="1"/>
  <c r="EP3" i="1"/>
  <c r="EJ3" i="1"/>
  <c r="ED3" i="1"/>
  <c r="DX3" i="1"/>
  <c r="DR3" i="1"/>
  <c r="DL3" i="1"/>
  <c r="DF3" i="1"/>
  <c r="CZ3" i="1"/>
  <c r="CT3" i="1"/>
  <c r="CN3" i="1"/>
  <c r="CH3" i="1"/>
  <c r="CB3" i="1"/>
  <c r="BV3" i="1"/>
  <c r="BP3" i="1"/>
  <c r="BJ3" i="1"/>
  <c r="BD3" i="1"/>
  <c r="AX3" i="1"/>
  <c r="AR3" i="1"/>
  <c r="AL3" i="1"/>
  <c r="AF3" i="1"/>
  <c r="Z3" i="1"/>
  <c r="T3" i="1"/>
  <c r="N3" i="1"/>
  <c r="H3" i="1"/>
  <c r="B3" i="1"/>
  <c r="MB27" i="1" l="1" a="1"/>
  <c r="MB27" i="1" s="1"/>
  <c r="ME27" i="1" s="1"/>
  <c r="MN27" i="1" a="1"/>
  <c r="MN27" i="1" s="1"/>
  <c r="MQ27" i="1" s="1"/>
  <c r="JT27" i="1" a="1"/>
  <c r="JT27" i="1" s="1"/>
  <c r="JW27" i="1" s="1"/>
  <c r="FD27" i="1" a="1"/>
  <c r="FD27" i="1" s="1"/>
  <c r="FG27" i="1" s="1"/>
  <c r="EF27" i="1" a="1"/>
  <c r="EF27" i="1" s="1"/>
  <c r="EI27" i="1" s="1"/>
  <c r="KF27" i="1" a="1"/>
  <c r="KF27" i="1" s="1"/>
  <c r="KI27" i="1" s="1"/>
  <c r="JH27" i="1" a="1"/>
  <c r="JH27" i="1" s="1"/>
  <c r="JK27" i="1" s="1"/>
  <c r="ER27" i="1" a="1"/>
  <c r="ER27" i="1" s="1"/>
  <c r="EU27" i="1" s="1"/>
  <c r="DT27" i="1" a="1"/>
  <c r="DT27" i="1" s="1"/>
  <c r="DW27" i="1" s="1"/>
  <c r="MZ27" i="1" a="1"/>
  <c r="MZ27" i="1" s="1"/>
  <c r="NC27" i="1" s="1"/>
  <c r="ABH27" i="1" a="1"/>
  <c r="ABH27" i="1" s="1"/>
  <c r="ABK27" i="1" s="1"/>
  <c r="WR27" i="1" a="1"/>
  <c r="WR27" i="1" s="1"/>
  <c r="WU27" i="1" s="1"/>
  <c r="VH27" i="1" a="1"/>
  <c r="VH27" i="1" s="1"/>
  <c r="VK27" i="1" s="1"/>
  <c r="QR27" i="1" a="1"/>
  <c r="QR27" i="1" s="1"/>
  <c r="QU27" i="1" s="1"/>
  <c r="LD27" i="1" a="1"/>
  <c r="LD27" i="1" s="1"/>
  <c r="LG27" i="1" s="1"/>
  <c r="IV27" i="1" a="1"/>
  <c r="IV27" i="1" s="1"/>
  <c r="IY27" i="1" s="1"/>
  <c r="GN27" i="1" a="1"/>
  <c r="GN27" i="1" s="1"/>
  <c r="GQ27" i="1" s="1"/>
  <c r="DH27" i="1" a="1"/>
  <c r="DH27" i="1" s="1"/>
  <c r="DK27" i="1" s="1"/>
  <c r="P27" i="1" a="1"/>
  <c r="P27" i="1" s="1"/>
  <c r="S27" i="1" s="1"/>
  <c r="YZ27" i="1" a="1"/>
  <c r="YZ27" i="1" s="1"/>
  <c r="ZC27" i="1" s="1"/>
  <c r="GB27" i="1" a="1"/>
  <c r="GB27" i="1" s="1"/>
  <c r="GE27" i="1" s="1"/>
  <c r="CV27" i="1" a="1"/>
  <c r="CV27" i="1" s="1"/>
  <c r="CY27" i="1" s="1"/>
  <c r="CJ27" i="1" a="1"/>
  <c r="CJ27" i="1" s="1"/>
  <c r="CM27" i="1" s="1"/>
  <c r="OJ27" i="1" a="1"/>
  <c r="OJ27" i="1" s="1"/>
  <c r="OM27" i="1" s="1"/>
  <c r="KR27" i="1" a="1"/>
  <c r="KR27" i="1" s="1"/>
  <c r="KU27" i="1" s="1"/>
  <c r="AAV27" i="1" a="1"/>
  <c r="AAV27" i="1" s="1"/>
  <c r="AAY27" i="1" s="1"/>
  <c r="IJ27" i="1" a="1"/>
  <c r="IJ27" i="1" s="1"/>
  <c r="IM27" i="1" s="1"/>
  <c r="FP27" i="1" a="1"/>
  <c r="FP27" i="1" s="1"/>
  <c r="FS27" i="1" s="1"/>
  <c r="BX27" i="1" a="1"/>
  <c r="BX27" i="1" s="1"/>
  <c r="CA27" i="1" s="1"/>
  <c r="RP27" i="1" a="1"/>
  <c r="RP27" i="1" s="1"/>
  <c r="RS27" i="1" s="1"/>
  <c r="OV27" i="1" a="1"/>
  <c r="OV27" i="1" s="1"/>
  <c r="OY27" i="1" s="1"/>
  <c r="UV27" i="1" a="1"/>
  <c r="UV27" i="1" s="1"/>
  <c r="UY27" i="1" s="1"/>
  <c r="TL27" i="1" a="1"/>
  <c r="TL27" i="1" s="1"/>
  <c r="TO27" i="1" s="1"/>
  <c r="SN27" i="1" a="1"/>
  <c r="SN27" i="1" s="1"/>
  <c r="SQ27" i="1" s="1"/>
  <c r="RD27" i="1" a="1"/>
  <c r="RD27" i="1" s="1"/>
  <c r="RG27" i="1" s="1"/>
  <c r="PH27" i="1" a="1"/>
  <c r="PH27" i="1" s="1"/>
  <c r="PK27" i="1" s="1"/>
  <c r="NX27" i="1" a="1"/>
  <c r="NX27" i="1" s="1"/>
  <c r="OA27" i="1" s="1"/>
  <c r="YN27" i="1" a="1"/>
  <c r="YN27" i="1" s="1"/>
  <c r="YQ27" i="1" s="1"/>
  <c r="ZX27" i="1" a="1"/>
  <c r="ZX27" i="1" s="1"/>
  <c r="AAA27" i="1" s="1"/>
  <c r="ZL27" i="1" a="1"/>
  <c r="ZL27" i="1" s="1"/>
  <c r="ZO27" i="1" s="1"/>
  <c r="YB27" i="1" a="1"/>
  <c r="YB27" i="1" s="1"/>
  <c r="YE27" i="1" s="1"/>
  <c r="XP27" i="1" a="1"/>
  <c r="XP27" i="1" s="1"/>
  <c r="XS27" i="1" s="1"/>
  <c r="XD27" i="1" a="1"/>
  <c r="XD27" i="1" s="1"/>
  <c r="XG27" i="1" s="1"/>
  <c r="SB27" i="1" a="1"/>
  <c r="SB27" i="1" s="1"/>
  <c r="SE27" i="1" s="1"/>
  <c r="LP27" i="1" a="1"/>
  <c r="LP27" i="1" s="1"/>
  <c r="LS27" i="1" s="1"/>
  <c r="HX27" i="1" a="1"/>
  <c r="HX27" i="1" s="1"/>
  <c r="IA27" i="1" s="1"/>
  <c r="NC1" i="1"/>
  <c r="JK1" i="1"/>
  <c r="DW1" i="1"/>
  <c r="CA1" i="1"/>
  <c r="VK1" i="1"/>
  <c r="HC1" i="1"/>
  <c r="DK1" i="1"/>
  <c r="BO1" i="1"/>
  <c r="S1" i="1"/>
  <c r="GE1" i="1"/>
  <c r="IM1" i="1"/>
  <c r="OA1" i="1"/>
  <c r="KI1" i="1"/>
  <c r="FG1" i="1"/>
  <c r="AQ1" i="1"/>
  <c r="LG1" i="1"/>
  <c r="IY1" i="1"/>
  <c r="QU1" i="1"/>
  <c r="ME1" i="1"/>
  <c r="RG1" i="1"/>
  <c r="NO1" i="1"/>
  <c r="CM1" i="1"/>
  <c r="FS1" i="1"/>
  <c r="AE1" i="1"/>
  <c r="ABK1" i="1"/>
  <c r="UY1" i="1"/>
  <c r="YE1" i="1"/>
  <c r="UM1" i="1"/>
  <c r="UA1" i="1"/>
  <c r="RS1" i="1"/>
  <c r="OM1" i="1"/>
  <c r="QI1" i="1"/>
  <c r="OY1" i="1"/>
  <c r="MQ1" i="1"/>
  <c r="EU1" i="1"/>
  <c r="HO1" i="1"/>
  <c r="JW1" i="1"/>
  <c r="KU1" i="1"/>
  <c r="YQ1" i="1"/>
  <c r="PW1" i="1"/>
  <c r="ZC1" i="1"/>
  <c r="VW1" i="1"/>
  <c r="TO1" i="1"/>
  <c r="WU1" i="1"/>
  <c r="WI1" i="1"/>
  <c r="AAY1" i="1"/>
  <c r="ZO1" i="1"/>
  <c r="SE1" i="1" l="1"/>
  <c r="XS1" i="1"/>
  <c r="XG1" i="1"/>
  <c r="GQ1" i="1"/>
  <c r="BC1" i="1"/>
  <c r="CY1" i="1"/>
  <c r="SQ1" i="1"/>
  <c r="EI1" i="1"/>
  <c r="IA1" i="1"/>
  <c r="AAA1" i="1"/>
  <c r="PK1" i="1"/>
  <c r="TC1" i="1"/>
  <c r="LS1" i="1"/>
  <c r="AAM1" i="1"/>
  <c r="F50" i="1" l="1" a="1"/>
  <c r="F50" i="1" s="1"/>
  <c r="D50" i="1" a="1"/>
  <c r="D50" i="1" s="1"/>
  <c r="C50" i="1" a="1"/>
  <c r="C50" i="1" s="1"/>
  <c r="E51" i="1" a="1"/>
  <c r="E51" i="1" s="1"/>
  <c r="E50" i="1" a="1"/>
  <c r="E50" i="1" s="1"/>
  <c r="F51" i="1" a="1"/>
  <c r="F51" i="1" s="1"/>
  <c r="D51" i="1" a="1"/>
  <c r="D51" i="1" s="1"/>
  <c r="D27" i="1" a="1"/>
  <c r="D27" i="1" s="1"/>
  <c r="C51" i="1" a="1"/>
  <c r="C51" i="1" s="1"/>
  <c r="B50" i="1" l="1"/>
  <c r="G27" i="1"/>
  <c r="B51" i="1"/>
  <c r="A29" i="1"/>
  <c r="B5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<sst xmlns="http://schemas.openxmlformats.org/spreadsheetml/2006/main" count="3991" uniqueCount="3066">
  <si>
    <t>Score</t>
  </si>
  <si>
    <t>Greedy</t>
  </si>
  <si>
    <t>AFWENT</t>
  </si>
  <si>
    <t>JUWEEL</t>
  </si>
  <si>
    <t>FIELD</t>
  </si>
  <si>
    <t>WECK</t>
  </si>
  <si>
    <t>BAPAO</t>
  </si>
  <si>
    <t>KANOEN</t>
  </si>
  <si>
    <t>AFKLEMT</t>
  </si>
  <si>
    <t>ECGS</t>
  </si>
  <si>
    <t>EOCEEN</t>
  </si>
  <si>
    <t>OUNCE</t>
  </si>
  <si>
    <t>UITVOER</t>
  </si>
  <si>
    <t>SUMO</t>
  </si>
  <si>
    <t>HEMD</t>
  </si>
  <si>
    <t>GEHEMDE</t>
  </si>
  <si>
    <t>VUNZEN</t>
  </si>
  <si>
    <t>WEEEN</t>
  </si>
  <si>
    <t>HEX</t>
  </si>
  <si>
    <t>BEWEENT</t>
  </si>
  <si>
    <t>WEVEN</t>
  </si>
  <si>
    <t>BLUST</t>
  </si>
  <si>
    <t>KLEMDE</t>
  </si>
  <si>
    <t>HARPT</t>
  </si>
  <si>
    <t>JUF</t>
  </si>
  <si>
    <t>ANEMOON</t>
  </si>
  <si>
    <t>TWEEDEN</t>
  </si>
  <si>
    <t>WEP</t>
  </si>
  <si>
    <t>VIEZE</t>
  </si>
  <si>
    <t>ZULK</t>
  </si>
  <si>
    <t>DEUX</t>
  </si>
  <si>
    <t>WRIK</t>
  </si>
  <si>
    <t>ZWADE</t>
  </si>
  <si>
    <t>WENTEL</t>
  </si>
  <si>
    <t>ONTZET</t>
  </si>
  <si>
    <t>GEWAS</t>
  </si>
  <si>
    <t>LEX</t>
  </si>
  <si>
    <t>GLIP</t>
  </si>
  <si>
    <t>REX</t>
  </si>
  <si>
    <t>DRAFJE</t>
  </si>
  <si>
    <t>BAMI</t>
  </si>
  <si>
    <t>TEXT</t>
  </si>
  <si>
    <t>ENGERE</t>
  </si>
  <si>
    <t>SJERP</t>
  </si>
  <si>
    <t>ZWEEF</t>
  </si>
  <si>
    <t>KWEKT</t>
  </si>
  <si>
    <t>EPOSSEN</t>
  </si>
  <si>
    <t>SUBJECT</t>
  </si>
  <si>
    <t>AFVANG</t>
  </si>
  <si>
    <t>OVERSPAN</t>
  </si>
  <si>
    <t>GOH</t>
  </si>
  <si>
    <t>ECU</t>
  </si>
  <si>
    <t>PENDE</t>
  </si>
  <si>
    <t>DIENSTEN</t>
  </si>
  <si>
    <t>KENNEL</t>
  </si>
  <si>
    <t>GASBLOK</t>
  </si>
  <si>
    <t>ZWARE</t>
  </si>
  <si>
    <t>SLUIKWEG</t>
  </si>
  <si>
    <t>TJALK</t>
  </si>
  <si>
    <t>UH</t>
  </si>
  <si>
    <t>AXON</t>
  </si>
  <si>
    <t>SIGNA</t>
  </si>
  <si>
    <t>LONEN</t>
  </si>
  <si>
    <t>NAIJVER</t>
  </si>
  <si>
    <t>CENTJE</t>
  </si>
  <si>
    <t>BIB</t>
  </si>
  <si>
    <t>BIJNEEM</t>
  </si>
  <si>
    <t>YUP</t>
  </si>
  <si>
    <t>ZWERM</t>
  </si>
  <si>
    <t>EN</t>
  </si>
  <si>
    <t>WOON</t>
  </si>
  <si>
    <t>ZWERK</t>
  </si>
  <si>
    <t>WEGEBT</t>
  </si>
  <si>
    <t>VOCE</t>
  </si>
  <si>
    <t>ZEMEL</t>
  </si>
  <si>
    <t>CONTO</t>
  </si>
  <si>
    <t>HENRY</t>
  </si>
  <si>
    <t>AAS</t>
  </si>
  <si>
    <t>AANEEN</t>
  </si>
  <si>
    <t>AFPEN</t>
  </si>
  <si>
    <t>FIVE</t>
  </si>
  <si>
    <t>KST</t>
  </si>
  <si>
    <t>MIX</t>
  </si>
  <si>
    <t>MIXER</t>
  </si>
  <si>
    <t>WAMEN</t>
  </si>
  <si>
    <t>OPMATEN</t>
  </si>
  <si>
    <t>PLEBS</t>
  </si>
  <si>
    <t>BEUGT</t>
  </si>
  <si>
    <t>GESELEN</t>
  </si>
  <si>
    <t>TIKTAKT</t>
  </si>
  <si>
    <t>BALDE</t>
  </si>
  <si>
    <t>DEALTJE</t>
  </si>
  <si>
    <t>MUONEN</t>
  </si>
  <si>
    <t>KNIPOGEN</t>
  </si>
  <si>
    <t>NAG</t>
  </si>
  <si>
    <t>QUA</t>
  </si>
  <si>
    <t>QUAKER</t>
  </si>
  <si>
    <t>ETSENDE</t>
  </si>
  <si>
    <t>PEZEN</t>
  </si>
  <si>
    <t>ROKZAK</t>
  </si>
  <si>
    <t>JOB</t>
  </si>
  <si>
    <t>BR</t>
  </si>
  <si>
    <t>HORECA</t>
  </si>
  <si>
    <t>DOODAF</t>
  </si>
  <si>
    <t>ZEESLANG</t>
  </si>
  <si>
    <t>OXIDES</t>
  </si>
  <si>
    <t>ICON</t>
  </si>
  <si>
    <t>UITDOE</t>
  </si>
  <si>
    <t>VETER</t>
  </si>
  <si>
    <t>VDERJTD</t>
  </si>
  <si>
    <t>KAMELEON</t>
  </si>
  <si>
    <t>AEO NME</t>
  </si>
  <si>
    <t>DROPPEN</t>
  </si>
  <si>
    <t>OHPNPRE</t>
  </si>
  <si>
    <t>VUIGST</t>
  </si>
  <si>
    <t>S UGIVA</t>
  </si>
  <si>
    <t>VEENPLAS</t>
  </si>
  <si>
    <t>NLPSVAE</t>
  </si>
  <si>
    <t>L</t>
  </si>
  <si>
    <t>ENLDNRE</t>
  </si>
  <si>
    <t>FEEERIE</t>
  </si>
  <si>
    <t>RUEIEEE</t>
  </si>
  <si>
    <t>GELOST</t>
  </si>
  <si>
    <t>TEGLTOL</t>
  </si>
  <si>
    <t>HEVIGE</t>
  </si>
  <si>
    <t>IGUEVHO</t>
  </si>
  <si>
    <t>DOL</t>
  </si>
  <si>
    <t>NADLSOD</t>
  </si>
  <si>
    <t>UITVOERLADE</t>
  </si>
  <si>
    <t>ELEOEAD</t>
  </si>
  <si>
    <t>DENKGOED</t>
  </si>
  <si>
    <t>KNOGDEE</t>
  </si>
  <si>
    <t>WAKEND</t>
  </si>
  <si>
    <t>KOWEANA</t>
  </si>
  <si>
    <t>HOCKEY</t>
  </si>
  <si>
    <t>OYGEEHC</t>
  </si>
  <si>
    <t>KOMT</t>
  </si>
  <si>
    <t>XKMWORT</t>
  </si>
  <si>
    <t>TUT</t>
  </si>
  <si>
    <t>GEZDNET</t>
  </si>
  <si>
    <t>ZON</t>
  </si>
  <si>
    <t>ONRZANC</t>
  </si>
  <si>
    <t>PYTHON</t>
  </si>
  <si>
    <t>NYWTGPM</t>
  </si>
  <si>
    <t>COX</t>
  </si>
  <si>
    <t>CHMAOXG</t>
  </si>
  <si>
    <t>EVACUE</t>
  </si>
  <si>
    <t>EUVATNC</t>
  </si>
  <si>
    <t>TOVERDEN</t>
  </si>
  <si>
    <t>NDOVRTE</t>
  </si>
  <si>
    <t>MAD</t>
  </si>
  <si>
    <t>TSAMIDP</t>
  </si>
  <si>
    <t>FALEND</t>
  </si>
  <si>
    <t>KNRLEDO</t>
  </si>
  <si>
    <t>Z IVTED</t>
  </si>
  <si>
    <t>TAAKUREN</t>
  </si>
  <si>
    <t>RUAEAKN</t>
  </si>
  <si>
    <t>BEEFT</t>
  </si>
  <si>
    <t>MSTFEBB</t>
  </si>
  <si>
    <t>BEG</t>
  </si>
  <si>
    <t>CNGNGEB</t>
  </si>
  <si>
    <t>MMM</t>
  </si>
  <si>
    <t>TMMRMEU</t>
  </si>
  <si>
    <t>ZENG</t>
  </si>
  <si>
    <t>GJNLSEB</t>
  </si>
  <si>
    <t>EEGA</t>
  </si>
  <si>
    <t>TEESEEA</t>
  </si>
  <si>
    <t>GEWRIKT</t>
  </si>
  <si>
    <t>GQRTJPE</t>
  </si>
  <si>
    <t>REDUCTIO</t>
  </si>
  <si>
    <t>OUCRIED</t>
  </si>
  <si>
    <t>WIJVEN</t>
  </si>
  <si>
    <t>CEVJIEN</t>
  </si>
  <si>
    <t>EB</t>
  </si>
  <si>
    <t>BZSESBC</t>
  </si>
  <si>
    <t>ZQUJBNW</t>
  </si>
  <si>
    <t>EXEN</t>
  </si>
  <si>
    <t>SNNDEEE</t>
  </si>
  <si>
    <t>GSMEN</t>
  </si>
  <si>
    <t>NZSMBEH</t>
  </si>
  <si>
    <t>TOEKENDE</t>
  </si>
  <si>
    <t>EENTDKO</t>
  </si>
  <si>
    <t>JEEP</t>
  </si>
  <si>
    <t>NJDNDPE</t>
  </si>
  <si>
    <t>MOET</t>
  </si>
  <si>
    <t>TMOMTEO</t>
  </si>
  <si>
    <t>JUMBO</t>
  </si>
  <si>
    <t>EUEOJMO</t>
  </si>
  <si>
    <t>INRIJDT</t>
  </si>
  <si>
    <t>LITDINR</t>
  </si>
  <si>
    <t>GEMAK</t>
  </si>
  <si>
    <t>EKAEMUG</t>
  </si>
  <si>
    <t>SDQOLZD</t>
  </si>
  <si>
    <t>LOPER</t>
  </si>
  <si>
    <t>UNLEPOR</t>
  </si>
  <si>
    <t>PAN</t>
  </si>
  <si>
    <t>PSDGANE</t>
  </si>
  <si>
    <t>WENER</t>
  </si>
  <si>
    <t>RENWARO</t>
  </si>
  <si>
    <t>HAAF</t>
  </si>
  <si>
    <t>OEAFEHA</t>
  </si>
  <si>
    <t>NORMALEN</t>
  </si>
  <si>
    <t>NAEMONL</t>
  </si>
  <si>
    <t>TANDBEEN</t>
  </si>
  <si>
    <t>AEETDNB</t>
  </si>
  <si>
    <t>RECUS</t>
  </si>
  <si>
    <t>NDNGRSD</t>
  </si>
  <si>
    <t>LEP</t>
  </si>
  <si>
    <t>VDCPJEL</t>
  </si>
  <si>
    <t>BARONIE</t>
  </si>
  <si>
    <t>UEOBRIA</t>
  </si>
  <si>
    <t>PEYOTE</t>
  </si>
  <si>
    <t>YEATEEO</t>
  </si>
  <si>
    <t>OVERNAME</t>
  </si>
  <si>
    <t>OEAEMRV</t>
  </si>
  <si>
    <t>ENOLRXP</t>
  </si>
  <si>
    <t>SLUIKWEGEN</t>
  </si>
  <si>
    <t>NNNEDRN</t>
  </si>
  <si>
    <t>VUNS</t>
  </si>
  <si>
    <t>NVNSNTU</t>
  </si>
  <si>
    <t>DROL</t>
  </si>
  <si>
    <t>DRNMLCO</t>
  </si>
  <si>
    <t>BRENG</t>
  </si>
  <si>
    <t>GNDBEKJ</t>
  </si>
  <si>
    <t>EIGENAAR</t>
  </si>
  <si>
    <t>EEGNIRA</t>
  </si>
  <si>
    <t>TAXON</t>
  </si>
  <si>
    <t>DOQTRCO</t>
  </si>
  <si>
    <t>MINIEMEN</t>
  </si>
  <si>
    <t>NEEM  M</t>
  </si>
  <si>
    <t>HM</t>
  </si>
  <si>
    <t>NCVTMHG</t>
  </si>
  <si>
    <t>SONOOR</t>
  </si>
  <si>
    <t>RONNOSO</t>
  </si>
  <si>
    <t>SUFS</t>
  </si>
  <si>
    <t>UNSFWNG</t>
  </si>
  <si>
    <t>MBNZNSK</t>
  </si>
  <si>
    <t>BOXER</t>
  </si>
  <si>
    <t>XVCEOBO</t>
  </si>
  <si>
    <t>Z</t>
  </si>
  <si>
    <t>O DSKZO</t>
  </si>
  <si>
    <t>OMVANG</t>
  </si>
  <si>
    <t>VOANNGA</t>
  </si>
  <si>
    <t>HARPSPEL</t>
  </si>
  <si>
    <t>E SRHPA</t>
  </si>
  <si>
    <t>HARPSPELEN</t>
  </si>
  <si>
    <t>AIOOVEN</t>
  </si>
  <si>
    <t>INVOEGDE</t>
  </si>
  <si>
    <t>NGOEIVD</t>
  </si>
  <si>
    <t>WANEN</t>
  </si>
  <si>
    <t>NSWANEF</t>
  </si>
  <si>
    <t>HATENDE</t>
  </si>
  <si>
    <t>TNEDEAH</t>
  </si>
  <si>
    <t>BOOG</t>
  </si>
  <si>
    <t>AOSABGO</t>
  </si>
  <si>
    <t>BOUCHE</t>
  </si>
  <si>
    <t>UCEROOH</t>
  </si>
  <si>
    <t>HINDES</t>
  </si>
  <si>
    <t>HSADENI</t>
  </si>
  <si>
    <t>LEDJE</t>
  </si>
  <si>
    <t>DEETEEJ</t>
  </si>
  <si>
    <t>ZEMELS</t>
  </si>
  <si>
    <t>QNNADNS</t>
  </si>
  <si>
    <t>STENT</t>
  </si>
  <si>
    <t>ENDNTSN</t>
  </si>
  <si>
    <t>FETISJ</t>
  </si>
  <si>
    <t>FIBGETJ</t>
  </si>
  <si>
    <t>NUK</t>
  </si>
  <si>
    <t>EGNIKUN</t>
  </si>
  <si>
    <t>FELS</t>
  </si>
  <si>
    <t>NNSFLER</t>
  </si>
  <si>
    <t>MIOCEEN</t>
  </si>
  <si>
    <t>MNIEOEC</t>
  </si>
  <si>
    <t>WELEN</t>
  </si>
  <si>
    <t>HBTNWLE</t>
  </si>
  <si>
    <t>OUDTANTE</t>
  </si>
  <si>
    <t>ANETDUO</t>
  </si>
  <si>
    <t>BES</t>
  </si>
  <si>
    <t>BNNQSNE</t>
  </si>
  <si>
    <t>JAVAMENS</t>
  </si>
  <si>
    <t>AN SVMJ</t>
  </si>
  <si>
    <t>VIJFDEN</t>
  </si>
  <si>
    <t>IODJEFN</t>
  </si>
  <si>
    <t>LOVEN</t>
  </si>
  <si>
    <t>OLNVNPN</t>
  </si>
  <si>
    <t>BAMBINI</t>
  </si>
  <si>
    <t>ABINBZI</t>
  </si>
  <si>
    <t>PAUKEN</t>
  </si>
  <si>
    <t>AEKPAUE</t>
  </si>
  <si>
    <t>HUI</t>
  </si>
  <si>
    <t>IUONOHN</t>
  </si>
  <si>
    <t>RKENDXS</t>
  </si>
  <si>
    <t>WRENS</t>
  </si>
  <si>
    <t>NWL NRN</t>
  </si>
  <si>
    <t>OMZETTEN</t>
  </si>
  <si>
    <t>TZENOEM</t>
  </si>
  <si>
    <t>ZEEKOETEN</t>
  </si>
  <si>
    <t>ENZ TKE</t>
  </si>
  <si>
    <t>BOOTEE</t>
  </si>
  <si>
    <t>OENBEEO</t>
  </si>
  <si>
    <t>HAVENOTS</t>
  </si>
  <si>
    <t>HTNSVOA</t>
  </si>
  <si>
    <t>ANTIEKEN</t>
  </si>
  <si>
    <t>NIENATK</t>
  </si>
  <si>
    <t>KEELGAT</t>
  </si>
  <si>
    <t>EAGKYET</t>
  </si>
  <si>
    <t>BOY</t>
  </si>
  <si>
    <t>NAOEBGY</t>
  </si>
  <si>
    <t>RDPNRVE</t>
  </si>
  <si>
    <t>ZUL</t>
  </si>
  <si>
    <t>LBANUAZ</t>
  </si>
  <si>
    <t>AFTELT</t>
  </si>
  <si>
    <t>DLNZTET</t>
  </si>
  <si>
    <t>YUANS</t>
  </si>
  <si>
    <t>SNMUDYO</t>
  </si>
  <si>
    <t>MUST</t>
  </si>
  <si>
    <t>UCTN WM</t>
  </si>
  <si>
    <t>TEUGELDE</t>
  </si>
  <si>
    <t>GEULEDE</t>
  </si>
  <si>
    <t>HOEMPA</t>
  </si>
  <si>
    <t>MAHE OH</t>
  </si>
  <si>
    <t>NOTENBAR</t>
  </si>
  <si>
    <t>RONENTB</t>
  </si>
  <si>
    <t>ROMANESK</t>
  </si>
  <si>
    <t>NMRAE O</t>
  </si>
  <si>
    <t>WIJK</t>
  </si>
  <si>
    <t>REGOKWI</t>
  </si>
  <si>
    <t>ZIP</t>
  </si>
  <si>
    <t>DNDDPZI</t>
  </si>
  <si>
    <t>IA</t>
  </si>
  <si>
    <t>DIEIANR</t>
  </si>
  <si>
    <t>RANKT</t>
  </si>
  <si>
    <t>VTWPNNK</t>
  </si>
  <si>
    <t>RAFELING</t>
  </si>
  <si>
    <t>GIL ANE</t>
  </si>
  <si>
    <t>RELAX</t>
  </si>
  <si>
    <t>NLRNAXD</t>
  </si>
  <si>
    <t>ZWEEM</t>
  </si>
  <si>
    <t>EZWUMAI</t>
  </si>
  <si>
    <t>SHOWBAND</t>
  </si>
  <si>
    <t>BSWA DN</t>
  </si>
  <si>
    <t>INSLAGEN</t>
  </si>
  <si>
    <t xml:space="preserve"> SNENGA</t>
  </si>
  <si>
    <t>QUORN</t>
  </si>
  <si>
    <t>GQUNNLR</t>
  </si>
  <si>
    <t>LENIGER</t>
  </si>
  <si>
    <t>NGQLIRE</t>
  </si>
  <si>
    <t>ELOGES</t>
  </si>
  <si>
    <t>EEEGOLS</t>
  </si>
  <si>
    <t>WEDDEN</t>
  </si>
  <si>
    <t>DJDWUEN</t>
  </si>
  <si>
    <t>WEB</t>
  </si>
  <si>
    <t>BINSEEL</t>
  </si>
  <si>
    <t>EXTRAS</t>
  </si>
  <si>
    <t>HSATIXR</t>
  </si>
  <si>
    <t>HANNESEN</t>
  </si>
  <si>
    <t>ANENSHE</t>
  </si>
  <si>
    <t>WAD</t>
  </si>
  <si>
    <t>WDSAWOQ</t>
  </si>
  <si>
    <t>REDENEN</t>
  </si>
  <si>
    <t xml:space="preserve">ENDNRE </t>
  </si>
  <si>
    <t>URDNAON</t>
  </si>
  <si>
    <t>WED</t>
  </si>
  <si>
    <t>ETL WVD</t>
  </si>
  <si>
    <t>URMEN</t>
  </si>
  <si>
    <t>UOQNRMB</t>
  </si>
  <si>
    <t>ONDERSTA</t>
  </si>
  <si>
    <t>NASDTRE</t>
  </si>
  <si>
    <t>DOEKJE</t>
  </si>
  <si>
    <t>EOEIDOJ</t>
  </si>
  <si>
    <t xml:space="preserve">DZSKST </t>
  </si>
  <si>
    <t>ORAKELS</t>
  </si>
  <si>
    <t>OASRLEK</t>
  </si>
  <si>
    <t>AGAME</t>
  </si>
  <si>
    <t>GEAMSEA</t>
  </si>
  <si>
    <t>WELK</t>
  </si>
  <si>
    <t>XWREHLP</t>
  </si>
  <si>
    <t>ZEGENDEN</t>
  </si>
  <si>
    <t>GEZDNEE</t>
  </si>
  <si>
    <t>RIJ</t>
  </si>
  <si>
    <t>RANCIGJ</t>
  </si>
  <si>
    <t>WONDJE</t>
  </si>
  <si>
    <t>WGM JEO</t>
  </si>
  <si>
    <t>CLASH</t>
  </si>
  <si>
    <t>HMAGSLA</t>
  </si>
  <si>
    <t>ONTBEREN</t>
  </si>
  <si>
    <t>TNBERON</t>
  </si>
  <si>
    <t>CAB</t>
  </si>
  <si>
    <t>GCNVBNA</t>
  </si>
  <si>
    <t>KA</t>
  </si>
  <si>
    <t>TSIPAKA</t>
  </si>
  <si>
    <t>GARCON</t>
  </si>
  <si>
    <t>KROCNGA</t>
  </si>
  <si>
    <t>DENTISTE</t>
  </si>
  <si>
    <t xml:space="preserve"> ITEDES</t>
  </si>
  <si>
    <t>SLEEDEN</t>
  </si>
  <si>
    <t>EDNEESL</t>
  </si>
  <si>
    <t>BESOM</t>
  </si>
  <si>
    <t>MSBOESC</t>
  </si>
  <si>
    <t>GENERA</t>
  </si>
  <si>
    <t>CNNGRAE</t>
  </si>
  <si>
    <t>DEUTERON</t>
  </si>
  <si>
    <t>TREUOND</t>
  </si>
  <si>
    <t>SLIB</t>
  </si>
  <si>
    <t>JLSB NN</t>
  </si>
  <si>
    <t>DESAS</t>
  </si>
  <si>
    <t>TSEEDAS</t>
  </si>
  <si>
    <t>PROFJE</t>
  </si>
  <si>
    <t>QRJPUFO</t>
  </si>
  <si>
    <t>MN</t>
  </si>
  <si>
    <t>NTNVGMD</t>
  </si>
  <si>
    <t>GEVEERD</t>
  </si>
  <si>
    <t>CEDGRFN</t>
  </si>
  <si>
    <t>ZICHT</t>
  </si>
  <si>
    <t>ZSSBCHI</t>
  </si>
  <si>
    <t>WAZEN</t>
  </si>
  <si>
    <t>ZJBNWAE</t>
  </si>
  <si>
    <t>AS</t>
  </si>
  <si>
    <t>SNDEEKA</t>
  </si>
  <si>
    <t>HETZES</t>
  </si>
  <si>
    <t>ZBHSETT</t>
  </si>
  <si>
    <t>ZUIDTAK</t>
  </si>
  <si>
    <t>KTAIUKD</t>
  </si>
  <si>
    <t>HAD</t>
  </si>
  <si>
    <t>NDNDZAH</t>
  </si>
  <si>
    <t>JOBT</t>
  </si>
  <si>
    <t>MTEOGOB</t>
  </si>
  <si>
    <t>FOKTE</t>
  </si>
  <si>
    <t>EEOFKEU</t>
  </si>
  <si>
    <t>GEKAKEL</t>
  </si>
  <si>
    <t>LEGAAEK</t>
  </si>
  <si>
    <t>GEEP</t>
  </si>
  <si>
    <t>EUEARPG</t>
  </si>
  <si>
    <t>DUW</t>
  </si>
  <si>
    <t>SQZDWNU</t>
  </si>
  <si>
    <t>ETENSUUR</t>
  </si>
  <si>
    <t>UNERS E</t>
  </si>
  <si>
    <t>JUS</t>
  </si>
  <si>
    <t>SDGEJEN</t>
  </si>
  <si>
    <t>CORSA</t>
  </si>
  <si>
    <t>AROKAVS</t>
  </si>
  <si>
    <t>ONCOGEEN</t>
  </si>
  <si>
    <t>OEEGCON</t>
  </si>
  <si>
    <t>T</t>
  </si>
  <si>
    <t>CRTJJLT</t>
  </si>
  <si>
    <t>EXPO</t>
  </si>
  <si>
    <t xml:space="preserve">EOPXWE </t>
  </si>
  <si>
    <t>DAG</t>
  </si>
  <si>
    <t>NDNGDNA</t>
  </si>
  <si>
    <t>EX</t>
  </si>
  <si>
    <t>VDCJXES</t>
  </si>
  <si>
    <t>ZEUGJE</t>
  </si>
  <si>
    <t>UJCZIEG</t>
  </si>
  <si>
    <t>CHAOS</t>
  </si>
  <si>
    <t>AESHCAO</t>
  </si>
  <si>
    <t>MANDEN</t>
  </si>
  <si>
    <t>ENMUNDA</t>
  </si>
  <si>
    <t>HO</t>
  </si>
  <si>
    <t>ENORPEH</t>
  </si>
  <si>
    <t>LORDEN</t>
  </si>
  <si>
    <t>NNDRNOL</t>
  </si>
  <si>
    <t>TENNISTE</t>
  </si>
  <si>
    <t>NSNTITE</t>
  </si>
  <si>
    <t>DOEM</t>
  </si>
  <si>
    <t>NMCVODW</t>
  </si>
  <si>
    <t>KERKTIJD</t>
  </si>
  <si>
    <t>DKJEI T</t>
  </si>
  <si>
    <t>URMDE</t>
  </si>
  <si>
    <t>MURFVDR</t>
  </si>
  <si>
    <t>CORDON</t>
  </si>
  <si>
    <t>DOQRCOJ</t>
  </si>
  <si>
    <t>RONK</t>
  </si>
  <si>
    <t>NRLORAK</t>
  </si>
  <si>
    <t>DR</t>
  </si>
  <si>
    <t>NCVTGRD</t>
  </si>
  <si>
    <t>NEY</t>
  </si>
  <si>
    <t>NORYATE</t>
  </si>
  <si>
    <t>KNAGEN</t>
  </si>
  <si>
    <t>NWNGKAE</t>
  </si>
  <si>
    <t>ZOND</t>
  </si>
  <si>
    <t>MBNZNDD</t>
  </si>
  <si>
    <t>KLOVE</t>
  </si>
  <si>
    <t>VCOTWLK</t>
  </si>
  <si>
    <t>SOUND</t>
  </si>
  <si>
    <t>O DSKOU</t>
  </si>
  <si>
    <t>FARAO</t>
  </si>
  <si>
    <t>NASOARF</t>
  </si>
  <si>
    <t>ZEEFT</t>
  </si>
  <si>
    <t>EOFMCTZ</t>
  </si>
  <si>
    <t>EIVOER</t>
  </si>
  <si>
    <t>AIOOVEE</t>
  </si>
  <si>
    <t>JEUKEND</t>
  </si>
  <si>
    <t>EKEDDUJ</t>
  </si>
  <si>
    <t>FAUX</t>
  </si>
  <si>
    <t>SFAXQCG</t>
  </si>
  <si>
    <t>TREF</t>
  </si>
  <si>
    <t>REJNFMT</t>
  </si>
  <si>
    <t>RIJKS</t>
  </si>
  <si>
    <t>ASAIKJO</t>
  </si>
  <si>
    <t>RAYONS</t>
  </si>
  <si>
    <t>RODYSQA</t>
  </si>
  <si>
    <t>JA</t>
  </si>
  <si>
    <t>AMJEEER</t>
  </si>
  <si>
    <t>VEERTIEN</t>
  </si>
  <si>
    <t>TEERNEI</t>
  </si>
  <si>
    <t>DONNA</t>
  </si>
  <si>
    <t>QNNADNN</t>
  </si>
  <si>
    <t>DINEREN</t>
  </si>
  <si>
    <t>DNNEIER</t>
  </si>
  <si>
    <t>GESMEDE</t>
  </si>
  <si>
    <t>BGEEESM</t>
  </si>
  <si>
    <t>EIGENEN</t>
  </si>
  <si>
    <t>EGINSES</t>
  </si>
  <si>
    <t>ZEILER</t>
  </si>
  <si>
    <t>NNRLIEZ</t>
  </si>
  <si>
    <t>REDOX</t>
  </si>
  <si>
    <t>KODDXER</t>
  </si>
  <si>
    <t>TOBBEN</t>
  </si>
  <si>
    <t>HBTONBT</t>
  </si>
  <si>
    <t>CRUX</t>
  </si>
  <si>
    <t>HRJWCGX</t>
  </si>
  <si>
    <t>MANKT</t>
  </si>
  <si>
    <t>NNQNAMK</t>
  </si>
  <si>
    <t>CENTAUR</t>
  </si>
  <si>
    <t>TNCIRUA</t>
  </si>
  <si>
    <t>NAZAT</t>
  </si>
  <si>
    <t>OSNOAZT</t>
  </si>
  <si>
    <t>SPANNEN</t>
  </si>
  <si>
    <t>NPNASEA</t>
  </si>
  <si>
    <t>LEVEL</t>
  </si>
  <si>
    <t>ZEEKVEL</t>
  </si>
  <si>
    <t>DUKAAT</t>
  </si>
  <si>
    <t>AETEDKA</t>
  </si>
  <si>
    <t>PONTON</t>
  </si>
  <si>
    <t>ONONBTO</t>
  </si>
  <si>
    <t>KERNDOEL</t>
  </si>
  <si>
    <t>RKENDOE</t>
  </si>
  <si>
    <t>WALNOTEN</t>
  </si>
  <si>
    <t>LNNOATE</t>
  </si>
  <si>
    <t>DIEF</t>
  </si>
  <si>
    <t>IRDFIDE</t>
  </si>
  <si>
    <t>BUN</t>
  </si>
  <si>
    <t>RUNNDMB</t>
  </si>
  <si>
    <t>SNEDEN</t>
  </si>
  <si>
    <t>NEDDNEN</t>
  </si>
  <si>
    <t>TIRAS</t>
  </si>
  <si>
    <t>SEREATI</t>
  </si>
  <si>
    <t>BAH</t>
  </si>
  <si>
    <t>HAAVNBE</t>
  </si>
  <si>
    <t>GEVIT</t>
  </si>
  <si>
    <t>YGEVGDI</t>
  </si>
  <si>
    <t>ACE</t>
  </si>
  <si>
    <t>NAEGCNA</t>
  </si>
  <si>
    <t>SERVO</t>
  </si>
  <si>
    <t>RVSEOIA</t>
  </si>
  <si>
    <t>AANBEVAL</t>
  </si>
  <si>
    <t xml:space="preserve">BANAEV </t>
  </si>
  <si>
    <t>ZOEKEND</t>
  </si>
  <si>
    <t>DNZOEKC</t>
  </si>
  <si>
    <t>LOOSDE</t>
  </si>
  <si>
    <t>MDOSEOL</t>
  </si>
  <si>
    <t>DUN</t>
  </si>
  <si>
    <t>CNWXGDT</t>
  </si>
  <si>
    <t>BEROEPEN</t>
  </si>
  <si>
    <t>RENPBOE</t>
  </si>
  <si>
    <t>HET</t>
  </si>
  <si>
    <t>EHTYNNW</t>
  </si>
  <si>
    <t>DARTS</t>
  </si>
  <si>
    <t>NSDNRDS</t>
  </si>
  <si>
    <t>GEKRESEN</t>
  </si>
  <si>
    <t>NESGKEE</t>
  </si>
  <si>
    <t>REGOSNK</t>
  </si>
  <si>
    <t>BIDDENDE</t>
  </si>
  <si>
    <t>DNDDIEE</t>
  </si>
  <si>
    <t>REIDANS</t>
  </si>
  <si>
    <t>DEINRSA</t>
  </si>
  <si>
    <t>PAVANE</t>
  </si>
  <si>
    <t>VWPNAEK</t>
  </si>
  <si>
    <t>MV</t>
  </si>
  <si>
    <t>TEMVNEK</t>
  </si>
  <si>
    <t>SPINDEN</t>
  </si>
  <si>
    <t>NNDKSEP</t>
  </si>
  <si>
    <t>BAUW</t>
  </si>
  <si>
    <t>UAITIRB</t>
  </si>
  <si>
    <t>EDE</t>
  </si>
  <si>
    <t>EUEJVVE</t>
  </si>
  <si>
    <t>ZOETHEID</t>
  </si>
  <si>
    <t>OHEZEIT</t>
  </si>
  <si>
    <t>GEHALTEN</t>
  </si>
  <si>
    <t>GNLATEE</t>
  </si>
  <si>
    <t>LENZE</t>
  </si>
  <si>
    <t>QZEEEEN</t>
  </si>
  <si>
    <t>DAGVERSE</t>
  </si>
  <si>
    <t>ERG EAV</t>
  </si>
  <si>
    <t>GEJUT</t>
  </si>
  <si>
    <t>JUNEDTG</t>
  </si>
  <si>
    <t>SILEXEN</t>
  </si>
  <si>
    <t>INSEELX</t>
  </si>
  <si>
    <t>HARIG</t>
  </si>
  <si>
    <t>HIGERAD</t>
  </si>
  <si>
    <t>ZAKT</t>
  </si>
  <si>
    <t>ZADKUUT</t>
  </si>
  <si>
    <t>SWOQECD</t>
  </si>
  <si>
    <t>ACEJE</t>
  </si>
  <si>
    <t>UDECJEA</t>
  </si>
  <si>
    <t>TUIEN</t>
  </si>
  <si>
    <t>UNANIEN</t>
  </si>
  <si>
    <t>NEERVALT</t>
  </si>
  <si>
    <t>ETL VEN</t>
  </si>
  <si>
    <t>OKE</t>
  </si>
  <si>
    <t>OQBDIKE</t>
  </si>
  <si>
    <t>STAFJE</t>
  </si>
  <si>
    <t>EVJFSTE</t>
  </si>
  <si>
    <t>IOEABGH</t>
  </si>
  <si>
    <t>ST QCZA</t>
  </si>
  <si>
    <t>TOEAN</t>
  </si>
  <si>
    <t>ETOVANU</t>
  </si>
  <si>
    <t>KNEEP</t>
  </si>
  <si>
    <t>SEENKPU</t>
  </si>
  <si>
    <t>PREF</t>
  </si>
  <si>
    <t>XRHPPDF</t>
  </si>
  <si>
    <t>ZANGER</t>
  </si>
  <si>
    <t>ANRCEGJ</t>
  </si>
  <si>
    <t>JAPEN</t>
  </si>
  <si>
    <t>ANCGSEP</t>
  </si>
  <si>
    <t>VAMPS</t>
  </si>
  <si>
    <t>GMSAIVV</t>
  </si>
  <si>
    <t>CAMP</t>
  </si>
  <si>
    <t>MGAPJMH</t>
  </si>
  <si>
    <t>NEUKEND</t>
  </si>
  <si>
    <t>KNEGDEU</t>
  </si>
  <si>
    <t>VERLIG</t>
  </si>
  <si>
    <t>GNVNLIE</t>
  </si>
  <si>
    <t>PISANG</t>
  </si>
  <si>
    <t>TSIPANO</t>
  </si>
  <si>
    <t>ANKEREN</t>
  </si>
  <si>
    <t>KEARENN</t>
  </si>
  <si>
    <t>BANKRUN</t>
  </si>
  <si>
    <t xml:space="preserve"> NRBKAN</t>
  </si>
  <si>
    <t>RITE</t>
  </si>
  <si>
    <t>NRTIZEO</t>
  </si>
  <si>
    <t>PERSICO</t>
  </si>
  <si>
    <t>SCOEIRP</t>
  </si>
  <si>
    <t>YEN</t>
  </si>
  <si>
    <t>CNWDYEK</t>
  </si>
  <si>
    <t>ZEEF</t>
  </si>
  <si>
    <t>NEFTEEN</t>
  </si>
  <si>
    <t>JEIN</t>
  </si>
  <si>
    <t>JNNCMMD</t>
  </si>
  <si>
    <t>TWEEDENS</t>
  </si>
  <si>
    <t>TESNWEE</t>
  </si>
  <si>
    <t>TRY</t>
  </si>
  <si>
    <t>QUTLNYL</t>
  </si>
  <si>
    <t>GEVOED</t>
  </si>
  <si>
    <t>TNVGDOE</t>
  </si>
  <si>
    <t>VEZEN</t>
  </si>
  <si>
    <t>CFNUEVE</t>
  </si>
  <si>
    <t>BASES</t>
  </si>
  <si>
    <t>SSBAUNO</t>
  </si>
  <si>
    <t>BAAST</t>
  </si>
  <si>
    <t>JBNNTCA</t>
  </si>
  <si>
    <t>ERKENDE</t>
  </si>
  <si>
    <t>NDEEKRE</t>
  </si>
  <si>
    <t>OMDAT</t>
  </si>
  <si>
    <t>BTJDAOM</t>
  </si>
  <si>
    <t>KCEXGBC</t>
  </si>
  <si>
    <t>ZWIN</t>
  </si>
  <si>
    <t>NNDZIWV</t>
  </si>
  <si>
    <t>GO</t>
  </si>
  <si>
    <t>MEGOTEG</t>
  </si>
  <si>
    <t>GEZEULDE</t>
  </si>
  <si>
    <t xml:space="preserve">EEUGZE </t>
  </si>
  <si>
    <t>ANION</t>
  </si>
  <si>
    <t>ANNSINO</t>
  </si>
  <si>
    <t>KRUIEND</t>
  </si>
  <si>
    <t>UARNKIE</t>
  </si>
  <si>
    <t>SQZNODE</t>
  </si>
  <si>
    <t>BAHT</t>
  </si>
  <si>
    <t>ONAHBTE</t>
  </si>
  <si>
    <t>BESNEED</t>
  </si>
  <si>
    <t>DGEENES</t>
  </si>
  <si>
    <t>WIP</t>
  </si>
  <si>
    <t>KAVDWIP</t>
  </si>
  <si>
    <t>MOVEDE</t>
  </si>
  <si>
    <t>MEVEEED</t>
  </si>
  <si>
    <t>EXPORT</t>
  </si>
  <si>
    <t>CRJJLTW</t>
  </si>
  <si>
    <t>WOEL</t>
  </si>
  <si>
    <t>WE NAEO</t>
  </si>
  <si>
    <t>EINDEN</t>
  </si>
  <si>
    <t>NNDNEEI</t>
  </si>
  <si>
    <t>DECKS</t>
  </si>
  <si>
    <t>VDCJSKS</t>
  </si>
  <si>
    <t>ICE</t>
  </si>
  <si>
    <t>CINNEND</t>
  </si>
  <si>
    <t>HOMES</t>
  </si>
  <si>
    <t>EAOSHEM</t>
  </si>
  <si>
    <t>UITPELT</t>
  </si>
  <si>
    <t>UL TPET</t>
  </si>
  <si>
    <t>NEOPREEN</t>
  </si>
  <si>
    <t>ENORPEN</t>
  </si>
  <si>
    <t>KAAI</t>
  </si>
  <si>
    <t>NNOAAKI</t>
  </si>
  <si>
    <t>LIJFT</t>
  </si>
  <si>
    <t>JONTLAF</t>
  </si>
  <si>
    <t>WANDEN</t>
  </si>
  <si>
    <t>NCVWANE</t>
  </si>
  <si>
    <t>ZOON</t>
  </si>
  <si>
    <t>NNKOOZO</t>
  </si>
  <si>
    <t>VERWIERF</t>
  </si>
  <si>
    <t>FVR EWI</t>
  </si>
  <si>
    <t>TJA</t>
  </si>
  <si>
    <t>QJTTAAD</t>
  </si>
  <si>
    <t>ONTLADER</t>
  </si>
  <si>
    <t>LRADTOE</t>
  </si>
  <si>
    <t>VERGT</t>
  </si>
  <si>
    <t>NCVTGLR</t>
  </si>
  <si>
    <t>ARGOT</t>
  </si>
  <si>
    <t>NORATDT</t>
  </si>
  <si>
    <t>OH</t>
  </si>
  <si>
    <t>WTENHNR</t>
  </si>
  <si>
    <t>SIMT</t>
  </si>
  <si>
    <t>MBNDETR</t>
  </si>
  <si>
    <t>WENDT</t>
  </si>
  <si>
    <t>CTWDFNN</t>
  </si>
  <si>
    <t>KLOKTEN</t>
  </si>
  <si>
    <t xml:space="preserve"> KONEKT</t>
  </si>
  <si>
    <t>SMURF</t>
  </si>
  <si>
    <t>NSRJMAU</t>
  </si>
  <si>
    <t>BEKOCHT</t>
  </si>
  <si>
    <t>OMCEKBH</t>
  </si>
  <si>
    <t>COATINGS</t>
  </si>
  <si>
    <t>AOCSTNG</t>
  </si>
  <si>
    <t>WERKLUI</t>
  </si>
  <si>
    <t>DKRUNIL</t>
  </si>
  <si>
    <t>SCHEG</t>
  </si>
  <si>
    <t>SQCGHAE</t>
  </si>
  <si>
    <t>JON</t>
  </si>
  <si>
    <t xml:space="preserve">JNMRNE </t>
  </si>
  <si>
    <t>AORTA</t>
  </si>
  <si>
    <t>AAOEETR</t>
  </si>
  <si>
    <t>DQNLMEN</t>
  </si>
  <si>
    <t>REMDE</t>
  </si>
  <si>
    <t>MEEERDJ</t>
  </si>
  <si>
    <t>STADSWEG</t>
  </si>
  <si>
    <t>TGW ADS</t>
  </si>
  <si>
    <t>VEE</t>
  </si>
  <si>
    <t>QNNKEEV</t>
  </si>
  <si>
    <t>GWALNCL</t>
  </si>
  <si>
    <t>TOB</t>
  </si>
  <si>
    <t>BTVOGIE</t>
  </si>
  <si>
    <t>GESISTE</t>
  </si>
  <si>
    <t>SES TGE</t>
  </si>
  <si>
    <t>NEURONEN</t>
  </si>
  <si>
    <t>NNEOUNE</t>
  </si>
  <si>
    <t>DEKJE</t>
  </si>
  <si>
    <t>KDERJEE</t>
  </si>
  <si>
    <t>THOMIST</t>
  </si>
  <si>
    <t>HTIMSDT</t>
  </si>
  <si>
    <t>HADJ</t>
  </si>
  <si>
    <t>HJWGRDD</t>
  </si>
  <si>
    <t>MUON</t>
  </si>
  <si>
    <t>NQNUTOM</t>
  </si>
  <si>
    <t>AFHINGEN</t>
  </si>
  <si>
    <t>IHNAEGN</t>
  </si>
  <si>
    <t>XERES</t>
  </si>
  <si>
    <t>OSOEXEE</t>
  </si>
  <si>
    <t>QUAD</t>
  </si>
  <si>
    <t>AGDQCEU</t>
  </si>
  <si>
    <t>ZWEVEN</t>
  </si>
  <si>
    <t>ZKEONWE</t>
  </si>
  <si>
    <t>JET</t>
  </si>
  <si>
    <t>EENHJER</t>
  </si>
  <si>
    <t>ZEN</t>
  </si>
  <si>
    <t>BORZZFN</t>
  </si>
  <si>
    <t>BUHNE</t>
  </si>
  <si>
    <t>VGUEIHB</t>
  </si>
  <si>
    <t>VMMNNMR</t>
  </si>
  <si>
    <t>MIXEN</t>
  </si>
  <si>
    <t>RIDXNNM</t>
  </si>
  <si>
    <t>DWANG</t>
  </si>
  <si>
    <t>RNDMWAG</t>
  </si>
  <si>
    <t>Y</t>
  </si>
  <si>
    <t>DNYNJSU</t>
  </si>
  <si>
    <t>MEUTE</t>
  </si>
  <si>
    <t>EEUFCTM</t>
  </si>
  <si>
    <t>ZE</t>
  </si>
  <si>
    <t>AVNEZNN</t>
  </si>
  <si>
    <t>BOGEY</t>
  </si>
  <si>
    <t>YGDOJER</t>
  </si>
  <si>
    <t>GON</t>
  </si>
  <si>
    <t>NEGNANO</t>
  </si>
  <si>
    <t>KILLE</t>
  </si>
  <si>
    <t>IADKLSL</t>
  </si>
  <si>
    <t>WANNE</t>
  </si>
  <si>
    <t>EWEAWNI</t>
  </si>
  <si>
    <t>ZN</t>
  </si>
  <si>
    <t>ZCSNGLN</t>
  </si>
  <si>
    <t>MUI</t>
  </si>
  <si>
    <t>MDEIGNI</t>
  </si>
  <si>
    <t>ERWT</t>
  </si>
  <si>
    <t>CWXGTER</t>
  </si>
  <si>
    <t>CUE</t>
  </si>
  <si>
    <t>NCANDUE</t>
  </si>
  <si>
    <t>AFWON</t>
  </si>
  <si>
    <t>YNNWUFA</t>
  </si>
  <si>
    <t>DIENS</t>
  </si>
  <si>
    <t>NNDSINF</t>
  </si>
  <si>
    <t>SJWAS</t>
  </si>
  <si>
    <t xml:space="preserve">LVWJAD </t>
  </si>
  <si>
    <t>KNOEIERS</t>
  </si>
  <si>
    <t>REOSNKI</t>
  </si>
  <si>
    <t>HANDY</t>
  </si>
  <si>
    <t>AHNYGRD</t>
  </si>
  <si>
    <t>OESELEE</t>
  </si>
  <si>
    <t>KWAKT</t>
  </si>
  <si>
    <t>WKTTMNA</t>
  </si>
  <si>
    <t>TENEKFZ</t>
  </si>
  <si>
    <t>FUIK</t>
  </si>
  <si>
    <t>KUBEINU</t>
  </si>
  <si>
    <t>GRAY</t>
  </si>
  <si>
    <t>ITIRYAR</t>
  </si>
  <si>
    <t>EVEN</t>
  </si>
  <si>
    <t>UJVVEEN</t>
  </si>
  <si>
    <t>WAFEL</t>
  </si>
  <si>
    <t>AWOEUCF</t>
  </si>
  <si>
    <t>TJAPPEN</t>
  </si>
  <si>
    <t>TENPJPR</t>
  </si>
  <si>
    <t>AF</t>
  </si>
  <si>
    <t>QEENFAD</t>
  </si>
  <si>
    <t>BEDEK</t>
  </si>
  <si>
    <t>PVKEMBD</t>
  </si>
  <si>
    <t>SARDINE</t>
  </si>
  <si>
    <t>NDNSIRA</t>
  </si>
  <si>
    <t>ARMDIK</t>
  </si>
  <si>
    <t>AIKMRMD</t>
  </si>
  <si>
    <t>KAGEN</t>
  </si>
  <si>
    <t>ERDBGNB</t>
  </si>
  <si>
    <t>ZUIDEN</t>
  </si>
  <si>
    <t>DUUTEZN</t>
  </si>
  <si>
    <t>CAPO</t>
  </si>
  <si>
    <t>SOQCAEO</t>
  </si>
  <si>
    <t>UMLAUT</t>
  </si>
  <si>
    <t>UDGTUME</t>
  </si>
  <si>
    <t>KASJE</t>
  </si>
  <si>
    <t>ANNKJES</t>
  </si>
  <si>
    <t>DUBDEN</t>
  </si>
  <si>
    <t>DDIBNUF</t>
  </si>
  <si>
    <t>BIGDE</t>
  </si>
  <si>
    <t>QBDIDSG</t>
  </si>
  <si>
    <t>VEL</t>
  </si>
  <si>
    <t>VETAKLN</t>
  </si>
  <si>
    <t>ONEINDIG</t>
  </si>
  <si>
    <t>IOEGNIN</t>
  </si>
  <si>
    <t>CHATTERS</t>
  </si>
  <si>
    <t>ST ATER</t>
  </si>
  <si>
    <t>UIVER</t>
  </si>
  <si>
    <t>VUIB CE</t>
  </si>
  <si>
    <t>SLURF</t>
  </si>
  <si>
    <t>SUZRNFL</t>
  </si>
  <si>
    <t>XHPDFEE</t>
  </si>
  <si>
    <t>SECCO</t>
  </si>
  <si>
    <t>CJEVOSC</t>
  </si>
  <si>
    <t>GENEN</t>
  </si>
  <si>
    <t>CGSNNEE</t>
  </si>
  <si>
    <t>HAVE</t>
  </si>
  <si>
    <t>GIVEHNA</t>
  </si>
  <si>
    <t>GJMHBRS</t>
  </si>
  <si>
    <t>I</t>
  </si>
  <si>
    <t>GIALINS</t>
  </si>
  <si>
    <t>DRENS</t>
  </si>
  <si>
    <t>NNNESNR</t>
  </si>
  <si>
    <t>ZO</t>
  </si>
  <si>
    <t>TOUXZSD</t>
  </si>
  <si>
    <t>VOEGE</t>
  </si>
  <si>
    <t>OGOENVE</t>
  </si>
  <si>
    <t>ETSGROND</t>
  </si>
  <si>
    <t>SRDGEOT</t>
  </si>
  <si>
    <t>ZWOL</t>
  </si>
  <si>
    <t>NZOWNLP</t>
  </si>
  <si>
    <t>VINK</t>
  </si>
  <si>
    <t>KVNEIAE</t>
  </si>
  <si>
    <t>INDUW</t>
  </si>
  <si>
    <t>CWDKDIN</t>
  </si>
  <si>
    <t>BEGANE</t>
  </si>
  <si>
    <t>NTEENSE</t>
  </si>
  <si>
    <t>MONDDE</t>
  </si>
  <si>
    <t>NCMMDOD</t>
  </si>
  <si>
    <t>HYVEN</t>
  </si>
  <si>
    <t>HNYNVGE</t>
  </si>
  <si>
    <t>DUELLEN</t>
  </si>
  <si>
    <t>QULNLEE</t>
  </si>
  <si>
    <t>CLIENT</t>
  </si>
  <si>
    <t>TNNCEIN</t>
  </si>
  <si>
    <t>INFLUX</t>
  </si>
  <si>
    <t>CFULX I</t>
  </si>
  <si>
    <t>PULP</t>
  </si>
  <si>
    <t>UNOPPQG</t>
  </si>
  <si>
    <t>CEEL</t>
  </si>
  <si>
    <t>JNNCLEU</t>
  </si>
  <si>
    <t>AFKAMT</t>
  </si>
  <si>
    <t>MFATKOT</t>
  </si>
  <si>
    <t>BOUT</t>
  </si>
  <si>
    <t>BJDJVUO</t>
  </si>
  <si>
    <t xml:space="preserve">KXBCNS </t>
  </si>
  <si>
    <t>VIVO</t>
  </si>
  <si>
    <t>NDVARIV</t>
  </si>
  <si>
    <t>MEEWEEGT</t>
  </si>
  <si>
    <t>METEGEE</t>
  </si>
  <si>
    <t>AFBAKEN</t>
  </si>
  <si>
    <t>FBNAEAA</t>
  </si>
  <si>
    <t>HOLA</t>
  </si>
  <si>
    <t>SNHRRLO</t>
  </si>
  <si>
    <t>WEERZAG</t>
  </si>
  <si>
    <t>AZ ERCV</t>
  </si>
  <si>
    <t>OMZET</t>
  </si>
  <si>
    <t>NODEMLT</t>
  </si>
  <si>
    <t>OVENS</t>
  </si>
  <si>
    <t>ONEEVEE</t>
  </si>
  <si>
    <t>TELCO</t>
  </si>
  <si>
    <t>GTLDOEC</t>
  </si>
  <si>
    <t>GEVIND</t>
  </si>
  <si>
    <t>KAVDENI</t>
  </si>
  <si>
    <t>KEUZEN</t>
  </si>
  <si>
    <t>EEZKEUT</t>
  </si>
  <si>
    <t>VLIJ</t>
  </si>
  <si>
    <t>CJJLWNI</t>
  </si>
  <si>
    <t xml:space="preserve"> NAEDQH</t>
  </si>
  <si>
    <t>ASLEGER</t>
  </si>
  <si>
    <t>NELS JN</t>
  </si>
  <si>
    <t>VESTJE</t>
  </si>
  <si>
    <t>VJSAEFT</t>
  </si>
  <si>
    <t>KENNEND</t>
  </si>
  <si>
    <t>NNNDK E</t>
  </si>
  <si>
    <t>AAM</t>
  </si>
  <si>
    <t>AENAERS</t>
  </si>
  <si>
    <t>VUREN</t>
  </si>
  <si>
    <t>RENIRVU</t>
  </si>
  <si>
    <t>SPOED</t>
  </si>
  <si>
    <t>NSDOAEE</t>
  </si>
  <si>
    <t>ONVASTE</t>
  </si>
  <si>
    <t>NNOAESV</t>
  </si>
  <si>
    <t>AIO</t>
  </si>
  <si>
    <t>ONAREOI</t>
  </si>
  <si>
    <t>ZAP</t>
  </si>
  <si>
    <t>CVPNEAZ</t>
  </si>
  <si>
    <t>VIPS</t>
  </si>
  <si>
    <t>NKOSVIS</t>
  </si>
  <si>
    <t>WBENEGI</t>
  </si>
  <si>
    <t>TJAPTE</t>
  </si>
  <si>
    <t>QTADPSE</t>
  </si>
  <si>
    <t>SJEZEN</t>
  </si>
  <si>
    <t>NEEJBSZ</t>
  </si>
  <si>
    <t>PECHE</t>
  </si>
  <si>
    <t>NCLEUSP</t>
  </si>
  <si>
    <t>NDTQNEN</t>
  </si>
  <si>
    <t>UWENT</t>
  </si>
  <si>
    <t>WTENNRU</t>
  </si>
  <si>
    <t>BOMDE</t>
  </si>
  <si>
    <t>BNDEROM</t>
  </si>
  <si>
    <t>VICE</t>
  </si>
  <si>
    <t>CFNINEF</t>
  </si>
  <si>
    <t>DENKWERK</t>
  </si>
  <si>
    <t>KREEDNW</t>
  </si>
  <si>
    <t>NASJEN</t>
  </si>
  <si>
    <t>NJANENN</t>
  </si>
  <si>
    <t>KIEMDEN</t>
  </si>
  <si>
    <t>MKN EDI</t>
  </si>
  <si>
    <t>LAMET</t>
  </si>
  <si>
    <t>RETAERL</t>
  </si>
  <si>
    <t>INSNEDEN</t>
  </si>
  <si>
    <t>DNEENSI</t>
  </si>
  <si>
    <t>AAIEN</t>
  </si>
  <si>
    <t>QANIAER</t>
  </si>
  <si>
    <t>SMORENDE</t>
  </si>
  <si>
    <t>MRNE ED</t>
  </si>
  <si>
    <t>BOREN</t>
  </si>
  <si>
    <t>EER RBN</t>
  </si>
  <si>
    <t>PENDULE</t>
  </si>
  <si>
    <t>DLENUEP</t>
  </si>
  <si>
    <t>VELDJE</t>
  </si>
  <si>
    <t>EEJALAV</t>
  </si>
  <si>
    <t>HESP</t>
  </si>
  <si>
    <t>SISPEHK</t>
  </si>
  <si>
    <t>KUN</t>
  </si>
  <si>
    <t>QNNKMUT</t>
  </si>
  <si>
    <t>LIL</t>
  </si>
  <si>
    <t>WLCLNPP</t>
  </si>
  <si>
    <t>IVAS</t>
  </si>
  <si>
    <t>VGIESAQ</t>
  </si>
  <si>
    <t>CAKEMEEL</t>
  </si>
  <si>
    <t>EACELKM</t>
  </si>
  <si>
    <t>PENCE</t>
  </si>
  <si>
    <t>REOPEEN</t>
  </si>
  <si>
    <t>HE</t>
  </si>
  <si>
    <t>REEESNK</t>
  </si>
  <si>
    <t>THUISDAG</t>
  </si>
  <si>
    <t>DAUGISH</t>
  </si>
  <si>
    <t>WGRDTRN</t>
  </si>
  <si>
    <t>LIPT</t>
  </si>
  <si>
    <t>QNTPLIA</t>
  </si>
  <si>
    <t>ZEROS</t>
  </si>
  <si>
    <t>SREOBEZ</t>
  </si>
  <si>
    <t>GEMOND</t>
  </si>
  <si>
    <t>OOEUMDG</t>
  </si>
  <si>
    <t>SCONE</t>
  </si>
  <si>
    <t>GCEOKNN</t>
  </si>
  <si>
    <t>SMUKTE</t>
  </si>
  <si>
    <t>KOCSMTD</t>
  </si>
  <si>
    <t>HER</t>
  </si>
  <si>
    <t>ENHERER</t>
  </si>
  <si>
    <t>FROBEL</t>
  </si>
  <si>
    <t>BORZFLE</t>
  </si>
  <si>
    <t>GEIND</t>
  </si>
  <si>
    <t>VGIKEDD</t>
  </si>
  <si>
    <t>MEM</t>
  </si>
  <si>
    <t>VMNMREL</t>
  </si>
  <si>
    <t>COLD</t>
  </si>
  <si>
    <t>RDNCEDL</t>
  </si>
  <si>
    <t>E</t>
  </si>
  <si>
    <t>RMROCEP</t>
  </si>
  <si>
    <t>JUN</t>
  </si>
  <si>
    <t>DNNJSUS</t>
  </si>
  <si>
    <t>EJECT</t>
  </si>
  <si>
    <t>FCEJGNE</t>
  </si>
  <si>
    <t>NIVEAU</t>
  </si>
  <si>
    <t>AVNENNU</t>
  </si>
  <si>
    <t>KREUNT</t>
  </si>
  <si>
    <t>DJRKNTE</t>
  </si>
  <si>
    <t>KILLEN</t>
  </si>
  <si>
    <t>ENANICS</t>
  </si>
  <si>
    <t>UHDS</t>
  </si>
  <si>
    <t>ADSZEHU</t>
  </si>
  <si>
    <t>WE</t>
  </si>
  <si>
    <t>EWIS EE</t>
  </si>
  <si>
    <t>LOCS</t>
  </si>
  <si>
    <t>CSGLNOI</t>
  </si>
  <si>
    <t>DEGNIPH</t>
  </si>
  <si>
    <t>TINGEL</t>
  </si>
  <si>
    <t>CXGEITN</t>
  </si>
  <si>
    <t>NEG</t>
  </si>
  <si>
    <t>NANDESL</t>
  </si>
  <si>
    <t>VIN</t>
  </si>
  <si>
    <t>YNUZIVN</t>
  </si>
  <si>
    <t>SNIF</t>
  </si>
  <si>
    <t>NNFIENS</t>
  </si>
  <si>
    <t>PILAV</t>
  </si>
  <si>
    <t>LVDPICD</t>
  </si>
  <si>
    <t>MEEVOER</t>
  </si>
  <si>
    <t>MEEEVOT</t>
  </si>
  <si>
    <t>DTJE</t>
  </si>
  <si>
    <t>GRDJNCT</t>
  </si>
  <si>
    <t>YES</t>
  </si>
  <si>
    <t>OSLEEYE</t>
  </si>
  <si>
    <t>TMNWNUE</t>
  </si>
  <si>
    <t>NKORZQI</t>
  </si>
  <si>
    <t>UWEN</t>
  </si>
  <si>
    <t>BENUBEW</t>
  </si>
  <si>
    <t>TIRANNIE</t>
  </si>
  <si>
    <t>ITIRNEA</t>
  </si>
  <si>
    <t>JUKT</t>
  </si>
  <si>
    <t>UJVGNNK</t>
  </si>
  <si>
    <t>OUCEBEE</t>
  </si>
  <si>
    <t>KNERSEND</t>
  </si>
  <si>
    <t>RNKENSD</t>
  </si>
  <si>
    <t>NODE</t>
  </si>
  <si>
    <t xml:space="preserve">QEENDD </t>
  </si>
  <si>
    <t>PVMTJKS</t>
  </si>
  <si>
    <t>TUBAS</t>
  </si>
  <si>
    <t>NSRBATD</t>
  </si>
  <si>
    <t>GEMS</t>
  </si>
  <si>
    <t>MDGSHEF</t>
  </si>
  <si>
    <t>SOBER</t>
  </si>
  <si>
    <t>RDBBJKO</t>
  </si>
  <si>
    <t>VUES</t>
  </si>
  <si>
    <t>UTNMVEE</t>
  </si>
  <si>
    <t>MOELIES</t>
  </si>
  <si>
    <t>SQEOIME</t>
  </si>
  <si>
    <t>S</t>
  </si>
  <si>
    <t>DGESOEV</t>
  </si>
  <si>
    <t xml:space="preserve">NNYNRE </t>
  </si>
  <si>
    <t>AFZIEND</t>
  </si>
  <si>
    <t>IFNZJEA</t>
  </si>
  <si>
    <t>DEP</t>
  </si>
  <si>
    <t>QDSNPDE</t>
  </si>
  <si>
    <t>BLAAKTEN</t>
  </si>
  <si>
    <t>ETAKLNA</t>
  </si>
  <si>
    <t>VREZE</t>
  </si>
  <si>
    <t>REYZEVJ</t>
  </si>
  <si>
    <t>CAP</t>
  </si>
  <si>
    <t>PESRCAE</t>
  </si>
  <si>
    <t>BCADNSW</t>
  </si>
  <si>
    <t>ONZEN</t>
  </si>
  <si>
    <t>ZNONMNE</t>
  </si>
  <si>
    <t>AFPENDE</t>
  </si>
  <si>
    <t>PDFETEA</t>
  </si>
  <si>
    <t>JVJNDAD</t>
  </si>
  <si>
    <t>DECADES</t>
  </si>
  <si>
    <t>CSDDEEA</t>
  </si>
  <si>
    <t>INGEMEEN</t>
  </si>
  <si>
    <t>GIN EME</t>
  </si>
  <si>
    <t>PGBS</t>
  </si>
  <si>
    <t>GJBRSOP</t>
  </si>
  <si>
    <t xml:space="preserve">GALINS </t>
  </si>
  <si>
    <t>INKLEMDE</t>
  </si>
  <si>
    <t>NNNJH N</t>
  </si>
  <si>
    <t>DUX</t>
  </si>
  <si>
    <t>TUXSDNR</t>
  </si>
  <si>
    <t>PINAS</t>
  </si>
  <si>
    <t>ONAIESP</t>
  </si>
  <si>
    <t>QXDEZWB</t>
  </si>
  <si>
    <t>NOP</t>
  </si>
  <si>
    <t>NNPAOAL</t>
  </si>
  <si>
    <t>LOCK</t>
  </si>
  <si>
    <t>EAECKOA</t>
  </si>
  <si>
    <t>ZEEFDEN</t>
  </si>
  <si>
    <t>CKDUSEN</t>
  </si>
  <si>
    <t>HES</t>
  </si>
  <si>
    <t>TENSESH</t>
  </si>
  <si>
    <t>MICAS</t>
  </si>
  <si>
    <t>CMNNIAS</t>
  </si>
  <si>
    <t>EENHOOG</t>
  </si>
  <si>
    <t>NGEHEOO</t>
  </si>
  <si>
    <t>MASQUE</t>
  </si>
  <si>
    <t>QFSAM E</t>
  </si>
  <si>
    <t>ONSEN</t>
  </si>
  <si>
    <t>NNENNAE</t>
  </si>
  <si>
    <t>HESEN</t>
  </si>
  <si>
    <t>CHNENES</t>
  </si>
  <si>
    <t>WANG</t>
  </si>
  <si>
    <t>NOQGWNA</t>
  </si>
  <si>
    <t>SURF</t>
  </si>
  <si>
    <t>JNNUSFR</t>
  </si>
  <si>
    <t>OTPOZIC</t>
  </si>
  <si>
    <t>IVA</t>
  </si>
  <si>
    <t>JDJVRAO</t>
  </si>
  <si>
    <t>BIN</t>
  </si>
  <si>
    <t>KBNS EN</t>
  </si>
  <si>
    <t>AANGORDT</t>
  </si>
  <si>
    <t>NDAR TA</t>
  </si>
  <si>
    <t>MOEKE</t>
  </si>
  <si>
    <t>MEEYQKO</t>
  </si>
  <si>
    <t>MAP</t>
  </si>
  <si>
    <t>AMPASEV</t>
  </si>
  <si>
    <t>SONGS</t>
  </si>
  <si>
    <t>SNRROGS</t>
  </si>
  <si>
    <t>MAAI</t>
  </si>
  <si>
    <t>CVAEIMC</t>
  </si>
  <si>
    <t>NOU</t>
  </si>
  <si>
    <t>NDLNAOA</t>
  </si>
  <si>
    <t>WEDER</t>
  </si>
  <si>
    <t>EEEADIW</t>
  </si>
  <si>
    <t>GDEJALD</t>
  </si>
  <si>
    <t>KNALGOED</t>
  </si>
  <si>
    <t>KAODELG</t>
  </si>
  <si>
    <t>ZULTE</t>
  </si>
  <si>
    <t>ETBZLAU</t>
  </si>
  <si>
    <t>KUL</t>
  </si>
  <si>
    <t>CJWNLKU</t>
  </si>
  <si>
    <t>LANDREIS</t>
  </si>
  <si>
    <t xml:space="preserve"> NAEDSI</t>
  </si>
  <si>
    <t>WERK</t>
  </si>
  <si>
    <t>NJNRWEK</t>
  </si>
  <si>
    <t>FAR</t>
  </si>
  <si>
    <t>AFFEELN</t>
  </si>
  <si>
    <t>ROEIBANK</t>
  </si>
  <si>
    <t>KOERBNI</t>
  </si>
  <si>
    <t>IS</t>
  </si>
  <si>
    <t>ENERSSN</t>
  </si>
  <si>
    <t>ARIAS</t>
  </si>
  <si>
    <t>NIRFASA</t>
  </si>
  <si>
    <t>NAIEVE</t>
  </si>
  <si>
    <t>NAEEINU</t>
  </si>
  <si>
    <t>PUNCTIE</t>
  </si>
  <si>
    <t>NCEUEPB</t>
  </si>
  <si>
    <t>HERNOMEN</t>
  </si>
  <si>
    <t xml:space="preserve">NREOHE </t>
  </si>
  <si>
    <t>KEVIE</t>
  </si>
  <si>
    <t>CVNEQEI</t>
  </si>
  <si>
    <t>KOLOSSEN</t>
  </si>
  <si>
    <t>NKOSLSO</t>
  </si>
  <si>
    <t>WENEGIH</t>
  </si>
  <si>
    <t>READY</t>
  </si>
  <si>
    <t>QADSEYU</t>
  </si>
  <si>
    <t>BEVEND</t>
  </si>
  <si>
    <t>BNDXEVE</t>
  </si>
  <si>
    <t>LUES</t>
  </si>
  <si>
    <t>NLUSENS</t>
  </si>
  <si>
    <t>BUT</t>
  </si>
  <si>
    <t>TENUBZA</t>
  </si>
  <si>
    <t>ERF</t>
  </si>
  <si>
    <t>NREFDPN</t>
  </si>
  <si>
    <t>JAREN</t>
  </si>
  <si>
    <t>NRAETOJ</t>
  </si>
  <si>
    <t>FA</t>
  </si>
  <si>
    <t>FNNFASD</t>
  </si>
  <si>
    <t>VOQTERE</t>
  </si>
  <si>
    <t>INTYP</t>
  </si>
  <si>
    <t>NNTIXYP</t>
  </si>
  <si>
    <t>WEDDE</t>
  </si>
  <si>
    <t>DDDEEOW</t>
  </si>
  <si>
    <t>CREME</t>
  </si>
  <si>
    <t>RERMBEZ</t>
  </si>
  <si>
    <t>NEPPE</t>
  </si>
  <si>
    <t>OEPPNNE</t>
  </si>
  <si>
    <t>QREOGFO</t>
  </si>
  <si>
    <t>EXPAT</t>
  </si>
  <si>
    <t>NQDATPX</t>
  </si>
  <si>
    <t>FLEER</t>
  </si>
  <si>
    <t>E RLEFP</t>
  </si>
  <si>
    <t>U</t>
  </si>
  <si>
    <t>NDSTEAU</t>
  </si>
  <si>
    <t>AANZEAQ</t>
  </si>
  <si>
    <t>KOOI</t>
  </si>
  <si>
    <t>ISKOOEO</t>
  </si>
  <si>
    <t>QAT</t>
  </si>
  <si>
    <t>QNMTTWA</t>
  </si>
  <si>
    <t>CUP</t>
  </si>
  <si>
    <t>WCNPPEU</t>
  </si>
  <si>
    <t>GEQZVXD</t>
  </si>
  <si>
    <t>MEP</t>
  </si>
  <si>
    <t>JHPMDRD</t>
  </si>
  <si>
    <t>METER</t>
  </si>
  <si>
    <t>ROEAMET</t>
  </si>
  <si>
    <t>REEKSEN</t>
  </si>
  <si>
    <t>REESNKE</t>
  </si>
  <si>
    <t>OLIJKE</t>
  </si>
  <si>
    <t>N OQLJE</t>
  </si>
  <si>
    <t>GLIPT</t>
  </si>
  <si>
    <t>GDRNVZE</t>
  </si>
  <si>
    <t>QUANTEN</t>
  </si>
  <si>
    <t>QNASUNE</t>
  </si>
  <si>
    <t>BEWAS</t>
  </si>
  <si>
    <t>BEWWKNE</t>
  </si>
  <si>
    <t>ETUDE</t>
  </si>
  <si>
    <t>OUDGTEE</t>
  </si>
  <si>
    <t>KOENE</t>
  </si>
  <si>
    <t>GKNEJOF</t>
  </si>
  <si>
    <t>CROONT</t>
  </si>
  <si>
    <t>OCDTRGN</t>
  </si>
  <si>
    <t>NUN</t>
  </si>
  <si>
    <t>NEERNGE</t>
  </si>
  <si>
    <t>KS</t>
  </si>
  <si>
    <t>ZKGDMSD</t>
  </si>
  <si>
    <t>VER</t>
  </si>
  <si>
    <t>VKDTN A</t>
  </si>
  <si>
    <t>INERT</t>
  </si>
  <si>
    <t>VNRLNIT</t>
  </si>
  <si>
    <t>RNEDOFQ</t>
  </si>
  <si>
    <t>RMROCPH</t>
  </si>
  <si>
    <t>VAS</t>
  </si>
  <si>
    <t>DNSSSER</t>
  </si>
  <si>
    <t>PUP</t>
  </si>
  <si>
    <t>FGNPRPU</t>
  </si>
  <si>
    <t>HOF</t>
  </si>
  <si>
    <t>NNDEFHE</t>
  </si>
  <si>
    <t>MUD</t>
  </si>
  <si>
    <t>DJMUNQO</t>
  </si>
  <si>
    <t>NASCENDI</t>
  </si>
  <si>
    <t>EANICSD</t>
  </si>
  <si>
    <t>ZATE</t>
  </si>
  <si>
    <t>AZEDSTD</t>
  </si>
  <si>
    <t>DOMINEES</t>
  </si>
  <si>
    <t>IS EEON</t>
  </si>
  <si>
    <t>GRIEN</t>
  </si>
  <si>
    <t>GNIMERN</t>
  </si>
  <si>
    <t>GEPINDE</t>
  </si>
  <si>
    <t>DEGNIPE</t>
  </si>
  <si>
    <t>DOX</t>
  </si>
  <si>
    <t>CXFPDOJ</t>
  </si>
  <si>
    <t>DANSLES</t>
  </si>
  <si>
    <t>ANDESLS</t>
  </si>
  <si>
    <t>FYSIO</t>
  </si>
  <si>
    <t>YUZNOIF</t>
  </si>
  <si>
    <t>EER</t>
  </si>
  <si>
    <t>NENEESA</t>
  </si>
  <si>
    <t>EG</t>
  </si>
  <si>
    <t>DCDYGET</t>
  </si>
  <si>
    <t>TUFFEN</t>
  </si>
  <si>
    <t>TRUETFF</t>
  </si>
  <si>
    <t>GEJOBDE</t>
  </si>
  <si>
    <t>GRDNCEE</t>
  </si>
  <si>
    <t>KOELE</t>
  </si>
  <si>
    <t>OLEEOSE</t>
  </si>
  <si>
    <t>HUM</t>
  </si>
  <si>
    <t>TMNNUHE</t>
  </si>
  <si>
    <t>KID</t>
  </si>
  <si>
    <t>NKORDDT</t>
  </si>
  <si>
    <t>BBENEEI</t>
  </si>
  <si>
    <t>OPSTEEK</t>
  </si>
  <si>
    <t>PSEETKO</t>
  </si>
  <si>
    <t>VUT</t>
  </si>
  <si>
    <t>VGNNTUK</t>
  </si>
  <si>
    <t>OBEEKRY</t>
  </si>
  <si>
    <t>WEEDAS</t>
  </si>
  <si>
    <t>SDAEWEN</t>
  </si>
  <si>
    <t>EDDY</t>
  </si>
  <si>
    <t>QEDDEYN</t>
  </si>
  <si>
    <t>TJOK</t>
  </si>
  <si>
    <t>PTJKSTO</t>
  </si>
  <si>
    <t>TURKT</t>
  </si>
  <si>
    <t xml:space="preserve">NRDUKQ </t>
  </si>
  <si>
    <t>HAF</t>
  </si>
  <si>
    <t>MDHFNAE</t>
  </si>
  <si>
    <t>JU</t>
  </si>
  <si>
    <t>DBJKJRN</t>
  </si>
  <si>
    <t>ELEMENT</t>
  </si>
  <si>
    <t>TNMEEEL</t>
  </si>
  <si>
    <t>HELFT</t>
  </si>
  <si>
    <t>QLSEFTH</t>
  </si>
  <si>
    <t>GEVLODEN</t>
  </si>
  <si>
    <t>DGEOEVN</t>
  </si>
  <si>
    <t>NOG</t>
  </si>
  <si>
    <t>NNNRNOG</t>
  </si>
  <si>
    <t>JUBEE</t>
  </si>
  <si>
    <t>JUEQRER</t>
  </si>
  <si>
    <t>SNEB</t>
  </si>
  <si>
    <t>QSNDENB</t>
  </si>
  <si>
    <t>BAARZEN</t>
  </si>
  <si>
    <t>ZNRANEA</t>
  </si>
  <si>
    <t>ZONT</t>
  </si>
  <si>
    <t>YJLSZTN</t>
  </si>
  <si>
    <t>NIS</t>
  </si>
  <si>
    <t>ESRENIN</t>
  </si>
  <si>
    <t>WENST</t>
  </si>
  <si>
    <t>DNSWTNE</t>
  </si>
  <si>
    <t>MNDRJNS</t>
  </si>
  <si>
    <t>MELDT</t>
  </si>
  <si>
    <t>TDLQTMN</t>
  </si>
  <si>
    <t>VJNDDKE</t>
  </si>
  <si>
    <t>HAVENDE</t>
  </si>
  <si>
    <t>EUIDREN</t>
  </si>
  <si>
    <t>ZIE</t>
  </si>
  <si>
    <t>LEREOZT</t>
  </si>
  <si>
    <t>RIOJA</t>
  </si>
  <si>
    <t>JROIAOR</t>
  </si>
  <si>
    <t>RONDSLAG</t>
  </si>
  <si>
    <t>GALNS D</t>
  </si>
  <si>
    <t>HEKJE</t>
  </si>
  <si>
    <t>NNJHNEE</t>
  </si>
  <si>
    <t>FJES</t>
  </si>
  <si>
    <t>TSNR FJ</t>
  </si>
  <si>
    <t>DEVOTE</t>
  </si>
  <si>
    <t>OEVZDTE</t>
  </si>
  <si>
    <t>XI</t>
  </si>
  <si>
    <t>QXDZIUA</t>
  </si>
  <si>
    <t>INZAG</t>
  </si>
  <si>
    <t>NAALZGX</t>
  </si>
  <si>
    <t>DAAS</t>
  </si>
  <si>
    <t>EAEANES</t>
  </si>
  <si>
    <t>UKKEN</t>
  </si>
  <si>
    <t>CKUSSEK</t>
  </si>
  <si>
    <t>TNESVIP</t>
  </si>
  <si>
    <t>AFKNAP</t>
  </si>
  <si>
    <t>NNPKFAI</t>
  </si>
  <si>
    <t>BLOWT</t>
  </si>
  <si>
    <t>TTNLABW</t>
  </si>
  <si>
    <t>AFBUIG</t>
  </si>
  <si>
    <t>FGAESIB</t>
  </si>
  <si>
    <t>ONANEREN</t>
  </si>
  <si>
    <t xml:space="preserve">NNAERO </t>
  </si>
  <si>
    <t>CAKE</t>
  </si>
  <si>
    <t>CNAAKIE</t>
  </si>
  <si>
    <t>NOQNNED</t>
  </si>
  <si>
    <t>KREGEN</t>
  </si>
  <si>
    <t>JNNGEER</t>
  </si>
  <si>
    <t>SCOUT</t>
  </si>
  <si>
    <t>OTOCOUT</t>
  </si>
  <si>
    <t>SNORT</t>
  </si>
  <si>
    <t>JDJROSF</t>
  </si>
  <si>
    <t>KENNERS</t>
  </si>
  <si>
    <t>KS ENEN</t>
  </si>
  <si>
    <t>SLUIF</t>
  </si>
  <si>
    <t>ESLOUFI</t>
  </si>
  <si>
    <t>YQNTWRE</t>
  </si>
  <si>
    <t>VALSE</t>
  </si>
  <si>
    <t>ASEVCEL</t>
  </si>
  <si>
    <t>RARE</t>
  </si>
  <si>
    <t>RRDRETO</t>
  </si>
  <si>
    <t>CLEVER</t>
  </si>
  <si>
    <t>CVEC LB</t>
  </si>
  <si>
    <t>LAR</t>
  </si>
  <si>
    <t>DLNAANT</t>
  </si>
  <si>
    <t>ZWEEFTREIN</t>
  </si>
  <si>
    <t>EAINERO</t>
  </si>
  <si>
    <t>F</t>
  </si>
  <si>
    <t>GDEALDF</t>
  </si>
  <si>
    <t>PANNES</t>
  </si>
  <si>
    <t>NASMFPN</t>
  </si>
  <si>
    <t>BAUOADQ</t>
  </si>
  <si>
    <t>WEDEN</t>
  </si>
  <si>
    <t>CJWNNDE</t>
  </si>
  <si>
    <t>ZIENERS</t>
  </si>
  <si>
    <t>NEZEISR</t>
  </si>
  <si>
    <t>INZIT</t>
  </si>
  <si>
    <t>NJNIZTI</t>
  </si>
  <si>
    <t>NASI</t>
  </si>
  <si>
    <t>FEELNAN</t>
  </si>
  <si>
    <t>TETS</t>
  </si>
  <si>
    <t>ETOTEEE</t>
  </si>
  <si>
    <t>ENERSNF</t>
  </si>
  <si>
    <t>RIJZEND</t>
  </si>
  <si>
    <t xml:space="preserve">NFZJER </t>
  </si>
  <si>
    <t>NUEBCAQ</t>
  </si>
  <si>
    <t>MATGEEL</t>
  </si>
  <si>
    <t>EBGTEMA</t>
  </si>
  <si>
    <t>SEC</t>
  </si>
  <si>
    <t>WCEEEDS</t>
  </si>
  <si>
    <t>CNQU RE</t>
  </si>
  <si>
    <t>MADES</t>
  </si>
  <si>
    <t>MHEWSAD</t>
  </si>
  <si>
    <t>WENEGIZ</t>
  </si>
  <si>
    <t>AQUA</t>
  </si>
  <si>
    <t>QSUNADN</t>
  </si>
  <si>
    <t>XLERHEN</t>
  </si>
  <si>
    <t>DOKS</t>
  </si>
  <si>
    <t>NNSGOKD</t>
  </si>
  <si>
    <t>CAMEO</t>
  </si>
  <si>
    <t>ENZAEMC</t>
  </si>
  <si>
    <t>AFWEND</t>
  </si>
  <si>
    <t>NDPNWAE</t>
  </si>
  <si>
    <t>ONGEDEKT</t>
  </si>
  <si>
    <t>TO EDGE</t>
  </si>
  <si>
    <t>JENNEND</t>
  </si>
  <si>
    <t>NNFSDEN</t>
  </si>
  <si>
    <t>VOTERED</t>
  </si>
  <si>
    <t>NIMFEN</t>
  </si>
  <si>
    <t>NXIEFZM</t>
  </si>
  <si>
    <t>JE</t>
  </si>
  <si>
    <t>DEONJAR</t>
  </si>
  <si>
    <t>ZWART</t>
  </si>
  <si>
    <t>RBZTWLD</t>
  </si>
  <si>
    <t>ONEBZHO</t>
  </si>
  <si>
    <t>LOGEE</t>
  </si>
  <si>
    <t>QOGOELE</t>
  </si>
  <si>
    <t>QTJE</t>
  </si>
  <si>
    <t>NQDTELG</t>
  </si>
  <si>
    <t>MOSPLANT</t>
  </si>
  <si>
    <t xml:space="preserve"> PASNMO</t>
  </si>
  <si>
    <t>STANDER</t>
  </si>
  <si>
    <t>NDSTEAR</t>
  </si>
  <si>
    <t>GAAI</t>
  </si>
  <si>
    <t>AANAQIG</t>
  </si>
  <si>
    <t>UI</t>
  </si>
  <si>
    <t>SEODUKO</t>
  </si>
  <si>
    <t>GEQAT</t>
  </si>
  <si>
    <t>NMTWGIE</t>
  </si>
  <si>
    <t>UW</t>
  </si>
  <si>
    <t>WNPEEUK</t>
  </si>
  <si>
    <t>DIVA</t>
  </si>
  <si>
    <t>GQZVDAI</t>
  </si>
  <si>
    <t>DOTJE</t>
  </si>
  <si>
    <t>JHDRDTO</t>
  </si>
  <si>
    <t>HAVO</t>
  </si>
  <si>
    <t>OAZHDVF</t>
  </si>
  <si>
    <t>SMEUIG</t>
  </si>
  <si>
    <t>USEGNMU</t>
  </si>
  <si>
    <t>ZAL</t>
  </si>
  <si>
    <t>NQPRDAZ</t>
  </si>
  <si>
    <t>VERZENGD</t>
  </si>
  <si>
    <t>DRNVZEE</t>
  </si>
  <si>
    <t>ZENDERS</t>
  </si>
  <si>
    <t>SEDZCRE</t>
  </si>
  <si>
    <t>MIKWA</t>
  </si>
  <si>
    <t>WKNEKAI</t>
  </si>
  <si>
    <t>OUGOMYB</t>
  </si>
  <si>
    <t>GJFW KD</t>
  </si>
  <si>
    <t>DGZPSAN</t>
  </si>
  <si>
    <t>SET</t>
  </si>
  <si>
    <t>EERNGEE</t>
  </si>
  <si>
    <t>ZGDMDJN</t>
  </si>
  <si>
    <t>GEDANKT</t>
  </si>
  <si>
    <t>KDTN AG</t>
  </si>
  <si>
    <t>WULVEN</t>
  </si>
  <si>
    <t>VLNUAEW</t>
  </si>
  <si>
    <t>DOOREEN</t>
  </si>
  <si>
    <t>RNEDOOE</t>
  </si>
  <si>
    <t>PST</t>
  </si>
  <si>
    <t>RROCPST</t>
  </si>
  <si>
    <t>DNSSERC</t>
  </si>
  <si>
    <t>WRANGE</t>
  </si>
  <si>
    <t>FGNRWNA</t>
  </si>
  <si>
    <t>NNDEEDP</t>
  </si>
  <si>
    <t>JONDE</t>
  </si>
  <si>
    <t>DJNQOEN</t>
  </si>
  <si>
    <t>WQMBNJP</t>
  </si>
  <si>
    <t>ME</t>
  </si>
  <si>
    <t>DSDEOAM</t>
  </si>
  <si>
    <t>VA</t>
  </si>
  <si>
    <t>ATEENSO</t>
  </si>
  <si>
    <t>MOR</t>
  </si>
  <si>
    <t>MNNURSO</t>
  </si>
  <si>
    <t>ZOZO</t>
  </si>
  <si>
    <t>ZTNASZO</t>
  </si>
  <si>
    <t>FOP</t>
  </si>
  <si>
    <t>CFPJORV</t>
  </si>
  <si>
    <t>GOJ</t>
  </si>
  <si>
    <t>GRJSEEO</t>
  </si>
  <si>
    <t>UZNVNKQ</t>
  </si>
  <si>
    <t>CO</t>
  </si>
  <si>
    <t>NNESATC</t>
  </si>
  <si>
    <t>BUDDY</t>
  </si>
  <si>
    <t>DCDYTUU</t>
  </si>
  <si>
    <t>RATELEN</t>
  </si>
  <si>
    <t>RTAENLE</t>
  </si>
  <si>
    <t>RUW</t>
  </si>
  <si>
    <t>RNCUXGW</t>
  </si>
  <si>
    <t>OSEJNCG</t>
  </si>
  <si>
    <t>TEL</t>
  </si>
  <si>
    <t>TNNETJL</t>
  </si>
  <si>
    <t>NORDTUJ</t>
  </si>
  <si>
    <t>NAWEGEN</t>
  </si>
  <si>
    <t>ENEEAWG</t>
  </si>
  <si>
    <t>OLJO NE</t>
  </si>
  <si>
    <t>ENGER</t>
  </si>
  <si>
    <t>GNNKREQ</t>
  </si>
  <si>
    <t>MKBER</t>
  </si>
  <si>
    <t>EEKRIBM</t>
  </si>
  <si>
    <t>WNCAZNV</t>
  </si>
  <si>
    <t>NEPTE</t>
  </si>
  <si>
    <t>QENJENP</t>
  </si>
  <si>
    <t>TUF</t>
  </si>
  <si>
    <t>PSTUXUF</t>
  </si>
  <si>
    <t>NDQOZGL</t>
  </si>
  <si>
    <t>MANNEN</t>
  </si>
  <si>
    <t>MDNENNA</t>
  </si>
  <si>
    <t>BERK</t>
  </si>
  <si>
    <t>DBKJRNN</t>
  </si>
  <si>
    <t>OMAS</t>
  </si>
  <si>
    <t>AMSEOQO</t>
  </si>
  <si>
    <t>FONDSEN</t>
  </si>
  <si>
    <t xml:space="preserve">QSFOND </t>
  </si>
  <si>
    <t>EZETHER</t>
  </si>
  <si>
    <t>TER</t>
  </si>
  <si>
    <t>NNRNTWN</t>
  </si>
  <si>
    <t>QRRMEXO</t>
  </si>
  <si>
    <t>OUZO</t>
  </si>
  <si>
    <t>QDNNUOZ</t>
  </si>
  <si>
    <t>INWIN</t>
  </si>
  <si>
    <t>NACWIIR</t>
  </si>
  <si>
    <t>YTJES</t>
  </si>
  <si>
    <t>YJLSATE</t>
  </si>
  <si>
    <t>ERENQUS</t>
  </si>
  <si>
    <t>KOLFT</t>
  </si>
  <si>
    <t>DNJLFTO</t>
  </si>
  <si>
    <t>RUNDJES</t>
  </si>
  <si>
    <t>DRJNSUD</t>
  </si>
  <si>
    <t>TI</t>
  </si>
  <si>
    <t>QTNIOEH</t>
  </si>
  <si>
    <t>TAO</t>
  </si>
  <si>
    <t>NDKEOAE</t>
  </si>
  <si>
    <t>OIR</t>
  </si>
  <si>
    <t>UIREOEA</t>
  </si>
  <si>
    <t>GELS</t>
  </si>
  <si>
    <t>LEREOTD</t>
  </si>
  <si>
    <t>ALERT</t>
  </si>
  <si>
    <t>OREATLE</t>
  </si>
  <si>
    <t>GEMOEDE</t>
  </si>
  <si>
    <t>EGMOEED</t>
  </si>
  <si>
    <t>QATS</t>
  </si>
  <si>
    <t>NNNEQSK</t>
  </si>
  <si>
    <t>FRONSTEN</t>
  </si>
  <si>
    <t>TSNR NO</t>
  </si>
  <si>
    <t>OMZIEN</t>
  </si>
  <si>
    <t>ZLENLMI</t>
  </si>
  <si>
    <t>QUIDAM</t>
  </si>
  <si>
    <t>QDZUAMF</t>
  </si>
  <si>
    <t>TAXI</t>
  </si>
  <si>
    <t>NALXIDT</t>
  </si>
  <si>
    <t>Q</t>
  </si>
  <si>
    <t>EENEQND</t>
  </si>
  <si>
    <t>CSS GRX</t>
  </si>
  <si>
    <t>STOPSEIN</t>
  </si>
  <si>
    <t>TNESIPO</t>
  </si>
  <si>
    <t>CAI</t>
  </si>
  <si>
    <t>NIVE PC</t>
  </si>
  <si>
    <t>RANZE</t>
  </si>
  <si>
    <t>TNAERZR</t>
  </si>
  <si>
    <t>SUP</t>
  </si>
  <si>
    <t>ESDNPZL</t>
  </si>
  <si>
    <t>HEBE</t>
  </si>
  <si>
    <t>AHEBEMU</t>
  </si>
  <si>
    <t>KAMPIOEN</t>
  </si>
  <si>
    <t>NAIOEKM</t>
  </si>
  <si>
    <t>AD</t>
  </si>
  <si>
    <t>ONEDNRD</t>
  </si>
  <si>
    <t>JENDE</t>
  </si>
  <si>
    <t>JNNDEEN</t>
  </si>
  <si>
    <t>WIN</t>
  </si>
  <si>
    <t>OOTIION</t>
  </si>
  <si>
    <t>KAF</t>
  </si>
  <si>
    <t>JDJFASD</t>
  </si>
  <si>
    <t>FLOEPEN</t>
  </si>
  <si>
    <t>LNPEIEO</t>
  </si>
  <si>
    <t>EONNKCS</t>
  </si>
  <si>
    <t>QNWEOAE</t>
  </si>
  <si>
    <t>CASSEER</t>
  </si>
  <si>
    <t>CEWSRES</t>
  </si>
  <si>
    <t>VERTOND</t>
  </si>
  <si>
    <t>DRETONV</t>
  </si>
  <si>
    <t>EXCES</t>
  </si>
  <si>
    <t>CBEDSXH</t>
  </si>
  <si>
    <t>ZANDT</t>
  </si>
  <si>
    <t>DNANTSZ</t>
  </si>
  <si>
    <t>DOUARIE</t>
  </si>
  <si>
    <t>EAEO UI</t>
  </si>
  <si>
    <t>GDEALDR</t>
  </si>
  <si>
    <t>KIF</t>
  </si>
  <si>
    <t>MFIKETE</t>
  </si>
  <si>
    <t>BONJE</t>
  </si>
  <si>
    <t>BOADENJ</t>
  </si>
  <si>
    <t>BOKJE</t>
  </si>
  <si>
    <t>CJNEBQK</t>
  </si>
  <si>
    <t>HEEDEZO</t>
  </si>
  <si>
    <t>JNDOMDA</t>
  </si>
  <si>
    <t>LOF</t>
  </si>
  <si>
    <t>FEELNON</t>
  </si>
  <si>
    <t>ROEIBANKEN</t>
  </si>
  <si>
    <t>OEEENAN</t>
  </si>
  <si>
    <t>RENNERS</t>
  </si>
  <si>
    <t>ENERSNR</t>
  </si>
  <si>
    <t>HIFI</t>
  </si>
  <si>
    <t>FJDHIYI</t>
  </si>
  <si>
    <t>QUADS</t>
  </si>
  <si>
    <t>NUEQNSD</t>
  </si>
  <si>
    <t>SOFA</t>
  </si>
  <si>
    <t>BJOAFSD</t>
  </si>
  <si>
    <t>WEDT</t>
  </si>
  <si>
    <t>WEEDNDT</t>
  </si>
  <si>
    <t>RACEN</t>
  </si>
  <si>
    <t>CNUNRNE</t>
  </si>
  <si>
    <t>HIC</t>
  </si>
  <si>
    <t>HWEGCEE</t>
  </si>
  <si>
    <t>EIGENAARS</t>
  </si>
  <si>
    <t>WENEGIS</t>
  </si>
  <si>
    <t>DONG</t>
  </si>
  <si>
    <t>SNDNGON</t>
  </si>
  <si>
    <t>LERENYE</t>
  </si>
  <si>
    <t>GAPEND</t>
  </si>
  <si>
    <t>NNGADEN</t>
  </si>
  <si>
    <t>ERFLEEN</t>
  </si>
  <si>
    <t>NZELXEQ</t>
  </si>
  <si>
    <t>NALIEPEN</t>
  </si>
  <si>
    <t>PNLIEEA</t>
  </si>
  <si>
    <t>YOGIS</t>
  </si>
  <si>
    <t>EIGYWSG</t>
  </si>
  <si>
    <t>RESEM</t>
  </si>
  <si>
    <t>FSEERQM</t>
  </si>
  <si>
    <t>LESJE</t>
  </si>
  <si>
    <t>LLSAEEE</t>
  </si>
  <si>
    <t>DREG</t>
  </si>
  <si>
    <t>XZRECGT</t>
  </si>
  <si>
    <t>AH</t>
  </si>
  <si>
    <t>DEONARO</t>
  </si>
  <si>
    <t>EBIKE</t>
  </si>
  <si>
    <t>BLDEEKI</t>
  </si>
  <si>
    <t>ZEBOE</t>
  </si>
  <si>
    <t>NEBZOEE</t>
  </si>
  <si>
    <t>DROEG</t>
  </si>
  <si>
    <t>QOEDRAM</t>
  </si>
  <si>
    <t>GELOLD</t>
  </si>
  <si>
    <t>NDLGLEC</t>
  </si>
  <si>
    <t>EIKEL</t>
  </si>
  <si>
    <t>SEIEUEK</t>
  </si>
  <si>
    <t>FLOXEN</t>
  </si>
  <si>
    <t>GXOFLNO</t>
  </si>
  <si>
    <t>MANCO</t>
  </si>
  <si>
    <t>NAQCMKO</t>
  </si>
  <si>
    <t>KOEDOES</t>
  </si>
  <si>
    <t>SEODKOE</t>
  </si>
  <si>
    <t>MIMEN</t>
  </si>
  <si>
    <t>NMTWIMN</t>
  </si>
  <si>
    <t>KEEPEN</t>
  </si>
  <si>
    <t>NPEEKEE</t>
  </si>
  <si>
    <t>AANGESMEDE</t>
  </si>
  <si>
    <t xml:space="preserve">GQZMNA </t>
  </si>
  <si>
    <t>HOS</t>
  </si>
  <si>
    <t>HRDDJIO</t>
  </si>
  <si>
    <t>ZDFBBRN</t>
  </si>
  <si>
    <t>NEURALE</t>
  </si>
  <si>
    <t>NUARLEE</t>
  </si>
  <si>
    <t>WERP</t>
  </si>
  <si>
    <t>NQPRDWK</t>
  </si>
  <si>
    <t>NEEFJES</t>
  </si>
  <si>
    <t>NEIFEEJ</t>
  </si>
  <si>
    <t>CAYDNKG</t>
  </si>
  <si>
    <t>DE</t>
  </si>
  <si>
    <t>NEKTDON</t>
  </si>
  <si>
    <t>LEK</t>
  </si>
  <si>
    <t>UOMLKER</t>
  </si>
  <si>
    <t xml:space="preserve"> UYTFAS</t>
  </si>
  <si>
    <t>DGSNEGN</t>
  </si>
  <si>
    <t>ERNGEEE</t>
  </si>
  <si>
    <t>GEHIJGD</t>
  </si>
  <si>
    <t>GDMDJIG</t>
  </si>
  <si>
    <t>GEHOS</t>
  </si>
  <si>
    <t>SOEDEGT</t>
  </si>
  <si>
    <t>AGENCE</t>
  </si>
  <si>
    <t>AEUCONE</t>
  </si>
  <si>
    <t xml:space="preserve"> VEQAPE</t>
  </si>
  <si>
    <t>CURARE</t>
  </si>
  <si>
    <t>RROCAUE</t>
  </si>
  <si>
    <t>KROESDEN</t>
  </si>
  <si>
    <t>DNSROEK</t>
  </si>
  <si>
    <t>DOZEN</t>
  </si>
  <si>
    <t>FNDNZON</t>
  </si>
  <si>
    <t>NEDSOEX</t>
  </si>
  <si>
    <t>TAP</t>
  </si>
  <si>
    <t>QNESPAN</t>
  </si>
  <si>
    <t>WQMBNJH</t>
  </si>
  <si>
    <t>VALST</t>
  </si>
  <si>
    <t>DSDOATV</t>
  </si>
  <si>
    <t>EH</t>
  </si>
  <si>
    <t>TEENSOH</t>
  </si>
  <si>
    <t>JAM</t>
  </si>
  <si>
    <t>NNUSMJG</t>
  </si>
  <si>
    <t>TASSEN</t>
  </si>
  <si>
    <t>TNASSHE</t>
  </si>
  <si>
    <t>BRACE</t>
  </si>
  <si>
    <t>CJRVEBA</t>
  </si>
  <si>
    <t>EL</t>
  </si>
  <si>
    <t>RSEELME</t>
  </si>
  <si>
    <t>KOG</t>
  </si>
  <si>
    <t>KQONWRG</t>
  </si>
  <si>
    <t>HANNEST</t>
  </si>
  <si>
    <t>NNESATH</t>
  </si>
  <si>
    <t>CTUBGAZ</t>
  </si>
  <si>
    <t>ONASQTA</t>
  </si>
  <si>
    <t>RACES</t>
  </si>
  <si>
    <t>NCXGUSE</t>
  </si>
  <si>
    <t>GOJS</t>
  </si>
  <si>
    <t>OSEJNGO</t>
  </si>
  <si>
    <t>NNTJECS</t>
  </si>
  <si>
    <t>NORDTSQ</t>
  </si>
  <si>
    <t>CONVEXE</t>
  </si>
  <si>
    <t>EONCVEO</t>
  </si>
  <si>
    <t>MOLBONEN</t>
  </si>
  <si>
    <t>OLO NEN</t>
  </si>
  <si>
    <t>SAFER</t>
  </si>
  <si>
    <t>NKQASEF</t>
  </si>
  <si>
    <t>BEKOM</t>
  </si>
  <si>
    <t>EIEMKOL</t>
  </si>
  <si>
    <t>CEL</t>
  </si>
  <si>
    <t>CNVELUN</t>
  </si>
  <si>
    <t>JENEVER</t>
  </si>
  <si>
    <t>QJNLEMN</t>
  </si>
  <si>
    <t>PSXUZOK</t>
  </si>
  <si>
    <t>LORD</t>
  </si>
  <si>
    <t>DQOGLRZ</t>
  </si>
  <si>
    <t>AYA</t>
  </si>
  <si>
    <t>DNETEYO</t>
  </si>
  <si>
    <t>YANKS</t>
  </si>
  <si>
    <t>DJNN DY</t>
  </si>
  <si>
    <t>TEM</t>
  </si>
  <si>
    <t>MEQOTTC</t>
  </si>
  <si>
    <t>ZEIK</t>
  </si>
  <si>
    <t>QNZXKIG</t>
  </si>
  <si>
    <t>EZETERY</t>
  </si>
  <si>
    <t>AFZIENDE</t>
  </si>
  <si>
    <t>NNNWNAE</t>
  </si>
  <si>
    <t>ROB</t>
  </si>
  <si>
    <t>QRMOBCM</t>
  </si>
  <si>
    <t>DESEM</t>
  </si>
  <si>
    <t>QDNNMSE</t>
  </si>
  <si>
    <t>RACER</t>
  </si>
  <si>
    <t>ACRREEL</t>
  </si>
  <si>
    <t>SAX</t>
  </si>
  <si>
    <t>LSAAGLX</t>
  </si>
  <si>
    <t>ERENUSD</t>
  </si>
  <si>
    <t>ZIJND</t>
  </si>
  <si>
    <t>DNJIXNB</t>
  </si>
  <si>
    <t>VERDEDIG</t>
  </si>
  <si>
    <t>D IEEGR</t>
  </si>
  <si>
    <t>TOMEN</t>
  </si>
  <si>
    <t>QNOEHNM</t>
  </si>
  <si>
    <t>GA</t>
  </si>
  <si>
    <t>NDKEETA</t>
  </si>
  <si>
    <t>SOU</t>
  </si>
  <si>
    <t>UEEAOSU</t>
  </si>
  <si>
    <t>EREOTDA</t>
  </si>
  <si>
    <t>OENIKYF</t>
  </si>
  <si>
    <t>ZENDT</t>
  </si>
  <si>
    <t>DSNTKDZ</t>
  </si>
  <si>
    <t>KETENEN</t>
  </si>
  <si>
    <t>NNNEKEE</t>
  </si>
  <si>
    <t>COUPE</t>
  </si>
  <si>
    <t>PUECDTE</t>
  </si>
  <si>
    <t>SULKY</t>
  </si>
  <si>
    <t>LLOUYHK</t>
  </si>
  <si>
    <t>FEZ</t>
  </si>
  <si>
    <t>ZFCSNTN</t>
  </si>
  <si>
    <t>GEJIJD</t>
  </si>
  <si>
    <t>NLDGEJJ</t>
  </si>
  <si>
    <t>OF</t>
  </si>
  <si>
    <t>EENENDF</t>
  </si>
  <si>
    <t>ECARD</t>
  </si>
  <si>
    <t>CSSGREA</t>
  </si>
  <si>
    <t>BOCK</t>
  </si>
  <si>
    <t>RTBAOCE</t>
  </si>
  <si>
    <t>PENSEN</t>
  </si>
  <si>
    <t>NVEPFSE</t>
  </si>
  <si>
    <t>TRREUAE</t>
  </si>
  <si>
    <t>ZEILDE</t>
  </si>
  <si>
    <t>EDNZLNE</t>
  </si>
  <si>
    <t>MUT</t>
  </si>
  <si>
    <t>AEMUWKK</t>
  </si>
  <si>
    <t>KEELDEN</t>
  </si>
  <si>
    <t>NED EKS</t>
  </si>
  <si>
    <t>MODERNEN</t>
  </si>
  <si>
    <t>ONENRDM</t>
  </si>
  <si>
    <t>NNYDENT</t>
  </si>
  <si>
    <t>OBI</t>
  </si>
  <si>
    <t>OOTIOBI</t>
  </si>
  <si>
    <t>JDJSDRL</t>
  </si>
  <si>
    <t>AB</t>
  </si>
  <si>
    <t>IREAENG</t>
  </si>
  <si>
    <t>NEK</t>
  </si>
  <si>
    <t>KCNCGKL</t>
  </si>
  <si>
    <t>WEEN</t>
  </si>
  <si>
    <t>NWEOEEN</t>
  </si>
  <si>
    <t>ZENUWTJE</t>
  </si>
  <si>
    <t>WJUTEZN</t>
  </si>
  <si>
    <t>BYE</t>
  </si>
  <si>
    <t>ENEYNKD</t>
  </si>
  <si>
    <t>POEF</t>
  </si>
  <si>
    <t>BDHOEFB</t>
  </si>
  <si>
    <t>NSISHON</t>
  </si>
  <si>
    <t>ENQMNOH</t>
  </si>
  <si>
    <t>OME</t>
  </si>
  <si>
    <t>DEALDRO</t>
  </si>
  <si>
    <t>GEMETEN</t>
  </si>
  <si>
    <t>METEENG</t>
  </si>
  <si>
    <t>DOXE</t>
  </si>
  <si>
    <t>ADSEDHX</t>
  </si>
  <si>
    <t>WEIDE</t>
  </si>
  <si>
    <t>CNQDEIE</t>
  </si>
  <si>
    <t>GEHORENDE</t>
  </si>
  <si>
    <t xml:space="preserve">HEDEOG </t>
  </si>
  <si>
    <t>MAL</t>
  </si>
  <si>
    <t>NDOMDAM</t>
  </si>
  <si>
    <t>B</t>
  </si>
  <si>
    <t>EENNGBE</t>
  </si>
  <si>
    <t>WAN</t>
  </si>
  <si>
    <t>OEEANWV</t>
  </si>
  <si>
    <t>TMDRJ U</t>
  </si>
  <si>
    <t>GYMT</t>
  </si>
  <si>
    <t>JDYMTOG</t>
  </si>
  <si>
    <t>NENEOET</t>
  </si>
  <si>
    <t>BJDROAG</t>
  </si>
  <si>
    <t>ENDBNNE</t>
  </si>
  <si>
    <t>ANNEX</t>
  </si>
  <si>
    <t>UNNAIXG</t>
  </si>
  <si>
    <t>GEWETEN</t>
  </si>
  <si>
    <t>WEGEETE</t>
  </si>
  <si>
    <t>WEGHING</t>
  </si>
  <si>
    <t>CONSENT</t>
  </si>
  <si>
    <t>SNNTENO</t>
  </si>
  <si>
    <t>FES</t>
  </si>
  <si>
    <t>LRENEFI</t>
  </si>
  <si>
    <t>ENEN</t>
  </si>
  <si>
    <t>NNFAAEE</t>
  </si>
  <si>
    <t>REMIX</t>
  </si>
  <si>
    <t>ZXQIEDR</t>
  </si>
  <si>
    <t>DJAHE</t>
  </si>
  <si>
    <t xml:space="preserve"> MGVHED</t>
  </si>
  <si>
    <t>OUWEL</t>
  </si>
  <si>
    <t>EWGOLUE</t>
  </si>
  <si>
    <t>KEF</t>
  </si>
  <si>
    <t>FQSOKEA</t>
  </si>
  <si>
    <t>AHA</t>
  </si>
  <si>
    <t>LAENAHG</t>
  </si>
  <si>
    <t>TEXE</t>
  </si>
  <si>
    <t>XZCTDEC</t>
  </si>
  <si>
    <t>DONOREN</t>
  </si>
  <si>
    <t>DEONRON</t>
  </si>
  <si>
    <t>LYNX</t>
  </si>
  <si>
    <t>LDFNXAJ</t>
  </si>
  <si>
    <t>VLEK</t>
  </si>
  <si>
    <t>NERKLNV</t>
  </si>
  <si>
    <t>QAM TTJ</t>
  </si>
  <si>
    <t>GAS</t>
  </si>
  <si>
    <t>NCAGVDU</t>
  </si>
  <si>
    <t>ZURE</t>
  </si>
  <si>
    <t>SUEMENZ</t>
  </si>
  <si>
    <t>FOSGEEN</t>
  </si>
  <si>
    <t xml:space="preserve">GOFENS </t>
  </si>
  <si>
    <t>VEI</t>
  </si>
  <si>
    <t>QKIAENV</t>
  </si>
  <si>
    <t>IBLENZR</t>
  </si>
  <si>
    <t>TWNHRDA</t>
  </si>
  <si>
    <t>BOUTE</t>
  </si>
  <si>
    <t>EBTUOEO</t>
  </si>
  <si>
    <t>HEG</t>
  </si>
  <si>
    <t>GQZME H</t>
  </si>
  <si>
    <t>WIJN</t>
  </si>
  <si>
    <t>RDDJIWN</t>
  </si>
  <si>
    <t>BUTS</t>
  </si>
  <si>
    <t>DFBBRTU</t>
  </si>
  <si>
    <t>EINDNOTA</t>
  </si>
  <si>
    <t>TOANDNE</t>
  </si>
  <si>
    <t>NQDKOTF</t>
  </si>
  <si>
    <t>POENIG</t>
  </si>
  <si>
    <t>IGOPNTA</t>
  </si>
  <si>
    <t>CHEEK</t>
  </si>
  <si>
    <t>CDNKEEH</t>
  </si>
  <si>
    <t>PA</t>
  </si>
  <si>
    <t>NEKTONP</t>
  </si>
  <si>
    <t>DIM</t>
  </si>
  <si>
    <t>UOMRDIR</t>
  </si>
  <si>
    <t>AFWASTE</t>
  </si>
  <si>
    <t xml:space="preserve"> TFASWA</t>
  </si>
  <si>
    <t>DAAGS</t>
  </si>
  <si>
    <t>GSNGNAD</t>
  </si>
  <si>
    <t>PF</t>
  </si>
  <si>
    <t>RNGEEEF</t>
  </si>
  <si>
    <t>MEDUSA</t>
  </si>
  <si>
    <t>MDASIUD</t>
  </si>
  <si>
    <t>ACHTENDE</t>
  </si>
  <si>
    <t>DETENHA</t>
  </si>
  <si>
    <t>EIK</t>
  </si>
  <si>
    <t>UOYEFKI</t>
  </si>
  <si>
    <t>P</t>
  </si>
  <si>
    <t xml:space="preserve"> PEDNSE</t>
  </si>
  <si>
    <t>INFOS</t>
  </si>
  <si>
    <t>ONKIFIS</t>
  </si>
  <si>
    <t>E ERLEQ</t>
  </si>
  <si>
    <t>RINS</t>
  </si>
  <si>
    <t>FNNIGNR</t>
  </si>
  <si>
    <t>BOGEYS</t>
  </si>
  <si>
    <t>NEDSEWE</t>
  </si>
  <si>
    <t>ONZES</t>
  </si>
  <si>
    <t>QNESNOZ</t>
  </si>
  <si>
    <t>WQBNJEN</t>
  </si>
  <si>
    <t>KNIPOGENDE</t>
  </si>
  <si>
    <t>DDOWEFE</t>
  </si>
  <si>
    <t>TENSOEY</t>
  </si>
  <si>
    <t>VELOS</t>
  </si>
  <si>
    <t>NNUSGVI</t>
  </si>
  <si>
    <t>HBLFJEW</t>
  </si>
  <si>
    <t>JEANSVEST</t>
  </si>
  <si>
    <t>JVAESNE</t>
  </si>
  <si>
    <t>RSEMEAD</t>
  </si>
  <si>
    <t>KRIB</t>
  </si>
  <si>
    <t>QNWRBRI</t>
  </si>
  <si>
    <t>EXPLOOT</t>
  </si>
  <si>
    <t>ELOHXPO</t>
  </si>
  <si>
    <t>TAG</t>
  </si>
  <si>
    <t>TUGZAOU</t>
  </si>
  <si>
    <t>BAND</t>
  </si>
  <si>
    <t>ONSTABD</t>
  </si>
  <si>
    <t xml:space="preserve">NXGUNC </t>
  </si>
  <si>
    <t>POMERANS</t>
  </si>
  <si>
    <t>ENOAM P</t>
  </si>
  <si>
    <t>ENTMES</t>
  </si>
  <si>
    <t>NNTJZDE</t>
  </si>
  <si>
    <t>DEN</t>
  </si>
  <si>
    <t>NORTSDN</t>
  </si>
  <si>
    <t>NOEN</t>
  </si>
  <si>
    <t>EOAONAD</t>
  </si>
  <si>
    <t>ICOTERN</t>
  </si>
  <si>
    <t>NKQPXGH</t>
  </si>
  <si>
    <t>JIVE</t>
  </si>
  <si>
    <t>IEL JVA</t>
  </si>
  <si>
    <t>SNUF</t>
  </si>
  <si>
    <t>NVUNFND</t>
  </si>
  <si>
    <t>QLMNSEC</t>
  </si>
  <si>
    <t>PSXUKMA</t>
  </si>
  <si>
    <t>GEZEL</t>
  </si>
  <si>
    <t>QGLZEEO</t>
  </si>
  <si>
    <t>TOEDOEN</t>
  </si>
  <si>
    <t>DNETEOO</t>
  </si>
  <si>
    <t>FENG</t>
  </si>
  <si>
    <t>DJNDENI</t>
  </si>
  <si>
    <t>EQOTCEE</t>
  </si>
  <si>
    <t>GARING</t>
  </si>
  <si>
    <t>QNXGRIA</t>
  </si>
  <si>
    <t>GEZETTER</t>
  </si>
  <si>
    <t>ZETERET</t>
  </si>
  <si>
    <t>SPA</t>
  </si>
  <si>
    <t>QMCMAPS</t>
  </si>
  <si>
    <t>NANNY</t>
  </si>
  <si>
    <t>QNNYEAW</t>
  </si>
  <si>
    <t>ELPF TK</t>
  </si>
  <si>
    <t>LARGO</t>
  </si>
  <si>
    <t>LAGLORN</t>
  </si>
  <si>
    <t>DUNNERE</t>
  </si>
  <si>
    <t>EREND N</t>
  </si>
  <si>
    <t>XNBVPRD</t>
  </si>
  <si>
    <t>ZETA</t>
  </si>
  <si>
    <t>IZNETEA</t>
  </si>
  <si>
    <t>QHNNAEY</t>
  </si>
  <si>
    <t>RED</t>
  </si>
  <si>
    <t>NDKEETD</t>
  </si>
  <si>
    <t>DEAL</t>
  </si>
  <si>
    <t>EEAUDTL</t>
  </si>
  <si>
    <t>MOEDERT</t>
  </si>
  <si>
    <t>EREOTDM</t>
  </si>
  <si>
    <t>NAFFER</t>
  </si>
  <si>
    <t>OIKFRFE</t>
  </si>
  <si>
    <t>SKDZNEE</t>
  </si>
  <si>
    <t>YIN</t>
  </si>
  <si>
    <t>NYIREWE</t>
  </si>
  <si>
    <t>DTEGMFG</t>
  </si>
  <si>
    <t>HELA</t>
  </si>
  <si>
    <t>LOHEEAE</t>
  </si>
  <si>
    <t>EXMAN</t>
  </si>
  <si>
    <t>CSNTNNM</t>
  </si>
  <si>
    <t>NLYSHMD</t>
  </si>
  <si>
    <t>GADEN</t>
  </si>
  <si>
    <t>EENENDE</t>
  </si>
  <si>
    <t>GURE</t>
  </si>
  <si>
    <t>SSGREUA</t>
  </si>
  <si>
    <t>JEN</t>
  </si>
  <si>
    <t>RTAENEJ</t>
  </si>
  <si>
    <t>KOF</t>
  </si>
  <si>
    <t>VFNOUAK</t>
  </si>
  <si>
    <t>ARE</t>
  </si>
  <si>
    <t>TRREAEO</t>
  </si>
  <si>
    <t>SJANS</t>
  </si>
  <si>
    <t>NNASSJO</t>
  </si>
  <si>
    <t>WAKKERT</t>
  </si>
  <si>
    <t>AEWKKRT</t>
  </si>
  <si>
    <t>UFO</t>
  </si>
  <si>
    <t>SOQYMDF</t>
  </si>
  <si>
    <t>AURORA</t>
  </si>
  <si>
    <t>RAATEUO</t>
  </si>
  <si>
    <t>HANDT</t>
  </si>
  <si>
    <t>NDNTAOH</t>
  </si>
  <si>
    <t>ROOTKITS</t>
  </si>
  <si>
    <t xml:space="preserve">OTOISR </t>
  </si>
  <si>
    <t>W</t>
  </si>
  <si>
    <t>JJSDLNW</t>
  </si>
  <si>
    <t>TE</t>
  </si>
  <si>
    <t>IREENGE</t>
  </si>
  <si>
    <t>LUK</t>
  </si>
  <si>
    <t>CCGKLUN</t>
  </si>
  <si>
    <t>HAUTE</t>
  </si>
  <si>
    <t>OEENHAU</t>
  </si>
  <si>
    <t>WEE</t>
  </si>
  <si>
    <t>HQECOEW</t>
  </si>
  <si>
    <t xml:space="preserve">ENENKD </t>
  </si>
  <si>
    <t>BASEDE</t>
  </si>
  <si>
    <t>BDHBETE</t>
  </si>
  <si>
    <t>DJINNS</t>
  </si>
  <si>
    <t>NISNSJK</t>
  </si>
  <si>
    <t>TEES</t>
  </si>
  <si>
    <t>ENQNOXS</t>
  </si>
  <si>
    <t>A</t>
  </si>
  <si>
    <t>DEALDRA</t>
  </si>
  <si>
    <t>KILT</t>
  </si>
  <si>
    <t>RLYNNIT</t>
  </si>
  <si>
    <t>N</t>
  </si>
  <si>
    <t>ASEDHNR</t>
  </si>
  <si>
    <t>CAS</t>
  </si>
  <si>
    <t>CNQMACS</t>
  </si>
  <si>
    <t>MU</t>
  </si>
  <si>
    <t>NEARUTM</t>
  </si>
  <si>
    <t>AFDOENDE</t>
  </si>
  <si>
    <t>NDODMEE</t>
  </si>
  <si>
    <t>ES</t>
  </si>
  <si>
    <t>EENNGEE</t>
  </si>
  <si>
    <t>OEEVDXL</t>
  </si>
  <si>
    <t>G</t>
  </si>
  <si>
    <t>TMR UFG</t>
  </si>
  <si>
    <t>JDOZSCF</t>
  </si>
  <si>
    <t>RE</t>
  </si>
  <si>
    <t>NNEOETE</t>
  </si>
  <si>
    <t>DROGER</t>
  </si>
  <si>
    <t>JDROGRE</t>
  </si>
  <si>
    <t>DROGERE</t>
  </si>
  <si>
    <t>ENDNNEE</t>
  </si>
  <si>
    <t>UITGEEFT</t>
  </si>
  <si>
    <t>UIGTFEE</t>
  </si>
  <si>
    <t>PADEN</t>
  </si>
  <si>
    <t>ETPMNDA</t>
  </si>
  <si>
    <t>SMEKKEN</t>
  </si>
  <si>
    <t xml:space="preserve">EESMKK </t>
  </si>
  <si>
    <t>BIJOU</t>
  </si>
  <si>
    <t>NNBUNJO</t>
  </si>
  <si>
    <t>LRENEIU</t>
  </si>
  <si>
    <t>AFZIET</t>
  </si>
  <si>
    <t>FAAITEZ</t>
  </si>
  <si>
    <t>ZEIDE</t>
  </si>
  <si>
    <t>ZQDEKIS</t>
  </si>
  <si>
    <t>MGVIADJ</t>
  </si>
  <si>
    <t>HU</t>
  </si>
  <si>
    <t>GE UHES</t>
  </si>
  <si>
    <t>QSOAHTN</t>
  </si>
  <si>
    <t>NEGENTAL</t>
  </si>
  <si>
    <t>LENAGTE</t>
  </si>
  <si>
    <t>ZEEM</t>
  </si>
  <si>
    <t>ZCDCEQE</t>
  </si>
  <si>
    <t>UNIE</t>
  </si>
  <si>
    <t>NOGIEUA</t>
  </si>
  <si>
    <t>SLA</t>
  </si>
  <si>
    <t>DFAJLSN</t>
  </si>
  <si>
    <t>DAN</t>
  </si>
  <si>
    <t>NERNSDN</t>
  </si>
  <si>
    <t>GSMETJES</t>
  </si>
  <si>
    <t>M TJSSE</t>
  </si>
  <si>
    <t>GASSEN</t>
  </si>
  <si>
    <t>NCVDUES</t>
  </si>
  <si>
    <t>MEEUW</t>
  </si>
  <si>
    <t>SMENUHW</t>
  </si>
  <si>
    <t>K</t>
  </si>
  <si>
    <t>IMNSKTE</t>
  </si>
  <si>
    <t>KANOET</t>
  </si>
  <si>
    <t>QKAENOT</t>
  </si>
  <si>
    <t>ILENZER</t>
  </si>
  <si>
    <t>DRAB</t>
  </si>
  <si>
    <t>WNRDABR</t>
  </si>
  <si>
    <t>AL</t>
  </si>
  <si>
    <t>EORDLDN</t>
  </si>
  <si>
    <t>AFZAK</t>
  </si>
  <si>
    <t>QZM AAK</t>
  </si>
  <si>
    <t>RDDNVWY</t>
  </si>
  <si>
    <t>BRIEFDEN</t>
  </si>
  <si>
    <t>DFBRENI</t>
  </si>
  <si>
    <t>ORGANZA</t>
  </si>
  <si>
    <t>RAGZ NA</t>
  </si>
  <si>
    <t>DIT</t>
  </si>
  <si>
    <t>NQDKTCN</t>
  </si>
  <si>
    <t>MEE</t>
  </si>
  <si>
    <t>TAEELME</t>
  </si>
  <si>
    <t>CREW</t>
  </si>
  <si>
    <t>DNFW RE</t>
  </si>
  <si>
    <t>NEKTONN</t>
  </si>
  <si>
    <t>TERREUR</t>
  </si>
  <si>
    <t>UORROER</t>
  </si>
  <si>
    <t>HEELSTER</t>
  </si>
  <si>
    <t>HEELTSE</t>
  </si>
  <si>
    <t>HEEF</t>
  </si>
  <si>
    <t>NGNJHFE</t>
  </si>
  <si>
    <t>X</t>
  </si>
  <si>
    <t>RNGEEEX</t>
  </si>
  <si>
    <t>CIF</t>
  </si>
  <si>
    <t>IDCENNL</t>
  </si>
  <si>
    <t>ESOJTZE</t>
  </si>
  <si>
    <t>UOYFQRA</t>
  </si>
  <si>
    <t>ESDORENS</t>
  </si>
  <si>
    <t xml:space="preserve"> EDNSER</t>
  </si>
  <si>
    <t>SIFAKA</t>
  </si>
  <si>
    <t>KIEASAK</t>
  </si>
  <si>
    <t>MELKBOEREN</t>
  </si>
  <si>
    <t>E ERLEM</t>
  </si>
  <si>
    <t>MAX</t>
  </si>
  <si>
    <t>FNGNXHM</t>
  </si>
  <si>
    <t>WONDDE</t>
  </si>
  <si>
    <t>NEDEWED</t>
  </si>
  <si>
    <t>MORSEN</t>
  </si>
  <si>
    <t>QNMRL O</t>
  </si>
  <si>
    <t>WENS</t>
  </si>
  <si>
    <t>WQJNESJ</t>
  </si>
  <si>
    <t>ZOEFDEN</t>
  </si>
  <si>
    <t>DOWFEZE</t>
  </si>
  <si>
    <t>TENSOEF</t>
  </si>
  <si>
    <t>BUGS</t>
  </si>
  <si>
    <t>NNUGIBD</t>
  </si>
  <si>
    <t>HEF</t>
  </si>
  <si>
    <t>HBLFJNK</t>
  </si>
  <si>
    <t>AANHITSTE</t>
  </si>
  <si>
    <t>TNAHIAE</t>
  </si>
  <si>
    <t>MA</t>
  </si>
  <si>
    <t>REMEADN</t>
  </si>
  <si>
    <t>TRAC</t>
  </si>
  <si>
    <t>QNWRCTA</t>
  </si>
  <si>
    <t>GELEN</t>
  </si>
  <si>
    <t>HENLENJ</t>
  </si>
  <si>
    <t>ZOUTERE</t>
  </si>
  <si>
    <t>UZOUTRE</t>
  </si>
  <si>
    <t>VONK</t>
  </si>
  <si>
    <t>OSTVNAE</t>
  </si>
  <si>
    <t>LUREX</t>
  </si>
  <si>
    <t>NGUNCRL</t>
  </si>
  <si>
    <t>SOEZERIG</t>
  </si>
  <si>
    <t>SIEGERZ</t>
  </si>
  <si>
    <t>VEER</t>
  </si>
  <si>
    <t>NJZDRLT</t>
  </si>
  <si>
    <t>ORTSNQD</t>
  </si>
  <si>
    <t>SOERA</t>
  </si>
  <si>
    <t>AOADERS</t>
  </si>
  <si>
    <t>OTERNNE</t>
  </si>
  <si>
    <t>KIP</t>
  </si>
  <si>
    <t>NKQPGID</t>
  </si>
  <si>
    <t>ROLMATEN</t>
  </si>
  <si>
    <t>EL ATRO</t>
  </si>
  <si>
    <t>GIS</t>
  </si>
  <si>
    <t>VNNDGIS</t>
  </si>
  <si>
    <t>WOW</t>
  </si>
  <si>
    <t>QLMNWWR</t>
  </si>
  <si>
    <t>MUSIC</t>
  </si>
  <si>
    <t>PSUKMAI</t>
  </si>
  <si>
    <t>KEI</t>
  </si>
  <si>
    <t>QOEKINC</t>
  </si>
  <si>
    <t>PEP</t>
  </si>
  <si>
    <t>ENCSVPP</t>
  </si>
  <si>
    <t>ID</t>
  </si>
  <si>
    <t>DJDNIED</t>
  </si>
  <si>
    <t>ZAKTE</t>
  </si>
  <si>
    <t>OTENWOA</t>
  </si>
  <si>
    <t>QXRNJRE</t>
  </si>
  <si>
    <t>MEG</t>
  </si>
  <si>
    <t>KIMGSNT</t>
  </si>
  <si>
    <t>ZONNE</t>
  </si>
  <si>
    <t>NNAPNOZ</t>
  </si>
  <si>
    <t>CHI</t>
  </si>
  <si>
    <t>QMCMDHI</t>
  </si>
  <si>
    <t>QEWEOJE</t>
  </si>
  <si>
    <t>EL TK T</t>
  </si>
  <si>
    <t>HELPEN</t>
  </si>
  <si>
    <t>LNDPHFE</t>
  </si>
  <si>
    <t>BEPEK</t>
  </si>
  <si>
    <t>BNCMKEE</t>
  </si>
  <si>
    <t>PENS</t>
  </si>
  <si>
    <t>NBVPDSE</t>
  </si>
  <si>
    <t>INT</t>
  </si>
  <si>
    <t>INEQTO</t>
  </si>
  <si>
    <t>JANHEN</t>
  </si>
  <si>
    <t xml:space="preserve">QHENJB </t>
  </si>
  <si>
    <t>DRENKTEN</t>
  </si>
  <si>
    <t>NKEETDR</t>
  </si>
  <si>
    <t>NEB</t>
  </si>
  <si>
    <t>EUTNNNB</t>
  </si>
  <si>
    <t>KBTSRFU</t>
  </si>
  <si>
    <t>OIKSJTQ</t>
  </si>
  <si>
    <t>SKDNENE</t>
  </si>
  <si>
    <t>WAREN</t>
  </si>
  <si>
    <t>REWENAA</t>
  </si>
  <si>
    <t>DEMGZTE</t>
  </si>
  <si>
    <t>WEES</t>
  </si>
  <si>
    <t>OEEEWES</t>
  </si>
  <si>
    <t>CTJES</t>
  </si>
  <si>
    <t>CSTNNOJ</t>
  </si>
  <si>
    <t>LSHMDTE</t>
  </si>
  <si>
    <t>ERKENNEN</t>
  </si>
  <si>
    <t>EENE NR</t>
  </si>
  <si>
    <t>AFASIE</t>
  </si>
  <si>
    <t>SSAEFAS</t>
  </si>
  <si>
    <t>H</t>
  </si>
  <si>
    <t>RTAENEH</t>
  </si>
  <si>
    <t>VNUATRJ</t>
  </si>
  <si>
    <t>TREOQMI</t>
  </si>
  <si>
    <t>NOETXEE</t>
  </si>
  <si>
    <t>OVSHNAE</t>
  </si>
  <si>
    <t>HYMNE</t>
  </si>
  <si>
    <t>SQYMDLN</t>
  </si>
  <si>
    <t>DOKA</t>
  </si>
  <si>
    <t>TESOEEN</t>
  </si>
  <si>
    <t>OVERHEEN</t>
  </si>
  <si>
    <t>NOHEVER</t>
  </si>
  <si>
    <t>OPVOED</t>
  </si>
  <si>
    <t>DPOEVED</t>
  </si>
  <si>
    <t>TELS</t>
  </si>
  <si>
    <t>JJSDLNF</t>
  </si>
  <si>
    <t>IRENGEE</t>
  </si>
  <si>
    <t>CANCEL</t>
  </si>
  <si>
    <t>CCGNEZL</t>
  </si>
  <si>
    <t>SLOPENDE</t>
  </si>
  <si>
    <t>OENPDES</t>
  </si>
  <si>
    <t>SCHOEP</t>
  </si>
  <si>
    <t>HQCOEDP</t>
  </si>
  <si>
    <t>DENTE</t>
  </si>
  <si>
    <t>DNN</t>
  </si>
  <si>
    <t>TOUW</t>
  </si>
  <si>
    <t>HBTWAOU</t>
  </si>
  <si>
    <t>KIN</t>
  </si>
  <si>
    <t>SKNNDIN</t>
  </si>
  <si>
    <t>NQNOXNN</t>
  </si>
  <si>
    <t>DELDRAA</t>
  </si>
  <si>
    <t>TYP</t>
  </si>
  <si>
    <t>RYNN RT</t>
  </si>
  <si>
    <t>ADERS</t>
  </si>
  <si>
    <t>ASEDHRM</t>
  </si>
  <si>
    <t>COCON</t>
  </si>
  <si>
    <t>NQMCEOY</t>
  </si>
  <si>
    <t>RESTANTE</t>
  </si>
  <si>
    <t>NEARTTS</t>
  </si>
  <si>
    <t>HOERI</t>
  </si>
  <si>
    <t>MURAIHO</t>
  </si>
  <si>
    <t>BENDE</t>
  </si>
  <si>
    <t>ENNGEEB</t>
  </si>
  <si>
    <t>NEKVEL</t>
  </si>
  <si>
    <t>EEVLAKQ</t>
  </si>
  <si>
    <t>GEMUFT</t>
  </si>
  <si>
    <t>JDOSCFW</t>
  </si>
  <si>
    <t>NNOETEN</t>
  </si>
  <si>
    <t>ZIJDE</t>
  </si>
  <si>
    <t>JIZMYKD</t>
  </si>
  <si>
    <t>NDNNEEM</t>
  </si>
  <si>
    <t>URBANE</t>
  </si>
  <si>
    <t>AREBENE</t>
  </si>
  <si>
    <t>ETMSEFY</t>
  </si>
  <si>
    <t>ZET</t>
  </si>
  <si>
    <t>TZELEDV</t>
  </si>
  <si>
    <t>PLENS</t>
  </si>
  <si>
    <t>NNNSPLE</t>
  </si>
  <si>
    <t>J</t>
  </si>
  <si>
    <t>LRENEIJ</t>
  </si>
  <si>
    <t>KAUW</t>
  </si>
  <si>
    <t>AAKNWUW</t>
  </si>
  <si>
    <t>VESTE</t>
  </si>
  <si>
    <t>QKSETVD</t>
  </si>
  <si>
    <t>DOVIG</t>
  </si>
  <si>
    <t>GVIDCOG</t>
  </si>
  <si>
    <t>BEU</t>
  </si>
  <si>
    <t>GE ESAU</t>
  </si>
  <si>
    <t>OHNEAAN</t>
  </si>
  <si>
    <t>YO</t>
  </si>
  <si>
    <t>AODSENN</t>
  </si>
  <si>
    <t xml:space="preserve">CDCQSU </t>
  </si>
  <si>
    <t>GUL</t>
  </si>
  <si>
    <t>OGAUSVE</t>
  </si>
  <si>
    <t>DFJNANN</t>
  </si>
  <si>
    <t>STEUREN</t>
  </si>
  <si>
    <t>ERNSNUT</t>
  </si>
  <si>
    <t>SABAYON</t>
  </si>
  <si>
    <t>BYOAATN</t>
  </si>
  <si>
    <t>AVE</t>
  </si>
  <si>
    <t>CVDUANE</t>
  </si>
  <si>
    <t>SMNHCYN</t>
  </si>
  <si>
    <t>MATINEES</t>
  </si>
  <si>
    <t xml:space="preserve">IMNSTE </t>
  </si>
  <si>
    <t>BEER</t>
  </si>
  <si>
    <t>QENBEPR</t>
  </si>
  <si>
    <t>ILENERN</t>
  </si>
  <si>
    <t>WRAP</t>
  </si>
  <si>
    <t>WNRCPAO</t>
  </si>
  <si>
    <t>KEEPEND</t>
  </si>
  <si>
    <t>EORDDNW</t>
  </si>
  <si>
    <t>DARM</t>
  </si>
  <si>
    <t>QMAJERD</t>
  </si>
  <si>
    <t>RDDVWKX</t>
  </si>
  <si>
    <t>GEDOE</t>
  </si>
  <si>
    <t>OEQGAED</t>
  </si>
  <si>
    <t>EVESY</t>
  </si>
  <si>
    <t>C</t>
  </si>
  <si>
    <t>NQKCN</t>
  </si>
  <si>
    <t>DIA</t>
  </si>
  <si>
    <t>TALEIAS</t>
  </si>
  <si>
    <t>DROS</t>
  </si>
  <si>
    <t>DNFNSVO</t>
  </si>
  <si>
    <t>KNOERTEN</t>
  </si>
  <si>
    <t>EKTONNE</t>
  </si>
  <si>
    <t>COL</t>
  </si>
  <si>
    <t>OOECLSE</t>
  </si>
  <si>
    <t>MEORGTO</t>
  </si>
  <si>
    <t>HENG</t>
  </si>
  <si>
    <t>NGNJEDR</t>
  </si>
  <si>
    <t>BEKWAMEN</t>
  </si>
  <si>
    <t>RNGEEEB</t>
  </si>
  <si>
    <t>LANDENDE</t>
  </si>
  <si>
    <t>DENNLAD</t>
  </si>
  <si>
    <t>ESOJTEE</t>
  </si>
  <si>
    <t>ARS</t>
  </si>
  <si>
    <t>UYQRAAS</t>
  </si>
  <si>
    <t>VEINE</t>
  </si>
  <si>
    <t>EVJWYAN</t>
  </si>
  <si>
    <t>VINKEN</t>
  </si>
  <si>
    <t>EKNAEEQ</t>
  </si>
  <si>
    <t>ORE</t>
  </si>
  <si>
    <t>AOVEDWE</t>
  </si>
  <si>
    <t>FNGNHFL</t>
  </si>
  <si>
    <t>ERECODES</t>
  </si>
  <si>
    <t>EE ESRC</t>
  </si>
  <si>
    <t>WIELT</t>
  </si>
  <si>
    <t>QLITWCB</t>
  </si>
  <si>
    <t>JIJT</t>
  </si>
  <si>
    <t>QJJRRTI</t>
  </si>
  <si>
    <t>WOGEN</t>
  </si>
  <si>
    <t>WANGIEE</t>
  </si>
  <si>
    <t>QUOTE</t>
  </si>
  <si>
    <t>TNSOEEQ</t>
  </si>
  <si>
    <t>INPRENT</t>
  </si>
  <si>
    <t>NNIDPTR</t>
  </si>
  <si>
    <t>BLANK</t>
  </si>
  <si>
    <t>BLJNKMN</t>
  </si>
  <si>
    <t>EROGEEN</t>
  </si>
  <si>
    <t>GEROEEA</t>
  </si>
  <si>
    <t>BOA</t>
  </si>
  <si>
    <t>REEDNEA</t>
  </si>
  <si>
    <t>WEDE</t>
  </si>
  <si>
    <t>QNWOEDE</t>
  </si>
  <si>
    <t>DEUNT</t>
  </si>
  <si>
    <t>HNJDETV</t>
  </si>
  <si>
    <t>MOM</t>
  </si>
  <si>
    <t>UMQEMEF</t>
  </si>
  <si>
    <t>STAEEHN</t>
  </si>
  <si>
    <t>ENG</t>
  </si>
  <si>
    <t>NGNCELM</t>
  </si>
  <si>
    <t>OO GAQX</t>
  </si>
  <si>
    <t>NJZDLTE</t>
  </si>
  <si>
    <t>ST</t>
  </si>
  <si>
    <t>ORTNDGS</t>
  </si>
  <si>
    <t>DEATH</t>
  </si>
  <si>
    <t>ADET HE</t>
  </si>
  <si>
    <t>MIN</t>
  </si>
  <si>
    <t>OTENNEN</t>
  </si>
  <si>
    <t>NQGDTEA</t>
  </si>
  <si>
    <t>HARTE</t>
  </si>
  <si>
    <t>RETMHEA</t>
  </si>
  <si>
    <t>PON</t>
  </si>
  <si>
    <t>VNNDDO</t>
  </si>
  <si>
    <t>MIS</t>
  </si>
  <si>
    <t>QLMNRSN</t>
  </si>
  <si>
    <t>PEAU</t>
  </si>
  <si>
    <t>PKAASEE</t>
  </si>
  <si>
    <t>OHO</t>
  </si>
  <si>
    <t>QONCOH</t>
  </si>
  <si>
    <t>SCAN</t>
  </si>
  <si>
    <t>NCSV</t>
  </si>
  <si>
    <t>JDNEDTN</t>
  </si>
  <si>
    <t>OTNWOAQ</t>
  </si>
  <si>
    <t>BAREN</t>
  </si>
  <si>
    <t>QRNJREB</t>
  </si>
  <si>
    <t>KISNTNU</t>
  </si>
  <si>
    <t>HANK</t>
  </si>
  <si>
    <t>APNESHK</t>
  </si>
  <si>
    <t>SCHIM</t>
  </si>
  <si>
    <t>QMMDSNE</t>
  </si>
  <si>
    <t>JONGS</t>
  </si>
  <si>
    <t>QOJSHNG</t>
  </si>
  <si>
    <t>TELEXTE</t>
  </si>
  <si>
    <t>EL T TX</t>
  </si>
  <si>
    <t>WEEK</t>
  </si>
  <si>
    <t>DFKWEFQ</t>
  </si>
  <si>
    <t>WEM</t>
  </si>
  <si>
    <t>NCMNNWE</t>
  </si>
  <si>
    <t>DUIVER</t>
  </si>
  <si>
    <t>BVD</t>
  </si>
  <si>
    <t>OPENS</t>
  </si>
  <si>
    <t>EQO</t>
  </si>
  <si>
    <t>QBAIENU</t>
  </si>
  <si>
    <t>GINUSRE</t>
  </si>
  <si>
    <t>TOQUE</t>
  </si>
  <si>
    <t>UTNNOQC</t>
  </si>
  <si>
    <t>KUB</t>
  </si>
  <si>
    <t>KBTRFUS</t>
  </si>
  <si>
    <t>SNORKER</t>
  </si>
  <si>
    <t>OIKSJRN</t>
  </si>
  <si>
    <t>NAKEND</t>
  </si>
  <si>
    <t>KDNENEA</t>
  </si>
  <si>
    <t>EEAAOOH</t>
  </si>
  <si>
    <t>UT</t>
  </si>
  <si>
    <t>DEMGTEO</t>
  </si>
  <si>
    <t>OEEE</t>
  </si>
  <si>
    <t>WON</t>
  </si>
  <si>
    <t>NNO</t>
  </si>
  <si>
    <t>STEUR</t>
  </si>
  <si>
    <t>LSDTERU</t>
  </si>
  <si>
    <t>HUG</t>
  </si>
  <si>
    <t>HNGUV</t>
  </si>
  <si>
    <t>AFLOS</t>
  </si>
  <si>
    <t>SSLAKOD</t>
  </si>
  <si>
    <t>TRANENDE</t>
  </si>
  <si>
    <t>RTAENED</t>
  </si>
  <si>
    <t>REUT</t>
  </si>
  <si>
    <t>VNURRIE</t>
  </si>
  <si>
    <t>MI</t>
  </si>
  <si>
    <t>REOMIDE</t>
  </si>
  <si>
    <t>GEVOEDEN</t>
  </si>
  <si>
    <t>NOEND</t>
  </si>
  <si>
    <t>VOS</t>
  </si>
  <si>
    <t>OVSNA</t>
  </si>
  <si>
    <t>SQDLTRR</t>
  </si>
  <si>
    <t>HYMNEN</t>
  </si>
  <si>
    <t>TESEENJ</t>
  </si>
  <si>
    <t>SMALEN</t>
  </si>
  <si>
    <t>SALJMNN</t>
  </si>
  <si>
    <t>GAMENDE</t>
  </si>
  <si>
    <t>EDEG NM</t>
  </si>
  <si>
    <t>ZIJD</t>
  </si>
  <si>
    <t>JJDNF Z</t>
  </si>
  <si>
    <t>V</t>
  </si>
  <si>
    <t>IRNGEEV</t>
  </si>
  <si>
    <t>BI</t>
  </si>
  <si>
    <t>GZNDINB</t>
  </si>
  <si>
    <t>HEERSERS</t>
  </si>
  <si>
    <t>RSES ER</t>
  </si>
  <si>
    <t>D</t>
  </si>
  <si>
    <t>QD</t>
  </si>
  <si>
    <t>HBAVAET</t>
  </si>
  <si>
    <t>ONEENS</t>
  </si>
  <si>
    <t>SNDNNNE</t>
  </si>
  <si>
    <t>NQNONNM</t>
  </si>
  <si>
    <t>PANG</t>
  </si>
  <si>
    <t>DELDRAG</t>
  </si>
  <si>
    <t>DOXEN</t>
  </si>
  <si>
    <t>RNNR</t>
  </si>
  <si>
    <t>OHM</t>
  </si>
  <si>
    <t>KUR</t>
  </si>
  <si>
    <t>QMEYRUK</t>
  </si>
  <si>
    <t>GNFH</t>
  </si>
  <si>
    <t>MUAO QN</t>
  </si>
  <si>
    <t>YUAN</t>
  </si>
  <si>
    <t>NGERVUY</t>
  </si>
  <si>
    <t>AQDJLLA</t>
  </si>
  <si>
    <t>ZWEL</t>
  </si>
  <si>
    <t>R WZMPU</t>
  </si>
  <si>
    <t>TEXENDE</t>
  </si>
  <si>
    <t>DCFWTEG</t>
  </si>
  <si>
    <t>KNOETEN</t>
  </si>
  <si>
    <t>NOETENK</t>
  </si>
  <si>
    <t>MYKEEXP</t>
  </si>
  <si>
    <t>HENEN</t>
  </si>
  <si>
    <t>NDNNEEH</t>
  </si>
  <si>
    <t>NIER</t>
  </si>
  <si>
    <t>EENR</t>
  </si>
  <si>
    <t>FEE</t>
  </si>
  <si>
    <t>TMEF</t>
  </si>
  <si>
    <t>LEDVSEN</t>
  </si>
  <si>
    <t>AKER</t>
  </si>
  <si>
    <t>NNAEKNR</t>
  </si>
  <si>
    <t>IE</t>
  </si>
  <si>
    <t>LRENEIE</t>
  </si>
  <si>
    <t>WAANT</t>
  </si>
  <si>
    <t>ANWONTA</t>
  </si>
  <si>
    <t xml:space="preserve">QKDRTO </t>
  </si>
  <si>
    <t>CGBKSZS</t>
  </si>
  <si>
    <t>ONGEDEKTE</t>
  </si>
  <si>
    <t>G ESANE</t>
  </si>
  <si>
    <t>ERG</t>
  </si>
  <si>
    <t>ONEANRZ</t>
  </si>
  <si>
    <t>SPAAD</t>
  </si>
  <si>
    <t>ADSENNP</t>
  </si>
  <si>
    <t>WIL</t>
  </si>
  <si>
    <t>CCWHL</t>
  </si>
  <si>
    <t>VOD</t>
  </si>
  <si>
    <t>OGASVET</t>
  </si>
  <si>
    <t>DJNNNSR</t>
  </si>
  <si>
    <t>TEMEN</t>
  </si>
  <si>
    <t>NETMCE</t>
  </si>
  <si>
    <t>ZWERMT</t>
  </si>
  <si>
    <t>CDUNKDE</t>
  </si>
  <si>
    <t>SIC</t>
  </si>
  <si>
    <t>SNCYNVS</t>
  </si>
  <si>
    <t>TEN</t>
  </si>
  <si>
    <t>DNWETN</t>
  </si>
  <si>
    <t>QNEP</t>
  </si>
  <si>
    <t>ILEERNN</t>
  </si>
  <si>
    <t>ALU</t>
  </si>
  <si>
    <t>NCOANUL</t>
  </si>
  <si>
    <t>EORDNWS</t>
  </si>
  <si>
    <t>QJEMEZO</t>
  </si>
  <si>
    <t>VERDWAAST</t>
  </si>
  <si>
    <t xml:space="preserve">RDVWKO </t>
  </si>
  <si>
    <t>ACT</t>
  </si>
  <si>
    <t>QARCSAT</t>
  </si>
  <si>
    <t>VE</t>
  </si>
  <si>
    <t>NQKN</t>
  </si>
  <si>
    <t>ODE</t>
  </si>
  <si>
    <t>TLEASOE</t>
  </si>
  <si>
    <t>BAN</t>
  </si>
  <si>
    <t>NFNVBNL</t>
  </si>
  <si>
    <t xml:space="preserve">NQASEE </t>
  </si>
  <si>
    <t>HUS</t>
  </si>
  <si>
    <t>OESEUTH</t>
  </si>
  <si>
    <t>DOMTOREN</t>
  </si>
  <si>
    <t xml:space="preserve">MEORTO </t>
  </si>
  <si>
    <t>JUREREND</t>
  </si>
  <si>
    <t>NJDRURE</t>
  </si>
  <si>
    <t>ERWTEN</t>
  </si>
  <si>
    <t>RNGEETW</t>
  </si>
  <si>
    <t>VLIES</t>
  </si>
  <si>
    <t>QVSYEEI</t>
  </si>
  <si>
    <t>O</t>
  </si>
  <si>
    <t>SOJTEEO</t>
  </si>
  <si>
    <t>ARYL</t>
  </si>
  <si>
    <t>UYQASRN</t>
  </si>
  <si>
    <t>DIEFT</t>
  </si>
  <si>
    <t>JWYALOT</t>
  </si>
  <si>
    <t>AEEQJHA</t>
  </si>
  <si>
    <t>AVDWEEE</t>
  </si>
  <si>
    <t>NGNHFLQ</t>
  </si>
  <si>
    <t>FAUT</t>
  </si>
  <si>
    <t>FEIUAEN</t>
  </si>
  <si>
    <t>BRA</t>
  </si>
  <si>
    <t>QCBLRSS</t>
  </si>
  <si>
    <t>QRRKFEN</t>
  </si>
  <si>
    <t>TEX</t>
  </si>
  <si>
    <t>AIETRTX</t>
  </si>
  <si>
    <t>DOMINEESE</t>
  </si>
  <si>
    <t>NSEKEDM</t>
  </si>
  <si>
    <t>ODD</t>
  </si>
  <si>
    <t>DENEEDO</t>
  </si>
  <si>
    <t>CTJE</t>
  </si>
  <si>
    <t>JMNCN E</t>
  </si>
  <si>
    <t>ENDE</t>
  </si>
  <si>
    <t>EADEEVN</t>
  </si>
  <si>
    <t>KOGEN</t>
  </si>
  <si>
    <t>REEDNES</t>
  </si>
  <si>
    <t>QNOTKKI</t>
  </si>
  <si>
    <t>VELIJN</t>
  </si>
  <si>
    <t>HJVIEWN</t>
  </si>
  <si>
    <t>UQEEFEA</t>
  </si>
  <si>
    <t>FAN</t>
  </si>
  <si>
    <t>STAENPI</t>
  </si>
  <si>
    <t>MACRO</t>
  </si>
  <si>
    <t>NCLMR A</t>
  </si>
  <si>
    <t>UFOS</t>
  </si>
  <si>
    <t>O GADUF</t>
  </si>
  <si>
    <t>JUBEL</t>
  </si>
  <si>
    <t>NJDLMEB</t>
  </si>
  <si>
    <t>ORNDGMM</t>
  </si>
  <si>
    <t>STRIPBOEK</t>
  </si>
  <si>
    <t xml:space="preserve"> EKPIRO</t>
  </si>
  <si>
    <t>OTENENL</t>
  </si>
  <si>
    <t>ERGS</t>
  </si>
  <si>
    <t>NGDEDRS</t>
  </si>
  <si>
    <t>IN</t>
  </si>
  <si>
    <t>VNDD</t>
  </si>
  <si>
    <t>QLNRNAA</t>
  </si>
  <si>
    <t>KASEHOE</t>
  </si>
  <si>
    <t>QNC</t>
  </si>
  <si>
    <t>DEJA</t>
  </si>
  <si>
    <t>JDDTNFE</t>
  </si>
  <si>
    <t>TNOLEAE</t>
  </si>
  <si>
    <t>QJR</t>
  </si>
  <si>
    <t>INTNU</t>
  </si>
  <si>
    <t>HAPTE</t>
  </si>
  <si>
    <t>PESTOAV</t>
  </si>
  <si>
    <t>GOMMEN</t>
  </si>
  <si>
    <t>QMDNE</t>
  </si>
  <si>
    <t>QHM</t>
  </si>
  <si>
    <t>DFFQAM</t>
  </si>
  <si>
    <t>NCNN</t>
  </si>
  <si>
    <t>BV</t>
  </si>
  <si>
    <t>EQ</t>
  </si>
  <si>
    <t>UNI</t>
  </si>
  <si>
    <t>QAINUIV</t>
  </si>
  <si>
    <t>SIGNEER</t>
  </si>
  <si>
    <t xml:space="preserve">GINSRE </t>
  </si>
  <si>
    <t>NNCKFIT</t>
  </si>
  <si>
    <t>FARMS</t>
  </si>
  <si>
    <t>TRFSAGK</t>
  </si>
  <si>
    <t>OEI</t>
  </si>
  <si>
    <t>IJOUE</t>
  </si>
  <si>
    <t>ER</t>
  </si>
  <si>
    <t>EAOOHNW</t>
  </si>
  <si>
    <t>EBT</t>
  </si>
  <si>
    <t>DEMGEOT</t>
  </si>
  <si>
    <t>KEE</t>
  </si>
  <si>
    <t>EE</t>
  </si>
  <si>
    <t>LED</t>
  </si>
  <si>
    <t>LD</t>
  </si>
  <si>
    <t>NV</t>
  </si>
  <si>
    <t>VISHOEK</t>
  </si>
  <si>
    <t>SKD OIV</t>
  </si>
  <si>
    <t>LA</t>
  </si>
  <si>
    <t>ANTTNLO</t>
  </si>
  <si>
    <t>VIT</t>
  </si>
  <si>
    <t>VNRIGOT</t>
  </si>
  <si>
    <t>DEREN</t>
  </si>
  <si>
    <t>REODEN</t>
  </si>
  <si>
    <t>EED</t>
  </si>
  <si>
    <t>OEND</t>
  </si>
  <si>
    <t>ANK</t>
  </si>
  <si>
    <t>NA</t>
  </si>
  <si>
    <t>CAKES</t>
  </si>
  <si>
    <t>SQDLRGN</t>
  </si>
  <si>
    <t>NASJTE</t>
  </si>
  <si>
    <t>TESEEJA</t>
  </si>
  <si>
    <t>JNK</t>
  </si>
  <si>
    <t>FIJNER</t>
  </si>
  <si>
    <t>JNFEORI</t>
  </si>
  <si>
    <t>IRNGEET</t>
  </si>
  <si>
    <t>ZAGEN</t>
  </si>
  <si>
    <t>GZNDNEA</t>
  </si>
  <si>
    <t>TEEF</t>
  </si>
  <si>
    <t>VAEEFTY</t>
  </si>
  <si>
    <t>DEZER</t>
  </si>
  <si>
    <t>DNNNQRE</t>
  </si>
  <si>
    <t>QNONNRG</t>
  </si>
  <si>
    <t>BO</t>
  </si>
  <si>
    <t>DELDRAB</t>
  </si>
  <si>
    <t>RNR</t>
  </si>
  <si>
    <t>QMEY</t>
  </si>
  <si>
    <t>GNF</t>
  </si>
  <si>
    <t>ECONOOM</t>
  </si>
  <si>
    <t>MUONOEW</t>
  </si>
  <si>
    <t>VERG</t>
  </si>
  <si>
    <t>GERVRPT</t>
  </si>
  <si>
    <t>JLLAEVO</t>
  </si>
  <si>
    <t>RUP</t>
  </si>
  <si>
    <t>RMPU</t>
  </si>
  <si>
    <t>CFWGWD</t>
  </si>
  <si>
    <t>MYKEEPQ</t>
  </si>
  <si>
    <t>DN</t>
  </si>
  <si>
    <t>TM</t>
  </si>
  <si>
    <t>LEDSENC</t>
  </si>
  <si>
    <t>LENINGEN</t>
  </si>
  <si>
    <t>NNNLIEE</t>
  </si>
  <si>
    <t>LRNEEEO</t>
  </si>
  <si>
    <t>ANTI</t>
  </si>
  <si>
    <t>ONIBTAC</t>
  </si>
  <si>
    <t>TROKKEN</t>
  </si>
  <si>
    <t>KRTO EN</t>
  </si>
  <si>
    <t>CGKSZSJ</t>
  </si>
  <si>
    <t>G SANEP</t>
  </si>
  <si>
    <t>PROCENTJE</t>
  </si>
  <si>
    <t>ONANZPR</t>
  </si>
  <si>
    <t>OMVANGEN</t>
  </si>
  <si>
    <t>ENN</t>
  </si>
  <si>
    <t>CCH</t>
  </si>
  <si>
    <t>ETS</t>
  </si>
  <si>
    <t>GASETEE</t>
  </si>
  <si>
    <t>JNNNSNG</t>
  </si>
  <si>
    <t>NC</t>
  </si>
  <si>
    <t>UK</t>
  </si>
  <si>
    <t>DUNKDEZ</t>
  </si>
  <si>
    <t>VISIE</t>
  </si>
  <si>
    <t>NYNVSII</t>
  </si>
  <si>
    <t>DWN</t>
  </si>
  <si>
    <t>ENERLEI</t>
  </si>
  <si>
    <t>ILEERNE</t>
  </si>
  <si>
    <t>SCENE</t>
  </si>
  <si>
    <t>NCONEJS</t>
  </si>
  <si>
    <t>REF</t>
  </si>
  <si>
    <t>EORDNSF</t>
  </si>
  <si>
    <t>ORK</t>
  </si>
  <si>
    <t>QJZORNK</t>
  </si>
  <si>
    <t>KO</t>
  </si>
  <si>
    <t>QRSA</t>
  </si>
  <si>
    <t>EI</t>
  </si>
  <si>
    <t>TLASEEI</t>
  </si>
  <si>
    <t>FENOL</t>
  </si>
  <si>
    <t>FNVNL O</t>
  </si>
  <si>
    <t>EVENALS</t>
  </si>
  <si>
    <t>NSEE LV</t>
  </si>
  <si>
    <t>OEET</t>
  </si>
  <si>
    <t>EJDINEK</t>
  </si>
  <si>
    <t>GE</t>
  </si>
  <si>
    <t>GEEERLT</t>
  </si>
  <si>
    <t>CYSTEN</t>
  </si>
  <si>
    <t xml:space="preserve">QYEOSC </t>
  </si>
  <si>
    <t>ZOETJES</t>
  </si>
  <si>
    <t>SJTEEOZ</t>
  </si>
  <si>
    <t>XIS</t>
  </si>
  <si>
    <t>UQSNPXI</t>
  </si>
  <si>
    <t>WAR</t>
  </si>
  <si>
    <t>JWYALOO</t>
  </si>
  <si>
    <t>EEQJAVR</t>
  </si>
  <si>
    <t>ZWEEG</t>
  </si>
  <si>
    <t>DWEEEGZ</t>
  </si>
  <si>
    <t>HA</t>
  </si>
  <si>
    <t>NGNHLQA</t>
  </si>
  <si>
    <t>NEEN</t>
  </si>
  <si>
    <t>EIENNMR</t>
  </si>
  <si>
    <t>QCLSSO</t>
  </si>
  <si>
    <t>QRKNLEA</t>
  </si>
  <si>
    <t>RAIL</t>
  </si>
  <si>
    <t>AIRTUEE</t>
  </si>
  <si>
    <t>NSKEDMH</t>
  </si>
  <si>
    <t>AANBEVALEN</t>
  </si>
  <si>
    <t>ENEEARR</t>
  </si>
  <si>
    <t>GOK</t>
  </si>
  <si>
    <t>MNNKRL</t>
  </si>
  <si>
    <t>AEV</t>
  </si>
  <si>
    <t>REDNESA</t>
  </si>
  <si>
    <t>AFWONEN</t>
  </si>
  <si>
    <t>QNOKKER</t>
  </si>
  <si>
    <t>HW</t>
  </si>
  <si>
    <t>REE</t>
  </si>
  <si>
    <t>EEFE</t>
  </si>
  <si>
    <t>STIPTEN</t>
  </si>
  <si>
    <t>STENPIT</t>
  </si>
  <si>
    <t>LINZE</t>
  </si>
  <si>
    <t>NLEMZOK</t>
  </si>
  <si>
    <t xml:space="preserve"> GADIUN</t>
  </si>
  <si>
    <t>REIDANSEN</t>
  </si>
  <si>
    <t>NDMQNEF</t>
  </si>
  <si>
    <t>ORNDGEZ</t>
  </si>
  <si>
    <t>STRIPBOEKJE</t>
  </si>
  <si>
    <t>NENEQLJ</t>
  </si>
  <si>
    <t>OTENENE</t>
  </si>
  <si>
    <t>NDDHEMC</t>
  </si>
  <si>
    <t>VDD</t>
  </si>
  <si>
    <t>LNRNANR</t>
  </si>
  <si>
    <t>KSEOENB</t>
  </si>
  <si>
    <t>QN</t>
  </si>
  <si>
    <t>NEEF</t>
  </si>
  <si>
    <t>DTNFESE</t>
  </si>
  <si>
    <t>BA</t>
  </si>
  <si>
    <t>TNLEAEE</t>
  </si>
  <si>
    <t>KAR</t>
  </si>
  <si>
    <t>QR</t>
  </si>
  <si>
    <t>INNU</t>
  </si>
  <si>
    <t>KASJES</t>
  </si>
  <si>
    <t>SOV</t>
  </si>
  <si>
    <t>WANEND</t>
  </si>
  <si>
    <t>DFFM</t>
  </si>
  <si>
    <t>NNN</t>
  </si>
  <si>
    <t>SI</t>
  </si>
  <si>
    <t>QAIVSWS</t>
  </si>
  <si>
    <t>BLEK</t>
  </si>
  <si>
    <t>OSBEKRL</t>
  </si>
  <si>
    <t>KEL</t>
  </si>
  <si>
    <t>NNKTLER</t>
  </si>
  <si>
    <t>TGK</t>
  </si>
  <si>
    <t>OHAEN</t>
  </si>
  <si>
    <t>AOOHNEL</t>
  </si>
  <si>
    <t>GEMEND</t>
  </si>
  <si>
    <t>DEMGEOF</t>
  </si>
  <si>
    <t>LIJ</t>
  </si>
  <si>
    <t>DZNJLQ</t>
  </si>
  <si>
    <t>NON</t>
  </si>
  <si>
    <t>NTTNO</t>
  </si>
  <si>
    <t>GROEN</t>
  </si>
  <si>
    <t>NRGO</t>
  </si>
  <si>
    <t>OO</t>
  </si>
  <si>
    <t>ON</t>
  </si>
  <si>
    <t>GEN</t>
  </si>
  <si>
    <t>QDLRGN</t>
  </si>
  <si>
    <t>ONYDNNA</t>
  </si>
  <si>
    <t>REEGEIT</t>
  </si>
  <si>
    <t>IRGEETE</t>
  </si>
  <si>
    <t>VAY</t>
  </si>
  <si>
    <t>NNNQ</t>
  </si>
  <si>
    <t>QNNNRNE</t>
  </si>
  <si>
    <t>DRALEND</t>
  </si>
  <si>
    <t>DELDRAN</t>
  </si>
  <si>
    <t>QME</t>
  </si>
  <si>
    <t>GN</t>
  </si>
  <si>
    <t>WEEGS</t>
  </si>
  <si>
    <t>UWKSEEE</t>
  </si>
  <si>
    <t>TAMPON</t>
  </si>
  <si>
    <t>RPTMATN</t>
  </si>
  <si>
    <t>JLAVO</t>
  </si>
  <si>
    <t>MEN</t>
  </si>
  <si>
    <t>M</t>
  </si>
  <si>
    <t>YKEQ</t>
  </si>
  <si>
    <t>MELEN</t>
  </si>
  <si>
    <t>LEDSENM</t>
  </si>
  <si>
    <t>FEMELEN</t>
  </si>
  <si>
    <t>FEEA</t>
  </si>
  <si>
    <t>SIGNALEREN</t>
  </si>
  <si>
    <t>LRNEEOP</t>
  </si>
  <si>
    <t>COS</t>
  </si>
  <si>
    <t>OBCOSQ</t>
  </si>
  <si>
    <t>EPQAMND</t>
  </si>
  <si>
    <t>CGKSSJE</t>
  </si>
  <si>
    <t>INGEPAST</t>
  </si>
  <si>
    <t>G SANEI</t>
  </si>
  <si>
    <t>NANZL</t>
  </si>
  <si>
    <t>DAGEN</t>
  </si>
  <si>
    <t>CC</t>
  </si>
  <si>
    <t>GATEEMQ</t>
  </si>
  <si>
    <t>NNNN</t>
  </si>
  <si>
    <t>DNDEZ</t>
  </si>
  <si>
    <t>NYN</t>
  </si>
  <si>
    <t>BOD</t>
  </si>
  <si>
    <t>GYM</t>
  </si>
  <si>
    <t xml:space="preserve">YGENTA </t>
  </si>
  <si>
    <t>ONJFFX</t>
  </si>
  <si>
    <t>SCORENDE</t>
  </si>
  <si>
    <t>EORDNSE</t>
  </si>
  <si>
    <t>QJZNNNS</t>
  </si>
  <si>
    <t>MISTE</t>
  </si>
  <si>
    <t>TLASEA</t>
  </si>
  <si>
    <t>VEN</t>
  </si>
  <si>
    <t>VN</t>
  </si>
  <si>
    <t>FROBELT</t>
  </si>
  <si>
    <t>EERLT E</t>
  </si>
  <si>
    <t>QOROSVA</t>
  </si>
  <si>
    <t>AFCDJE</t>
  </si>
  <si>
    <t>PU</t>
  </si>
  <si>
    <t>UQNP</t>
  </si>
  <si>
    <t>JOOL</t>
  </si>
  <si>
    <t>JYLOO</t>
  </si>
  <si>
    <t>JAK</t>
  </si>
  <si>
    <t>QJA</t>
  </si>
  <si>
    <t>DRIE</t>
  </si>
  <si>
    <t>DEIN</t>
  </si>
  <si>
    <t>NGNLQ</t>
  </si>
  <si>
    <t>KAFIR</t>
  </si>
  <si>
    <t>INMR</t>
  </si>
  <si>
    <t>DEALTJES</t>
  </si>
  <si>
    <t>QSS</t>
  </si>
  <si>
    <t>AKS</t>
  </si>
  <si>
    <t>RKNLEA</t>
  </si>
  <si>
    <t>TEEG</t>
  </si>
  <si>
    <t>TUEE</t>
  </si>
  <si>
    <t>NSKEDMI</t>
  </si>
  <si>
    <t>PARE</t>
  </si>
  <si>
    <t>EEARREP</t>
  </si>
  <si>
    <t>TRAM</t>
  </si>
  <si>
    <t>MNNRL</t>
  </si>
  <si>
    <t>REDNEAM</t>
  </si>
  <si>
    <t>QOKKRTX</t>
  </si>
  <si>
    <t>GEWEEN</t>
  </si>
  <si>
    <t>FE</t>
  </si>
  <si>
    <t>GAZONS</t>
  </si>
  <si>
    <t>GSNNASO</t>
  </si>
  <si>
    <t>KOM</t>
  </si>
  <si>
    <t>MOKEE</t>
  </si>
  <si>
    <t>HOUDING</t>
  </si>
  <si>
    <t xml:space="preserve"> GDIUNO</t>
  </si>
  <si>
    <t>INDENK</t>
  </si>
  <si>
    <t>DMQNFNK</t>
  </si>
  <si>
    <t>ORNDGEF</t>
  </si>
  <si>
    <t>AAL</t>
  </si>
  <si>
    <t>NNEQLAE</t>
  </si>
  <si>
    <t>XENON</t>
  </si>
  <si>
    <t>OTNENEM</t>
  </si>
  <si>
    <t>NDDMC</t>
  </si>
  <si>
    <t>NRNNRIN</t>
  </si>
  <si>
    <t>KSEOENT</t>
  </si>
  <si>
    <t>STAM</t>
  </si>
  <si>
    <t>DTNSCMA</t>
  </si>
  <si>
    <t>TNLEEEE</t>
  </si>
  <si>
    <t>NN</t>
  </si>
  <si>
    <t>OUT</t>
  </si>
  <si>
    <t>OV</t>
  </si>
  <si>
    <t>MAF</t>
  </si>
  <si>
    <t>DFM</t>
  </si>
  <si>
    <t>WAVES</t>
  </si>
  <si>
    <t>QAVWSOE</t>
  </si>
  <si>
    <t>DORS</t>
  </si>
  <si>
    <t>OSR</t>
  </si>
  <si>
    <t>TROM</t>
  </si>
  <si>
    <t>NNTR</t>
  </si>
  <si>
    <t>TG</t>
  </si>
  <si>
    <t>GRIL</t>
  </si>
  <si>
    <t>OLEIREG</t>
  </si>
  <si>
    <t>ALF</t>
  </si>
  <si>
    <t>DZNQ</t>
  </si>
  <si>
    <t>TT</t>
  </si>
  <si>
    <t>SIL</t>
  </si>
  <si>
    <t>QDLR</t>
  </si>
  <si>
    <t>HAREN</t>
  </si>
  <si>
    <t>YNERHEA</t>
  </si>
  <si>
    <t>UMWEQ</t>
  </si>
  <si>
    <t>NNQ</t>
  </si>
  <si>
    <t>TELCOS</t>
  </si>
  <si>
    <t>QNNNNIS</t>
  </si>
  <si>
    <t>ZAK</t>
  </si>
  <si>
    <t>IEEZKMA</t>
  </si>
  <si>
    <t>MUG</t>
  </si>
  <si>
    <t>UKENTAZ</t>
  </si>
  <si>
    <t>TENT</t>
  </si>
  <si>
    <t>RTN</t>
  </si>
  <si>
    <t>JAVO</t>
  </si>
  <si>
    <t>KQ</t>
  </si>
  <si>
    <t>DSN</t>
  </si>
  <si>
    <t>TEA</t>
  </si>
  <si>
    <t>EA</t>
  </si>
  <si>
    <t>MULO</t>
  </si>
  <si>
    <t>OP</t>
  </si>
  <si>
    <t>BOQ</t>
  </si>
  <si>
    <t>QM</t>
  </si>
  <si>
    <t>KSJ</t>
  </si>
  <si>
    <t>EM</t>
  </si>
  <si>
    <t>DND</t>
  </si>
  <si>
    <t>EXIT</t>
  </si>
  <si>
    <t>ENTA</t>
  </si>
  <si>
    <t>NO</t>
  </si>
  <si>
    <t>ONJFF</t>
  </si>
  <si>
    <t>LAMA</t>
  </si>
  <si>
    <t>LAEA</t>
  </si>
  <si>
    <t>ERFLENEN</t>
  </si>
  <si>
    <t>EERL EN</t>
  </si>
  <si>
    <t>QORO</t>
  </si>
  <si>
    <t>ACDJ</t>
  </si>
  <si>
    <t>UQN</t>
  </si>
  <si>
    <t>AREN</t>
  </si>
  <si>
    <t>NLQ</t>
  </si>
  <si>
    <t>NM</t>
  </si>
  <si>
    <t>QS</t>
  </si>
  <si>
    <t>LEGE</t>
  </si>
  <si>
    <t>RNLE</t>
  </si>
  <si>
    <t>TU</t>
  </si>
  <si>
    <t>KINEMAS</t>
  </si>
  <si>
    <t>NSKEMIA</t>
  </si>
  <si>
    <t>ERECSKD</t>
  </si>
  <si>
    <t>NNL</t>
  </si>
  <si>
    <t>RADJA</t>
  </si>
  <si>
    <t>REDNEAJ</t>
  </si>
  <si>
    <t>TRAFO</t>
  </si>
  <si>
    <t xml:space="preserve">QOKKRT </t>
  </si>
  <si>
    <t>STUFFEN</t>
  </si>
  <si>
    <t>NS</t>
  </si>
  <si>
    <t>OEHVADX</t>
  </si>
  <si>
    <t>MQFNRDN</t>
  </si>
  <si>
    <t>ORNDGEY</t>
  </si>
  <si>
    <t>SNEE</t>
  </si>
  <si>
    <t>NNEQESE</t>
  </si>
  <si>
    <t>NDDC</t>
  </si>
  <si>
    <t>RIT</t>
  </si>
  <si>
    <t>NNNRINT</t>
  </si>
  <si>
    <t>SEREH</t>
  </si>
  <si>
    <t>SEOENTR</t>
  </si>
  <si>
    <t>COMAS</t>
  </si>
  <si>
    <t>DNCROON</t>
  </si>
  <si>
    <t>ELFTEN</t>
  </si>
  <si>
    <t>TNLEEEQ</t>
  </si>
  <si>
    <t>QO</t>
  </si>
  <si>
    <t>OEE</t>
  </si>
  <si>
    <t>ROE</t>
  </si>
  <si>
    <t>QDR</t>
  </si>
  <si>
    <t>YE</t>
  </si>
  <si>
    <t>UQ</t>
  </si>
  <si>
    <t>GIN</t>
  </si>
  <si>
    <t>NQ</t>
  </si>
  <si>
    <t>QNNNNIT</t>
  </si>
  <si>
    <t>COMITE</t>
  </si>
  <si>
    <t>IEEMCVT</t>
  </si>
  <si>
    <t>UKN</t>
  </si>
  <si>
    <t>R</t>
  </si>
  <si>
    <t>KJ</t>
  </si>
  <si>
    <t>ND</t>
  </si>
  <si>
    <t>MAN</t>
  </si>
  <si>
    <t>JFF</t>
  </si>
  <si>
    <t>DJ</t>
  </si>
  <si>
    <t>UN</t>
  </si>
  <si>
    <t>RN</t>
  </si>
  <si>
    <t>EXT</t>
  </si>
  <si>
    <t>REK</t>
  </si>
  <si>
    <t>RKD</t>
  </si>
  <si>
    <t>ELAN</t>
  </si>
  <si>
    <t>ENE</t>
  </si>
  <si>
    <t>KEK</t>
  </si>
  <si>
    <t>QKK</t>
  </si>
  <si>
    <t>HALVE</t>
  </si>
  <si>
    <t>EHVA</t>
  </si>
  <si>
    <t>MQFNN</t>
  </si>
  <si>
    <t>GROG</t>
  </si>
  <si>
    <t>ORNDGET</t>
  </si>
  <si>
    <t>NQEST</t>
  </si>
  <si>
    <t>ANODEN</t>
  </si>
  <si>
    <t>NNNNAH</t>
  </si>
  <si>
    <t>ICONEN</t>
  </si>
  <si>
    <t>OENT</t>
  </si>
  <si>
    <t>DNROONW</t>
  </si>
  <si>
    <t>OE</t>
  </si>
  <si>
    <t>DUL</t>
  </si>
  <si>
    <t>QNNNUDY</t>
  </si>
  <si>
    <t>EV</t>
  </si>
  <si>
    <t>RD</t>
  </si>
  <si>
    <t>NDET</t>
  </si>
  <si>
    <t>NNNH</t>
  </si>
  <si>
    <t>ZOUK</t>
  </si>
  <si>
    <t>ONT</t>
  </si>
  <si>
    <t>NROON</t>
  </si>
  <si>
    <t>ZAKTEN</t>
  </si>
  <si>
    <t>QNNNY</t>
  </si>
  <si>
    <t>GENT</t>
  </si>
  <si>
    <t>NT</t>
  </si>
  <si>
    <t>TOON</t>
  </si>
  <si>
    <t>NOON</t>
  </si>
  <si>
    <t>NU</t>
  </si>
  <si>
    <t>QNNY</t>
  </si>
  <si>
    <t>QNY</t>
  </si>
  <si>
    <t>QY</t>
  </si>
  <si>
    <t>Start</t>
  </si>
  <si>
    <t>Gelijk</t>
  </si>
  <si>
    <t>Sta.dev Marge</t>
  </si>
  <si>
    <t>Words</t>
  </si>
  <si>
    <t>Tilerow</t>
  </si>
  <si>
    <t>Statistics</t>
  </si>
  <si>
    <t>Chance</t>
  </si>
  <si>
    <t>Total (n)</t>
  </si>
  <si>
    <t>Games won</t>
  </si>
  <si>
    <t>Avg. Score</t>
  </si>
  <si>
    <t>Sta.dev σ</t>
  </si>
  <si>
    <t>Avg. Margin</t>
  </si>
  <si>
    <t>win-lose ratio</t>
  </si>
  <si>
    <t>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</si>
</sst>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/>
    </fill>
    <fill>
      <patternFill patternType="solid">
        <fgColor rgb="FFCCCCCC"/>
        <bgColor rgb="FFCCCCCC"/>
      </patternFill>
    </fill>
    <fill>
      <patternFill patternType="solid">
        <fgColor theme="1"/>
        <bgColor indexed="64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6" borderId="0" xfId="0" applyFill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eetMetadata" Target="metadata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6866928"/>
        <c:axId val="1686868848"/>
      </c:barChart>
      <c:catAx>
        <c:axId val="1686866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86868848"/>
        <c:crosses val="autoZero"/>
        <c:auto val="1"/>
        <c:lblAlgn val="ctr"/>
        <c:lblOffset val="100"/>
        <c:noMultiLvlLbl val="0"/>
      </c:catAx>
      <c:valAx>
        <c:axId val="168686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8686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Blad1!$A$2:$A$23</c:f>
              <c:numCache>
                <c:formatCode>General</c:formatCode>
                <c:ptCount val="2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Blad1!$R$2:$R$23</c:f>
              <c:numCache>
                <c:formatCode>General</c:formatCode>
                <c:ptCount val="22"/>
                <c:pt idx="0">
                  <c:v>0</c:v>
                </c:pt>
                <c:pt idx="1">
                  <c:v>24</c:v>
                </c:pt>
                <c:pt idx="2">
                  <c:v>54</c:v>
                </c:pt>
                <c:pt idx="3">
                  <c:v>102</c:v>
                </c:pt>
                <c:pt idx="4">
                  <c:v>174</c:v>
                </c:pt>
                <c:pt idx="5">
                  <c:v>202</c:v>
                </c:pt>
                <c:pt idx="6">
                  <c:v>232</c:v>
                </c:pt>
                <c:pt idx="7">
                  <c:v>260</c:v>
                </c:pt>
                <c:pt idx="8">
                  <c:v>280</c:v>
                </c:pt>
                <c:pt idx="9">
                  <c:v>322</c:v>
                </c:pt>
                <c:pt idx="10">
                  <c:v>344</c:v>
                </c:pt>
                <c:pt idx="11">
                  <c:v>365</c:v>
                </c:pt>
                <c:pt idx="12">
                  <c:v>383</c:v>
                </c:pt>
                <c:pt idx="13">
                  <c:v>399</c:v>
                </c:pt>
                <c:pt idx="14">
                  <c:v>413</c:v>
                </c:pt>
                <c:pt idx="15">
                  <c:v>436</c:v>
                </c:pt>
                <c:pt idx="16">
                  <c:v>453</c:v>
                </c:pt>
                <c:pt idx="17">
                  <c:v>477</c:v>
                </c:pt>
                <c:pt idx="18">
                  <c:v>485</c:v>
                </c:pt>
                <c:pt idx="19">
                  <c:v>491</c:v>
                </c:pt>
                <c:pt idx="20">
                  <c:v>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1E-4EA3-874D-E4CC2B723331}"/>
            </c:ext>
          </c:extLst>
        </c:ser>
        <c:ser>
          <c:idx val="1"/>
          <c:order val="1"/>
          <c:tx>
            <c:strRef>
              <c:f>Blad1!$X$1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Blad1!$A$2:$A$23</c:f>
              <c:numCache>
                <c:formatCode>General</c:formatCode>
                <c:ptCount val="2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Blad1!$X$2:$X$23</c:f>
              <c:numCache>
                <c:formatCode>General</c:formatCode>
                <c:ptCount val="22"/>
                <c:pt idx="0">
                  <c:v>0</c:v>
                </c:pt>
                <c:pt idx="1">
                  <c:v>20</c:v>
                </c:pt>
                <c:pt idx="2">
                  <c:v>112</c:v>
                </c:pt>
                <c:pt idx="3">
                  <c:v>169</c:v>
                </c:pt>
                <c:pt idx="4">
                  <c:v>199</c:v>
                </c:pt>
                <c:pt idx="5">
                  <c:v>235</c:v>
                </c:pt>
                <c:pt idx="6">
                  <c:v>244</c:v>
                </c:pt>
                <c:pt idx="7">
                  <c:v>316</c:v>
                </c:pt>
                <c:pt idx="8">
                  <c:v>348</c:v>
                </c:pt>
                <c:pt idx="9">
                  <c:v>379</c:v>
                </c:pt>
                <c:pt idx="10">
                  <c:v>379</c:v>
                </c:pt>
                <c:pt idx="11">
                  <c:v>398</c:v>
                </c:pt>
                <c:pt idx="12">
                  <c:v>398</c:v>
                </c:pt>
                <c:pt idx="13">
                  <c:v>407</c:v>
                </c:pt>
                <c:pt idx="14">
                  <c:v>415</c:v>
                </c:pt>
                <c:pt idx="15">
                  <c:v>425</c:v>
                </c:pt>
                <c:pt idx="16">
                  <c:v>442</c:v>
                </c:pt>
                <c:pt idx="17">
                  <c:v>450</c:v>
                </c:pt>
                <c:pt idx="18">
                  <c:v>450</c:v>
                </c:pt>
                <c:pt idx="19">
                  <c:v>450</c:v>
                </c:pt>
                <c:pt idx="20">
                  <c:v>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1E-4EA3-874D-E4CC2B723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Blad1!$A$2:$A$23</c:f>
              <c:numCache>
                <c:formatCode>General</c:formatCode>
                <c:ptCount val="2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Blad1!$AD$2:$AD$23</c:f>
              <c:numCache>
                <c:formatCode>General</c:formatCode>
                <c:ptCount val="22"/>
                <c:pt idx="0">
                  <c:v>0</c:v>
                </c:pt>
                <c:pt idx="1">
                  <c:v>22</c:v>
                </c:pt>
                <c:pt idx="2">
                  <c:v>104</c:v>
                </c:pt>
                <c:pt idx="3">
                  <c:v>130</c:v>
                </c:pt>
                <c:pt idx="4">
                  <c:v>159</c:v>
                </c:pt>
                <c:pt idx="5">
                  <c:v>186</c:v>
                </c:pt>
                <c:pt idx="6">
                  <c:v>216</c:v>
                </c:pt>
                <c:pt idx="7">
                  <c:v>256</c:v>
                </c:pt>
                <c:pt idx="8">
                  <c:v>295</c:v>
                </c:pt>
                <c:pt idx="9">
                  <c:v>321</c:v>
                </c:pt>
                <c:pt idx="10">
                  <c:v>351</c:v>
                </c:pt>
                <c:pt idx="11">
                  <c:v>388</c:v>
                </c:pt>
                <c:pt idx="12">
                  <c:v>412</c:v>
                </c:pt>
                <c:pt idx="13">
                  <c:v>422</c:v>
                </c:pt>
                <c:pt idx="14">
                  <c:v>431</c:v>
                </c:pt>
                <c:pt idx="15">
                  <c:v>431</c:v>
                </c:pt>
                <c:pt idx="16">
                  <c:v>431</c:v>
                </c:pt>
                <c:pt idx="17">
                  <c:v>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D-4558-B297-BDD8C5EF3303}"/>
            </c:ext>
          </c:extLst>
        </c:ser>
        <c:ser>
          <c:idx val="1"/>
          <c:order val="1"/>
          <c:tx>
            <c:strRef>
              <c:f>Blad1!$AJ$1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Blad1!$A$2:$A$23</c:f>
              <c:numCache>
                <c:formatCode>General</c:formatCode>
                <c:ptCount val="2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Blad1!$AJ$2:$AJ$23</c:f>
              <c:numCache>
                <c:formatCode>General</c:formatCode>
                <c:ptCount val="22"/>
                <c:pt idx="0">
                  <c:v>0</c:v>
                </c:pt>
                <c:pt idx="1">
                  <c:v>24</c:v>
                </c:pt>
                <c:pt idx="2">
                  <c:v>34</c:v>
                </c:pt>
                <c:pt idx="3">
                  <c:v>106</c:v>
                </c:pt>
                <c:pt idx="4">
                  <c:v>148</c:v>
                </c:pt>
                <c:pt idx="5">
                  <c:v>161</c:v>
                </c:pt>
                <c:pt idx="6">
                  <c:v>175</c:v>
                </c:pt>
                <c:pt idx="7">
                  <c:v>241</c:v>
                </c:pt>
                <c:pt idx="8">
                  <c:v>256</c:v>
                </c:pt>
                <c:pt idx="9">
                  <c:v>278</c:v>
                </c:pt>
                <c:pt idx="10">
                  <c:v>381</c:v>
                </c:pt>
                <c:pt idx="11">
                  <c:v>399</c:v>
                </c:pt>
                <c:pt idx="12">
                  <c:v>419</c:v>
                </c:pt>
                <c:pt idx="13">
                  <c:v>435</c:v>
                </c:pt>
                <c:pt idx="14">
                  <c:v>450</c:v>
                </c:pt>
                <c:pt idx="15">
                  <c:v>457</c:v>
                </c:pt>
                <c:pt idx="16">
                  <c:v>464</c:v>
                </c:pt>
                <c:pt idx="17">
                  <c:v>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D-4558-B297-BDD8C5EF3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Blad1!$AP$2:$AP$22</c:f>
              <c:numCache>
                <c:formatCode>General</c:formatCode>
                <c:ptCount val="21"/>
                <c:pt idx="0">
                  <c:v>0</c:v>
                </c:pt>
                <c:pt idx="1">
                  <c:v>74</c:v>
                </c:pt>
                <c:pt idx="2">
                  <c:v>100</c:v>
                </c:pt>
                <c:pt idx="3">
                  <c:v>118</c:v>
                </c:pt>
                <c:pt idx="4">
                  <c:v>147</c:v>
                </c:pt>
                <c:pt idx="5">
                  <c:v>196</c:v>
                </c:pt>
                <c:pt idx="6">
                  <c:v>239</c:v>
                </c:pt>
                <c:pt idx="7">
                  <c:v>265</c:v>
                </c:pt>
                <c:pt idx="8">
                  <c:v>286</c:v>
                </c:pt>
                <c:pt idx="9">
                  <c:v>309</c:v>
                </c:pt>
                <c:pt idx="10">
                  <c:v>347</c:v>
                </c:pt>
                <c:pt idx="11">
                  <c:v>365</c:v>
                </c:pt>
                <c:pt idx="12">
                  <c:v>399</c:v>
                </c:pt>
                <c:pt idx="13">
                  <c:v>435</c:v>
                </c:pt>
                <c:pt idx="14">
                  <c:v>456</c:v>
                </c:pt>
                <c:pt idx="15">
                  <c:v>469</c:v>
                </c:pt>
                <c:pt idx="16">
                  <c:v>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7A-443A-A845-5EF47C172905}"/>
            </c:ext>
          </c:extLst>
        </c:ser>
        <c:ser>
          <c:idx val="1"/>
          <c:order val="1"/>
          <c:tx>
            <c:strRef>
              <c:f>Blad1!$AV$1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Blad1!$AV$2:$AV$22</c:f>
              <c:numCache>
                <c:formatCode>General</c:formatCode>
                <c:ptCount val="21"/>
                <c:pt idx="0">
                  <c:v>0</c:v>
                </c:pt>
                <c:pt idx="1">
                  <c:v>17</c:v>
                </c:pt>
                <c:pt idx="2">
                  <c:v>45</c:v>
                </c:pt>
                <c:pt idx="3">
                  <c:v>58</c:v>
                </c:pt>
                <c:pt idx="4">
                  <c:v>122</c:v>
                </c:pt>
                <c:pt idx="5">
                  <c:v>158</c:v>
                </c:pt>
                <c:pt idx="6">
                  <c:v>212</c:v>
                </c:pt>
                <c:pt idx="7">
                  <c:v>244</c:v>
                </c:pt>
                <c:pt idx="8">
                  <c:v>286</c:v>
                </c:pt>
                <c:pt idx="9">
                  <c:v>309</c:v>
                </c:pt>
                <c:pt idx="10">
                  <c:v>354</c:v>
                </c:pt>
                <c:pt idx="11">
                  <c:v>382</c:v>
                </c:pt>
                <c:pt idx="12">
                  <c:v>407</c:v>
                </c:pt>
                <c:pt idx="13">
                  <c:v>431</c:v>
                </c:pt>
                <c:pt idx="14">
                  <c:v>442</c:v>
                </c:pt>
                <c:pt idx="15">
                  <c:v>442</c:v>
                </c:pt>
                <c:pt idx="16">
                  <c:v>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7A-443A-A845-5EF47C172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Blad1!$BB$1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Blad1!$BB$2:$BB$22</c:f>
              <c:numCache>
                <c:formatCode>General</c:formatCode>
                <c:ptCount val="21"/>
                <c:pt idx="0">
                  <c:v>0</c:v>
                </c:pt>
                <c:pt idx="1">
                  <c:v>20</c:v>
                </c:pt>
                <c:pt idx="2">
                  <c:v>56</c:v>
                </c:pt>
                <c:pt idx="3">
                  <c:v>92</c:v>
                </c:pt>
                <c:pt idx="4">
                  <c:v>132</c:v>
                </c:pt>
                <c:pt idx="5">
                  <c:v>164</c:v>
                </c:pt>
                <c:pt idx="6">
                  <c:v>197</c:v>
                </c:pt>
                <c:pt idx="7">
                  <c:v>222</c:v>
                </c:pt>
                <c:pt idx="8">
                  <c:v>249</c:v>
                </c:pt>
                <c:pt idx="9">
                  <c:v>278</c:v>
                </c:pt>
                <c:pt idx="10">
                  <c:v>307</c:v>
                </c:pt>
                <c:pt idx="11">
                  <c:v>335</c:v>
                </c:pt>
                <c:pt idx="12">
                  <c:v>383</c:v>
                </c:pt>
                <c:pt idx="13">
                  <c:v>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B-4B82-84F2-F984691FA0FC}"/>
            </c:ext>
          </c:extLst>
        </c:ser>
        <c:ser>
          <c:idx val="1"/>
          <c:order val="1"/>
          <c:tx>
            <c:strRef>
              <c:f>Blad1!$BH$1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Blad1!$BH$2:$BH$22</c:f>
              <c:numCache>
                <c:formatCode>General</c:formatCode>
                <c:ptCount val="21"/>
                <c:pt idx="0">
                  <c:v>0</c:v>
                </c:pt>
                <c:pt idx="1">
                  <c:v>24</c:v>
                </c:pt>
                <c:pt idx="2">
                  <c:v>51</c:v>
                </c:pt>
                <c:pt idx="3">
                  <c:v>123</c:v>
                </c:pt>
                <c:pt idx="4">
                  <c:v>159</c:v>
                </c:pt>
                <c:pt idx="5">
                  <c:v>167</c:v>
                </c:pt>
                <c:pt idx="6">
                  <c:v>261</c:v>
                </c:pt>
                <c:pt idx="7">
                  <c:v>312</c:v>
                </c:pt>
                <c:pt idx="8">
                  <c:v>345</c:v>
                </c:pt>
                <c:pt idx="9">
                  <c:v>384</c:v>
                </c:pt>
                <c:pt idx="10">
                  <c:v>401</c:v>
                </c:pt>
                <c:pt idx="11">
                  <c:v>413</c:v>
                </c:pt>
                <c:pt idx="12">
                  <c:v>494</c:v>
                </c:pt>
                <c:pt idx="13">
                  <c:v>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5B-4B82-84F2-F984691FA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Blad1!$BN$1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Blad1!$BN$2:$BN$22</c:f>
              <c:numCache>
                <c:formatCode>General</c:formatCode>
                <c:ptCount val="21"/>
                <c:pt idx="0">
                  <c:v>0</c:v>
                </c:pt>
                <c:pt idx="1">
                  <c:v>68</c:v>
                </c:pt>
                <c:pt idx="2">
                  <c:v>110</c:v>
                </c:pt>
                <c:pt idx="3">
                  <c:v>150</c:v>
                </c:pt>
                <c:pt idx="4">
                  <c:v>182</c:v>
                </c:pt>
                <c:pt idx="5">
                  <c:v>236</c:v>
                </c:pt>
                <c:pt idx="6">
                  <c:v>275</c:v>
                </c:pt>
                <c:pt idx="7">
                  <c:v>305</c:v>
                </c:pt>
                <c:pt idx="8">
                  <c:v>339</c:v>
                </c:pt>
                <c:pt idx="9">
                  <c:v>367</c:v>
                </c:pt>
                <c:pt idx="10">
                  <c:v>396</c:v>
                </c:pt>
                <c:pt idx="11">
                  <c:v>438</c:v>
                </c:pt>
                <c:pt idx="12">
                  <c:v>466</c:v>
                </c:pt>
                <c:pt idx="13">
                  <c:v>499</c:v>
                </c:pt>
                <c:pt idx="14">
                  <c:v>525</c:v>
                </c:pt>
                <c:pt idx="15">
                  <c:v>537</c:v>
                </c:pt>
                <c:pt idx="16">
                  <c:v>544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7C-4C74-80B7-5422B8844CC5}"/>
            </c:ext>
          </c:extLst>
        </c:ser>
        <c:ser>
          <c:idx val="1"/>
          <c:order val="1"/>
          <c:tx>
            <c:strRef>
              <c:f>Blad1!$BT$1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Blad1!$BT$2:$BT$22</c:f>
              <c:numCache>
                <c:formatCode>General</c:formatCode>
                <c:ptCount val="21"/>
                <c:pt idx="0">
                  <c:v>0</c:v>
                </c:pt>
                <c:pt idx="1">
                  <c:v>35</c:v>
                </c:pt>
                <c:pt idx="2">
                  <c:v>165</c:v>
                </c:pt>
                <c:pt idx="3">
                  <c:v>165</c:v>
                </c:pt>
                <c:pt idx="4">
                  <c:v>165</c:v>
                </c:pt>
                <c:pt idx="5">
                  <c:v>253</c:v>
                </c:pt>
                <c:pt idx="6">
                  <c:v>284</c:v>
                </c:pt>
                <c:pt idx="7">
                  <c:v>327</c:v>
                </c:pt>
                <c:pt idx="8">
                  <c:v>327</c:v>
                </c:pt>
                <c:pt idx="9">
                  <c:v>343</c:v>
                </c:pt>
                <c:pt idx="10">
                  <c:v>442</c:v>
                </c:pt>
                <c:pt idx="11">
                  <c:v>484</c:v>
                </c:pt>
                <c:pt idx="12">
                  <c:v>512</c:v>
                </c:pt>
                <c:pt idx="13">
                  <c:v>526</c:v>
                </c:pt>
                <c:pt idx="14">
                  <c:v>534</c:v>
                </c:pt>
                <c:pt idx="15">
                  <c:v>540</c:v>
                </c:pt>
                <c:pt idx="16">
                  <c:v>539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77C-4C74-80B7-5422B8844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Blad1!$BZ$1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Blad1!$BZ$2:$BZ$22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36</c:v>
                </c:pt>
                <c:pt idx="3">
                  <c:v>115</c:v>
                </c:pt>
                <c:pt idx="4">
                  <c:v>179</c:v>
                </c:pt>
                <c:pt idx="5">
                  <c:v>226</c:v>
                </c:pt>
                <c:pt idx="6">
                  <c:v>256</c:v>
                </c:pt>
                <c:pt idx="7">
                  <c:v>299</c:v>
                </c:pt>
                <c:pt idx="8">
                  <c:v>338</c:v>
                </c:pt>
                <c:pt idx="9">
                  <c:v>370</c:v>
                </c:pt>
                <c:pt idx="10">
                  <c:v>393</c:v>
                </c:pt>
                <c:pt idx="11">
                  <c:v>421</c:v>
                </c:pt>
                <c:pt idx="12">
                  <c:v>439</c:v>
                </c:pt>
                <c:pt idx="13">
                  <c:v>453</c:v>
                </c:pt>
                <c:pt idx="14">
                  <c:v>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E-4E4E-A3D1-507D73CA67E3}"/>
            </c:ext>
          </c:extLst>
        </c:ser>
        <c:ser>
          <c:idx val="1"/>
          <c:order val="1"/>
          <c:tx>
            <c:strRef>
              <c:f>Blad1!$CF$1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Blad1!$CF$2:$CF$22</c:f>
              <c:numCache>
                <c:formatCode>General</c:formatCode>
                <c:ptCount val="21"/>
                <c:pt idx="0">
                  <c:v>0</c:v>
                </c:pt>
                <c:pt idx="1">
                  <c:v>30</c:v>
                </c:pt>
                <c:pt idx="2">
                  <c:v>86</c:v>
                </c:pt>
                <c:pt idx="3">
                  <c:v>128</c:v>
                </c:pt>
                <c:pt idx="4">
                  <c:v>191</c:v>
                </c:pt>
                <c:pt idx="5">
                  <c:v>231</c:v>
                </c:pt>
                <c:pt idx="6">
                  <c:v>295</c:v>
                </c:pt>
                <c:pt idx="7">
                  <c:v>312</c:v>
                </c:pt>
                <c:pt idx="8">
                  <c:v>338</c:v>
                </c:pt>
                <c:pt idx="9">
                  <c:v>435</c:v>
                </c:pt>
                <c:pt idx="10">
                  <c:v>475</c:v>
                </c:pt>
                <c:pt idx="11">
                  <c:v>511</c:v>
                </c:pt>
                <c:pt idx="12">
                  <c:v>522</c:v>
                </c:pt>
                <c:pt idx="13">
                  <c:v>529</c:v>
                </c:pt>
                <c:pt idx="14">
                  <c:v>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8E-4E4E-A3D1-507D73CA6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Blad1!$CL$1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Blad1!$CL$2:$CL$22</c:f>
              <c:numCache>
                <c:formatCode>General</c:formatCode>
                <c:ptCount val="21"/>
                <c:pt idx="0">
                  <c:v>0</c:v>
                </c:pt>
                <c:pt idx="1">
                  <c:v>28</c:v>
                </c:pt>
                <c:pt idx="2">
                  <c:v>54</c:v>
                </c:pt>
                <c:pt idx="3">
                  <c:v>90</c:v>
                </c:pt>
                <c:pt idx="4">
                  <c:v>109</c:v>
                </c:pt>
                <c:pt idx="5">
                  <c:v>138</c:v>
                </c:pt>
                <c:pt idx="6">
                  <c:v>172</c:v>
                </c:pt>
                <c:pt idx="7">
                  <c:v>189</c:v>
                </c:pt>
                <c:pt idx="8">
                  <c:v>214</c:v>
                </c:pt>
                <c:pt idx="9">
                  <c:v>236</c:v>
                </c:pt>
                <c:pt idx="10">
                  <c:v>272</c:v>
                </c:pt>
                <c:pt idx="11">
                  <c:v>302</c:v>
                </c:pt>
                <c:pt idx="12">
                  <c:v>331</c:v>
                </c:pt>
                <c:pt idx="13">
                  <c:v>352</c:v>
                </c:pt>
                <c:pt idx="14">
                  <c:v>375</c:v>
                </c:pt>
                <c:pt idx="15">
                  <c:v>408</c:v>
                </c:pt>
                <c:pt idx="16">
                  <c:v>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E1-4C9A-BF62-A399641E2F95}"/>
            </c:ext>
          </c:extLst>
        </c:ser>
        <c:ser>
          <c:idx val="1"/>
          <c:order val="1"/>
          <c:tx>
            <c:strRef>
              <c:f>Blad1!$CR$1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Blad1!$CR$2:$CR$22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86</c:v>
                </c:pt>
                <c:pt idx="4">
                  <c:v>130</c:v>
                </c:pt>
                <c:pt idx="5">
                  <c:v>177</c:v>
                </c:pt>
                <c:pt idx="6">
                  <c:v>208</c:v>
                </c:pt>
                <c:pt idx="7">
                  <c:v>208</c:v>
                </c:pt>
                <c:pt idx="8">
                  <c:v>222</c:v>
                </c:pt>
                <c:pt idx="9">
                  <c:v>234</c:v>
                </c:pt>
                <c:pt idx="10">
                  <c:v>244</c:v>
                </c:pt>
                <c:pt idx="11">
                  <c:v>307</c:v>
                </c:pt>
                <c:pt idx="12">
                  <c:v>324</c:v>
                </c:pt>
                <c:pt idx="13">
                  <c:v>413</c:v>
                </c:pt>
                <c:pt idx="14">
                  <c:v>446</c:v>
                </c:pt>
                <c:pt idx="15">
                  <c:v>487</c:v>
                </c:pt>
                <c:pt idx="16">
                  <c:v>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E1-4C9A-BF62-A399641E2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Blad1!$CX$1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Blad1!$CX$2:$CX$22</c:f>
              <c:numCache>
                <c:formatCode>General</c:formatCode>
                <c:ptCount val="21"/>
                <c:pt idx="0">
                  <c:v>0</c:v>
                </c:pt>
                <c:pt idx="1">
                  <c:v>18</c:v>
                </c:pt>
                <c:pt idx="2">
                  <c:v>47</c:v>
                </c:pt>
                <c:pt idx="3">
                  <c:v>78</c:v>
                </c:pt>
                <c:pt idx="4">
                  <c:v>111</c:v>
                </c:pt>
                <c:pt idx="5">
                  <c:v>136</c:v>
                </c:pt>
                <c:pt idx="6">
                  <c:v>172</c:v>
                </c:pt>
                <c:pt idx="7">
                  <c:v>214</c:v>
                </c:pt>
                <c:pt idx="8">
                  <c:v>237</c:v>
                </c:pt>
                <c:pt idx="9">
                  <c:v>262</c:v>
                </c:pt>
                <c:pt idx="10">
                  <c:v>294</c:v>
                </c:pt>
                <c:pt idx="11">
                  <c:v>332</c:v>
                </c:pt>
                <c:pt idx="12">
                  <c:v>360</c:v>
                </c:pt>
                <c:pt idx="13">
                  <c:v>392</c:v>
                </c:pt>
                <c:pt idx="14">
                  <c:v>428</c:v>
                </c:pt>
                <c:pt idx="15">
                  <c:v>444</c:v>
                </c:pt>
                <c:pt idx="16">
                  <c:v>450</c:v>
                </c:pt>
                <c:pt idx="17">
                  <c:v>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E8-4AAD-AD41-6AD9F2E8D936}"/>
            </c:ext>
          </c:extLst>
        </c:ser>
        <c:ser>
          <c:idx val="1"/>
          <c:order val="1"/>
          <c:tx>
            <c:strRef>
              <c:f>Blad1!$DD$1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Blad1!$DD$2:$DD$22</c:f>
              <c:numCache>
                <c:formatCode>General</c:formatCode>
                <c:ptCount val="21"/>
                <c:pt idx="0">
                  <c:v>0</c:v>
                </c:pt>
                <c:pt idx="1">
                  <c:v>48</c:v>
                </c:pt>
                <c:pt idx="2">
                  <c:v>87</c:v>
                </c:pt>
                <c:pt idx="3">
                  <c:v>172</c:v>
                </c:pt>
                <c:pt idx="4">
                  <c:v>200</c:v>
                </c:pt>
                <c:pt idx="5">
                  <c:v>239</c:v>
                </c:pt>
                <c:pt idx="6">
                  <c:v>324</c:v>
                </c:pt>
                <c:pt idx="7">
                  <c:v>342</c:v>
                </c:pt>
                <c:pt idx="8">
                  <c:v>355</c:v>
                </c:pt>
                <c:pt idx="9">
                  <c:v>363</c:v>
                </c:pt>
                <c:pt idx="10">
                  <c:v>428</c:v>
                </c:pt>
                <c:pt idx="11">
                  <c:v>451</c:v>
                </c:pt>
                <c:pt idx="12">
                  <c:v>483</c:v>
                </c:pt>
                <c:pt idx="13">
                  <c:v>531</c:v>
                </c:pt>
                <c:pt idx="14">
                  <c:v>545</c:v>
                </c:pt>
                <c:pt idx="15">
                  <c:v>556</c:v>
                </c:pt>
                <c:pt idx="16">
                  <c:v>563</c:v>
                </c:pt>
                <c:pt idx="17">
                  <c:v>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E8-4AAD-AD41-6AD9F2E8D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Blad1!$DJ$1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Blad1!$DJ$2:$DJ$22</c:f>
              <c:numCache>
                <c:formatCode>General</c:formatCode>
                <c:ptCount val="21"/>
                <c:pt idx="0">
                  <c:v>0</c:v>
                </c:pt>
                <c:pt idx="1">
                  <c:v>62</c:v>
                </c:pt>
                <c:pt idx="2">
                  <c:v>106</c:v>
                </c:pt>
                <c:pt idx="3">
                  <c:v>151</c:v>
                </c:pt>
                <c:pt idx="4">
                  <c:v>177</c:v>
                </c:pt>
                <c:pt idx="5">
                  <c:v>196</c:v>
                </c:pt>
                <c:pt idx="6">
                  <c:v>230</c:v>
                </c:pt>
                <c:pt idx="7">
                  <c:v>258</c:v>
                </c:pt>
                <c:pt idx="8">
                  <c:v>316</c:v>
                </c:pt>
                <c:pt idx="9">
                  <c:v>354</c:v>
                </c:pt>
                <c:pt idx="10">
                  <c:v>393</c:v>
                </c:pt>
                <c:pt idx="11">
                  <c:v>426</c:v>
                </c:pt>
                <c:pt idx="12">
                  <c:v>468</c:v>
                </c:pt>
                <c:pt idx="13">
                  <c:v>492</c:v>
                </c:pt>
                <c:pt idx="14">
                  <c:v>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B9-41E4-8EF8-CD3075E041A2}"/>
            </c:ext>
          </c:extLst>
        </c:ser>
        <c:ser>
          <c:idx val="1"/>
          <c:order val="1"/>
          <c:tx>
            <c:strRef>
              <c:f>Blad1!$DP$1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Blad1!$DP$2:$DP$22</c:f>
              <c:numCache>
                <c:formatCode>General</c:formatCode>
                <c:ptCount val="21"/>
                <c:pt idx="0">
                  <c:v>0</c:v>
                </c:pt>
                <c:pt idx="1">
                  <c:v>42</c:v>
                </c:pt>
                <c:pt idx="2">
                  <c:v>66</c:v>
                </c:pt>
                <c:pt idx="3">
                  <c:v>123</c:v>
                </c:pt>
                <c:pt idx="4">
                  <c:v>179</c:v>
                </c:pt>
                <c:pt idx="5">
                  <c:v>189</c:v>
                </c:pt>
                <c:pt idx="6">
                  <c:v>207</c:v>
                </c:pt>
                <c:pt idx="7">
                  <c:v>271</c:v>
                </c:pt>
                <c:pt idx="8">
                  <c:v>361</c:v>
                </c:pt>
                <c:pt idx="9">
                  <c:v>383</c:v>
                </c:pt>
                <c:pt idx="10">
                  <c:v>418</c:v>
                </c:pt>
                <c:pt idx="11">
                  <c:v>430</c:v>
                </c:pt>
                <c:pt idx="12">
                  <c:v>456</c:v>
                </c:pt>
                <c:pt idx="13">
                  <c:v>469</c:v>
                </c:pt>
                <c:pt idx="14">
                  <c:v>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B9-41E4-8EF8-CD3075E04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Blad1!$DV$1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Blad1!$DV$2:$DV$22</c:f>
              <c:numCache>
                <c:formatCode>General</c:formatCode>
                <c:ptCount val="21"/>
                <c:pt idx="0">
                  <c:v>0</c:v>
                </c:pt>
                <c:pt idx="1">
                  <c:v>26</c:v>
                </c:pt>
                <c:pt idx="2">
                  <c:v>110</c:v>
                </c:pt>
                <c:pt idx="3">
                  <c:v>148</c:v>
                </c:pt>
                <c:pt idx="4">
                  <c:v>193</c:v>
                </c:pt>
                <c:pt idx="5">
                  <c:v>217</c:v>
                </c:pt>
                <c:pt idx="6">
                  <c:v>245</c:v>
                </c:pt>
                <c:pt idx="7">
                  <c:v>276</c:v>
                </c:pt>
                <c:pt idx="8">
                  <c:v>317</c:v>
                </c:pt>
                <c:pt idx="9">
                  <c:v>341</c:v>
                </c:pt>
                <c:pt idx="10">
                  <c:v>374</c:v>
                </c:pt>
                <c:pt idx="11">
                  <c:v>407</c:v>
                </c:pt>
                <c:pt idx="12">
                  <c:v>429</c:v>
                </c:pt>
                <c:pt idx="13">
                  <c:v>450</c:v>
                </c:pt>
                <c:pt idx="14">
                  <c:v>471</c:v>
                </c:pt>
                <c:pt idx="15">
                  <c:v>503</c:v>
                </c:pt>
                <c:pt idx="16">
                  <c:v>510</c:v>
                </c:pt>
                <c:pt idx="17">
                  <c:v>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68-434A-B515-EE5465BA56E2}"/>
            </c:ext>
          </c:extLst>
        </c:ser>
        <c:ser>
          <c:idx val="1"/>
          <c:order val="1"/>
          <c:tx>
            <c:strRef>
              <c:f>Blad1!$EB$1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Blad1!$EB$2:$EB$22</c:f>
              <c:numCache>
                <c:formatCode>General</c:formatCode>
                <c:ptCount val="21"/>
                <c:pt idx="0">
                  <c:v>0</c:v>
                </c:pt>
                <c:pt idx="1">
                  <c:v>34</c:v>
                </c:pt>
                <c:pt idx="2">
                  <c:v>59</c:v>
                </c:pt>
                <c:pt idx="3">
                  <c:v>88</c:v>
                </c:pt>
                <c:pt idx="4">
                  <c:v>151</c:v>
                </c:pt>
                <c:pt idx="5">
                  <c:v>186</c:v>
                </c:pt>
                <c:pt idx="6">
                  <c:v>212</c:v>
                </c:pt>
                <c:pt idx="7">
                  <c:v>227</c:v>
                </c:pt>
                <c:pt idx="8">
                  <c:v>295</c:v>
                </c:pt>
                <c:pt idx="9">
                  <c:v>322</c:v>
                </c:pt>
                <c:pt idx="10">
                  <c:v>322</c:v>
                </c:pt>
                <c:pt idx="11">
                  <c:v>333</c:v>
                </c:pt>
                <c:pt idx="12">
                  <c:v>349</c:v>
                </c:pt>
                <c:pt idx="13">
                  <c:v>359</c:v>
                </c:pt>
                <c:pt idx="14">
                  <c:v>401</c:v>
                </c:pt>
                <c:pt idx="15">
                  <c:v>425</c:v>
                </c:pt>
                <c:pt idx="16">
                  <c:v>431</c:v>
                </c:pt>
                <c:pt idx="17">
                  <c:v>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68-434A-B515-EE5465BA5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Blad1!$EH$1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Blad1!$EH$2:$EH$22</c:f>
              <c:numCache>
                <c:formatCode>General</c:formatCode>
                <c:ptCount val="21"/>
                <c:pt idx="0">
                  <c:v>0</c:v>
                </c:pt>
                <c:pt idx="1">
                  <c:v>26</c:v>
                </c:pt>
                <c:pt idx="2">
                  <c:v>56</c:v>
                </c:pt>
                <c:pt idx="3">
                  <c:v>93</c:v>
                </c:pt>
                <c:pt idx="4">
                  <c:v>161</c:v>
                </c:pt>
                <c:pt idx="5">
                  <c:v>206</c:v>
                </c:pt>
                <c:pt idx="6">
                  <c:v>269</c:v>
                </c:pt>
                <c:pt idx="7">
                  <c:v>299</c:v>
                </c:pt>
                <c:pt idx="8">
                  <c:v>336</c:v>
                </c:pt>
                <c:pt idx="9">
                  <c:v>390</c:v>
                </c:pt>
                <c:pt idx="10">
                  <c:v>427</c:v>
                </c:pt>
                <c:pt idx="11">
                  <c:v>458</c:v>
                </c:pt>
                <c:pt idx="12">
                  <c:v>475</c:v>
                </c:pt>
                <c:pt idx="13">
                  <c:v>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18-4468-9402-6C284AF3D8B3}"/>
            </c:ext>
          </c:extLst>
        </c:ser>
        <c:ser>
          <c:idx val="1"/>
          <c:order val="1"/>
          <c:tx>
            <c:strRef>
              <c:f>Blad1!$EN$1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Blad1!$EN$2:$EN$22</c:f>
              <c:numCache>
                <c:formatCode>General</c:formatCode>
                <c:ptCount val="21"/>
                <c:pt idx="0">
                  <c:v>0</c:v>
                </c:pt>
                <c:pt idx="1">
                  <c:v>33</c:v>
                </c:pt>
                <c:pt idx="2">
                  <c:v>33</c:v>
                </c:pt>
                <c:pt idx="3">
                  <c:v>190</c:v>
                </c:pt>
                <c:pt idx="4">
                  <c:v>267</c:v>
                </c:pt>
                <c:pt idx="5">
                  <c:v>343</c:v>
                </c:pt>
                <c:pt idx="6">
                  <c:v>378</c:v>
                </c:pt>
                <c:pt idx="7">
                  <c:v>417</c:v>
                </c:pt>
                <c:pt idx="8">
                  <c:v>457</c:v>
                </c:pt>
                <c:pt idx="9">
                  <c:v>477</c:v>
                </c:pt>
                <c:pt idx="10">
                  <c:v>492</c:v>
                </c:pt>
                <c:pt idx="11">
                  <c:v>524</c:v>
                </c:pt>
                <c:pt idx="12">
                  <c:v>541</c:v>
                </c:pt>
                <c:pt idx="13">
                  <c:v>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18-4468-9402-6C284AF3D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Blad1!$ET$1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Blad1!$ET$2:$ET$22</c:f>
              <c:numCache>
                <c:formatCode>General</c:formatCode>
                <c:ptCount val="21"/>
                <c:pt idx="0">
                  <c:v>0</c:v>
                </c:pt>
                <c:pt idx="1">
                  <c:v>56</c:v>
                </c:pt>
                <c:pt idx="2">
                  <c:v>117</c:v>
                </c:pt>
                <c:pt idx="3">
                  <c:v>183</c:v>
                </c:pt>
                <c:pt idx="4">
                  <c:v>229</c:v>
                </c:pt>
                <c:pt idx="5">
                  <c:v>277</c:v>
                </c:pt>
                <c:pt idx="6">
                  <c:v>309</c:v>
                </c:pt>
                <c:pt idx="7">
                  <c:v>343</c:v>
                </c:pt>
                <c:pt idx="8">
                  <c:v>379</c:v>
                </c:pt>
                <c:pt idx="9">
                  <c:v>417</c:v>
                </c:pt>
                <c:pt idx="10">
                  <c:v>443</c:v>
                </c:pt>
                <c:pt idx="11">
                  <c:v>475</c:v>
                </c:pt>
                <c:pt idx="12">
                  <c:v>512</c:v>
                </c:pt>
                <c:pt idx="13">
                  <c:v>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6-486F-B64B-96EC956395DF}"/>
            </c:ext>
          </c:extLst>
        </c:ser>
        <c:ser>
          <c:idx val="1"/>
          <c:order val="1"/>
          <c:tx>
            <c:strRef>
              <c:f>Blad1!$EZ$1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Blad1!$EZ$2:$EZ$22</c:f>
              <c:numCache>
                <c:formatCode>General</c:formatCode>
                <c:ptCount val="21"/>
                <c:pt idx="0">
                  <c:v>0</c:v>
                </c:pt>
                <c:pt idx="1">
                  <c:v>28</c:v>
                </c:pt>
                <c:pt idx="2">
                  <c:v>100</c:v>
                </c:pt>
                <c:pt idx="3">
                  <c:v>140</c:v>
                </c:pt>
                <c:pt idx="4">
                  <c:v>207</c:v>
                </c:pt>
                <c:pt idx="5">
                  <c:v>246</c:v>
                </c:pt>
                <c:pt idx="6">
                  <c:v>270</c:v>
                </c:pt>
                <c:pt idx="7">
                  <c:v>290</c:v>
                </c:pt>
                <c:pt idx="8">
                  <c:v>323</c:v>
                </c:pt>
                <c:pt idx="9">
                  <c:v>332</c:v>
                </c:pt>
                <c:pt idx="10">
                  <c:v>356</c:v>
                </c:pt>
                <c:pt idx="11">
                  <c:v>424</c:v>
                </c:pt>
                <c:pt idx="12">
                  <c:v>446</c:v>
                </c:pt>
                <c:pt idx="13">
                  <c:v>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6-486F-B64B-96EC95639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Blad1!$FF$1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Blad1!$FF$2:$FF$22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50</c:v>
                </c:pt>
                <c:pt idx="3">
                  <c:v>86</c:v>
                </c:pt>
                <c:pt idx="4">
                  <c:v>141</c:v>
                </c:pt>
                <c:pt idx="5">
                  <c:v>175</c:v>
                </c:pt>
                <c:pt idx="6">
                  <c:v>220</c:v>
                </c:pt>
                <c:pt idx="7">
                  <c:v>250</c:v>
                </c:pt>
                <c:pt idx="8">
                  <c:v>301</c:v>
                </c:pt>
                <c:pt idx="9">
                  <c:v>340</c:v>
                </c:pt>
                <c:pt idx="10">
                  <c:v>373</c:v>
                </c:pt>
                <c:pt idx="11">
                  <c:v>395</c:v>
                </c:pt>
                <c:pt idx="12">
                  <c:v>433</c:v>
                </c:pt>
                <c:pt idx="13">
                  <c:v>490</c:v>
                </c:pt>
                <c:pt idx="14">
                  <c:v>508</c:v>
                </c:pt>
                <c:pt idx="15">
                  <c:v>519</c:v>
                </c:pt>
                <c:pt idx="16">
                  <c:v>519</c:v>
                </c:pt>
                <c:pt idx="17">
                  <c:v>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E4-4F9E-B9D6-DC6966108CBF}"/>
            </c:ext>
          </c:extLst>
        </c:ser>
        <c:ser>
          <c:idx val="1"/>
          <c:order val="1"/>
          <c:tx>
            <c:strRef>
              <c:f>Blad1!$FL$1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Blad1!$FL$2:$FL$22</c:f>
              <c:numCache>
                <c:formatCode>General</c:formatCode>
                <c:ptCount val="21"/>
                <c:pt idx="0">
                  <c:v>0</c:v>
                </c:pt>
                <c:pt idx="1">
                  <c:v>26</c:v>
                </c:pt>
                <c:pt idx="2">
                  <c:v>50</c:v>
                </c:pt>
                <c:pt idx="3">
                  <c:v>108</c:v>
                </c:pt>
                <c:pt idx="4">
                  <c:v>130</c:v>
                </c:pt>
                <c:pt idx="5">
                  <c:v>141</c:v>
                </c:pt>
                <c:pt idx="6">
                  <c:v>172</c:v>
                </c:pt>
                <c:pt idx="7">
                  <c:v>172</c:v>
                </c:pt>
                <c:pt idx="8">
                  <c:v>230</c:v>
                </c:pt>
                <c:pt idx="9">
                  <c:v>253</c:v>
                </c:pt>
                <c:pt idx="10">
                  <c:v>264</c:v>
                </c:pt>
                <c:pt idx="11">
                  <c:v>277</c:v>
                </c:pt>
                <c:pt idx="12">
                  <c:v>332</c:v>
                </c:pt>
                <c:pt idx="13">
                  <c:v>356</c:v>
                </c:pt>
                <c:pt idx="14">
                  <c:v>370</c:v>
                </c:pt>
                <c:pt idx="15">
                  <c:v>381</c:v>
                </c:pt>
                <c:pt idx="16">
                  <c:v>388</c:v>
                </c:pt>
                <c:pt idx="17">
                  <c:v>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E4-4F9E-B9D6-DC6966108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Blad1!$FR$1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Blad1!$FR$2:$FR$22</c:f>
              <c:numCache>
                <c:formatCode>General</c:formatCode>
                <c:ptCount val="21"/>
                <c:pt idx="0">
                  <c:v>0</c:v>
                </c:pt>
                <c:pt idx="1">
                  <c:v>13</c:v>
                </c:pt>
                <c:pt idx="2">
                  <c:v>45</c:v>
                </c:pt>
                <c:pt idx="3">
                  <c:v>76</c:v>
                </c:pt>
                <c:pt idx="4">
                  <c:v>92</c:v>
                </c:pt>
                <c:pt idx="5">
                  <c:v>152</c:v>
                </c:pt>
                <c:pt idx="6">
                  <c:v>194</c:v>
                </c:pt>
                <c:pt idx="7">
                  <c:v>238</c:v>
                </c:pt>
                <c:pt idx="8">
                  <c:v>276</c:v>
                </c:pt>
                <c:pt idx="9">
                  <c:v>304</c:v>
                </c:pt>
                <c:pt idx="10">
                  <c:v>340</c:v>
                </c:pt>
                <c:pt idx="11">
                  <c:v>370</c:v>
                </c:pt>
                <c:pt idx="12">
                  <c:v>400</c:v>
                </c:pt>
                <c:pt idx="13">
                  <c:v>429</c:v>
                </c:pt>
                <c:pt idx="14">
                  <c:v>453</c:v>
                </c:pt>
                <c:pt idx="15">
                  <c:v>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7D-43CC-A08C-94F1EBA80E28}"/>
            </c:ext>
          </c:extLst>
        </c:ser>
        <c:ser>
          <c:idx val="1"/>
          <c:order val="1"/>
          <c:tx>
            <c:strRef>
              <c:f>Blad1!$FX$1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Blad1!$FX$2:$FX$22</c:f>
              <c:numCache>
                <c:formatCode>General</c:formatCode>
                <c:ptCount val="21"/>
                <c:pt idx="0">
                  <c:v>0</c:v>
                </c:pt>
                <c:pt idx="1">
                  <c:v>17</c:v>
                </c:pt>
                <c:pt idx="2">
                  <c:v>23</c:v>
                </c:pt>
                <c:pt idx="3">
                  <c:v>53</c:v>
                </c:pt>
                <c:pt idx="4">
                  <c:v>112</c:v>
                </c:pt>
                <c:pt idx="5">
                  <c:v>153</c:v>
                </c:pt>
                <c:pt idx="6">
                  <c:v>275</c:v>
                </c:pt>
                <c:pt idx="7">
                  <c:v>314</c:v>
                </c:pt>
                <c:pt idx="8">
                  <c:v>346</c:v>
                </c:pt>
                <c:pt idx="9">
                  <c:v>353</c:v>
                </c:pt>
                <c:pt idx="10">
                  <c:v>381</c:v>
                </c:pt>
                <c:pt idx="11">
                  <c:v>396</c:v>
                </c:pt>
                <c:pt idx="12">
                  <c:v>410</c:v>
                </c:pt>
                <c:pt idx="13">
                  <c:v>464</c:v>
                </c:pt>
                <c:pt idx="14">
                  <c:v>473</c:v>
                </c:pt>
                <c:pt idx="15">
                  <c:v>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7D-43CC-A08C-94F1EBA80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Blad1!$GD$1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Blad1!$GD$2:$GD$22</c:f>
              <c:numCache>
                <c:formatCode>General</c:formatCode>
                <c:ptCount val="21"/>
                <c:pt idx="0">
                  <c:v>0</c:v>
                </c:pt>
                <c:pt idx="1">
                  <c:v>12</c:v>
                </c:pt>
                <c:pt idx="2">
                  <c:v>48</c:v>
                </c:pt>
                <c:pt idx="3">
                  <c:v>96</c:v>
                </c:pt>
                <c:pt idx="4">
                  <c:v>120</c:v>
                </c:pt>
                <c:pt idx="5">
                  <c:v>198</c:v>
                </c:pt>
                <c:pt idx="6">
                  <c:v>242</c:v>
                </c:pt>
                <c:pt idx="7">
                  <c:v>282</c:v>
                </c:pt>
                <c:pt idx="8">
                  <c:v>330</c:v>
                </c:pt>
                <c:pt idx="9">
                  <c:v>359</c:v>
                </c:pt>
                <c:pt idx="10">
                  <c:v>392</c:v>
                </c:pt>
                <c:pt idx="11">
                  <c:v>430</c:v>
                </c:pt>
                <c:pt idx="12">
                  <c:v>446</c:v>
                </c:pt>
                <c:pt idx="13">
                  <c:v>462</c:v>
                </c:pt>
                <c:pt idx="14">
                  <c:v>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B5-42A5-B77B-2771C9477634}"/>
            </c:ext>
          </c:extLst>
        </c:ser>
        <c:ser>
          <c:idx val="1"/>
          <c:order val="1"/>
          <c:tx>
            <c:strRef>
              <c:f>Blad1!$GJ$1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Blad1!$GJ$2:$GJ$22</c:f>
              <c:numCache>
                <c:formatCode>General</c:formatCode>
                <c:ptCount val="21"/>
                <c:pt idx="0">
                  <c:v>0</c:v>
                </c:pt>
                <c:pt idx="1">
                  <c:v>40</c:v>
                </c:pt>
                <c:pt idx="2">
                  <c:v>101</c:v>
                </c:pt>
                <c:pt idx="3">
                  <c:v>126</c:v>
                </c:pt>
                <c:pt idx="4">
                  <c:v>166</c:v>
                </c:pt>
                <c:pt idx="5">
                  <c:v>214</c:v>
                </c:pt>
                <c:pt idx="6">
                  <c:v>237</c:v>
                </c:pt>
                <c:pt idx="7">
                  <c:v>304</c:v>
                </c:pt>
                <c:pt idx="8">
                  <c:v>342</c:v>
                </c:pt>
                <c:pt idx="9">
                  <c:v>362</c:v>
                </c:pt>
                <c:pt idx="10">
                  <c:v>487</c:v>
                </c:pt>
                <c:pt idx="11">
                  <c:v>517</c:v>
                </c:pt>
                <c:pt idx="12">
                  <c:v>540</c:v>
                </c:pt>
                <c:pt idx="13">
                  <c:v>550</c:v>
                </c:pt>
                <c:pt idx="14">
                  <c:v>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B5-42A5-B77B-2771C9477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Blad1!$GP$1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Blad1!$GP$2:$GP$22</c:f>
              <c:numCache>
                <c:formatCode>General</c:formatCode>
                <c:ptCount val="21"/>
                <c:pt idx="0">
                  <c:v>0</c:v>
                </c:pt>
                <c:pt idx="1">
                  <c:v>26</c:v>
                </c:pt>
                <c:pt idx="2">
                  <c:v>64</c:v>
                </c:pt>
                <c:pt idx="3">
                  <c:v>112</c:v>
                </c:pt>
                <c:pt idx="4">
                  <c:v>152</c:v>
                </c:pt>
                <c:pt idx="5">
                  <c:v>193</c:v>
                </c:pt>
                <c:pt idx="6">
                  <c:v>226</c:v>
                </c:pt>
                <c:pt idx="7">
                  <c:v>262</c:v>
                </c:pt>
                <c:pt idx="8">
                  <c:v>323</c:v>
                </c:pt>
                <c:pt idx="9">
                  <c:v>361</c:v>
                </c:pt>
                <c:pt idx="10">
                  <c:v>392</c:v>
                </c:pt>
                <c:pt idx="11">
                  <c:v>428</c:v>
                </c:pt>
                <c:pt idx="12">
                  <c:v>455</c:v>
                </c:pt>
                <c:pt idx="13">
                  <c:v>476</c:v>
                </c:pt>
                <c:pt idx="14">
                  <c:v>494</c:v>
                </c:pt>
                <c:pt idx="15">
                  <c:v>511</c:v>
                </c:pt>
                <c:pt idx="16">
                  <c:v>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B4-4AAA-A5E0-F3C1122C0D36}"/>
            </c:ext>
          </c:extLst>
        </c:ser>
        <c:ser>
          <c:idx val="1"/>
          <c:order val="1"/>
          <c:tx>
            <c:strRef>
              <c:f>Blad1!$GV$1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Blad1!$GV$2:$GV$22</c:f>
              <c:numCache>
                <c:formatCode>General</c:formatCode>
                <c:ptCount val="21"/>
                <c:pt idx="0">
                  <c:v>0</c:v>
                </c:pt>
                <c:pt idx="1">
                  <c:v>30</c:v>
                </c:pt>
                <c:pt idx="2">
                  <c:v>64</c:v>
                </c:pt>
                <c:pt idx="3">
                  <c:v>97</c:v>
                </c:pt>
                <c:pt idx="4">
                  <c:v>165</c:v>
                </c:pt>
                <c:pt idx="5">
                  <c:v>204</c:v>
                </c:pt>
                <c:pt idx="6">
                  <c:v>224</c:v>
                </c:pt>
                <c:pt idx="7">
                  <c:v>224</c:v>
                </c:pt>
                <c:pt idx="8">
                  <c:v>231</c:v>
                </c:pt>
                <c:pt idx="9">
                  <c:v>299</c:v>
                </c:pt>
                <c:pt idx="10">
                  <c:v>353</c:v>
                </c:pt>
                <c:pt idx="11">
                  <c:v>363</c:v>
                </c:pt>
                <c:pt idx="12">
                  <c:v>383</c:v>
                </c:pt>
                <c:pt idx="13">
                  <c:v>416</c:v>
                </c:pt>
                <c:pt idx="14">
                  <c:v>429</c:v>
                </c:pt>
                <c:pt idx="15">
                  <c:v>434</c:v>
                </c:pt>
                <c:pt idx="16">
                  <c:v>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B4-4AAA-A5E0-F3C1122C0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Blad1!$HB$1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Blad1!$HB$2:$HB$22</c:f>
              <c:numCache>
                <c:formatCode>General</c:formatCode>
                <c:ptCount val="21"/>
                <c:pt idx="0">
                  <c:v>0</c:v>
                </c:pt>
                <c:pt idx="1">
                  <c:v>24</c:v>
                </c:pt>
                <c:pt idx="2">
                  <c:v>37</c:v>
                </c:pt>
                <c:pt idx="3">
                  <c:v>76</c:v>
                </c:pt>
                <c:pt idx="4">
                  <c:v>100</c:v>
                </c:pt>
                <c:pt idx="5">
                  <c:v>139</c:v>
                </c:pt>
                <c:pt idx="6">
                  <c:v>190</c:v>
                </c:pt>
                <c:pt idx="7">
                  <c:v>222</c:v>
                </c:pt>
                <c:pt idx="8">
                  <c:v>256</c:v>
                </c:pt>
                <c:pt idx="9">
                  <c:v>291</c:v>
                </c:pt>
                <c:pt idx="10">
                  <c:v>319</c:v>
                </c:pt>
                <c:pt idx="11">
                  <c:v>404</c:v>
                </c:pt>
                <c:pt idx="12">
                  <c:v>432</c:v>
                </c:pt>
                <c:pt idx="13">
                  <c:v>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4-460D-81D8-BD19AAC7F913}"/>
            </c:ext>
          </c:extLst>
        </c:ser>
        <c:ser>
          <c:idx val="1"/>
          <c:order val="1"/>
          <c:tx>
            <c:strRef>
              <c:f>Blad1!$HH$1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Blad1!$HH$2:$HH$22</c:f>
              <c:numCache>
                <c:formatCode>General</c:formatCode>
                <c:ptCount val="21"/>
                <c:pt idx="0">
                  <c:v>0</c:v>
                </c:pt>
                <c:pt idx="1">
                  <c:v>44</c:v>
                </c:pt>
                <c:pt idx="2">
                  <c:v>66</c:v>
                </c:pt>
                <c:pt idx="3">
                  <c:v>85</c:v>
                </c:pt>
                <c:pt idx="4">
                  <c:v>147</c:v>
                </c:pt>
                <c:pt idx="5">
                  <c:v>183</c:v>
                </c:pt>
                <c:pt idx="6">
                  <c:v>220</c:v>
                </c:pt>
                <c:pt idx="7">
                  <c:v>244</c:v>
                </c:pt>
                <c:pt idx="8">
                  <c:v>276</c:v>
                </c:pt>
                <c:pt idx="9">
                  <c:v>305</c:v>
                </c:pt>
                <c:pt idx="10">
                  <c:v>399</c:v>
                </c:pt>
                <c:pt idx="11">
                  <c:v>438</c:v>
                </c:pt>
                <c:pt idx="12">
                  <c:v>497</c:v>
                </c:pt>
                <c:pt idx="13">
                  <c:v>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54-460D-81D8-BD19AAC7F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Blad1!$HN$1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Blad1!$HN$2:$HN$22</c:f>
              <c:numCache>
                <c:formatCode>General</c:formatCode>
                <c:ptCount val="21"/>
                <c:pt idx="0">
                  <c:v>0</c:v>
                </c:pt>
                <c:pt idx="1">
                  <c:v>12</c:v>
                </c:pt>
                <c:pt idx="2">
                  <c:v>36</c:v>
                </c:pt>
                <c:pt idx="3">
                  <c:v>70</c:v>
                </c:pt>
                <c:pt idx="4">
                  <c:v>124</c:v>
                </c:pt>
                <c:pt idx="5">
                  <c:v>148</c:v>
                </c:pt>
                <c:pt idx="6">
                  <c:v>179</c:v>
                </c:pt>
                <c:pt idx="7">
                  <c:v>206</c:v>
                </c:pt>
                <c:pt idx="8">
                  <c:v>230</c:v>
                </c:pt>
                <c:pt idx="9">
                  <c:v>244</c:v>
                </c:pt>
                <c:pt idx="10">
                  <c:v>263</c:v>
                </c:pt>
                <c:pt idx="11">
                  <c:v>271</c:v>
                </c:pt>
                <c:pt idx="12">
                  <c:v>305</c:v>
                </c:pt>
                <c:pt idx="13">
                  <c:v>339</c:v>
                </c:pt>
                <c:pt idx="14">
                  <c:v>358</c:v>
                </c:pt>
                <c:pt idx="15">
                  <c:v>419</c:v>
                </c:pt>
                <c:pt idx="16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ED-42FF-9A76-26DC938104A5}"/>
            </c:ext>
          </c:extLst>
        </c:ser>
        <c:ser>
          <c:idx val="1"/>
          <c:order val="1"/>
          <c:tx>
            <c:strRef>
              <c:f>Blad1!$HT$1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Blad1!$HT$2:$HT$22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82</c:v>
                </c:pt>
                <c:pt idx="3">
                  <c:v>120</c:v>
                </c:pt>
                <c:pt idx="4">
                  <c:v>153</c:v>
                </c:pt>
                <c:pt idx="5">
                  <c:v>177</c:v>
                </c:pt>
                <c:pt idx="6">
                  <c:v>184</c:v>
                </c:pt>
                <c:pt idx="7">
                  <c:v>243</c:v>
                </c:pt>
                <c:pt idx="8">
                  <c:v>291</c:v>
                </c:pt>
                <c:pt idx="9">
                  <c:v>300</c:v>
                </c:pt>
                <c:pt idx="10">
                  <c:v>312</c:v>
                </c:pt>
                <c:pt idx="11">
                  <c:v>316</c:v>
                </c:pt>
                <c:pt idx="12">
                  <c:v>321</c:v>
                </c:pt>
                <c:pt idx="13">
                  <c:v>324</c:v>
                </c:pt>
                <c:pt idx="14">
                  <c:v>403</c:v>
                </c:pt>
                <c:pt idx="15">
                  <c:v>430</c:v>
                </c:pt>
                <c:pt idx="16">
                  <c:v>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ED-42FF-9A76-26DC93810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Blad1!$HZ$1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Blad1!$HZ$2:$HZ$22</c:f>
              <c:numCache>
                <c:formatCode>General</c:formatCode>
                <c:ptCount val="21"/>
                <c:pt idx="0">
                  <c:v>0</c:v>
                </c:pt>
                <c:pt idx="1">
                  <c:v>11</c:v>
                </c:pt>
                <c:pt idx="2">
                  <c:v>31</c:v>
                </c:pt>
                <c:pt idx="3">
                  <c:v>58</c:v>
                </c:pt>
                <c:pt idx="4">
                  <c:v>88</c:v>
                </c:pt>
                <c:pt idx="5">
                  <c:v>110</c:v>
                </c:pt>
                <c:pt idx="6">
                  <c:v>234</c:v>
                </c:pt>
                <c:pt idx="7">
                  <c:v>273</c:v>
                </c:pt>
                <c:pt idx="8">
                  <c:v>300</c:v>
                </c:pt>
                <c:pt idx="9">
                  <c:v>324</c:v>
                </c:pt>
                <c:pt idx="10">
                  <c:v>359</c:v>
                </c:pt>
                <c:pt idx="11">
                  <c:v>386</c:v>
                </c:pt>
                <c:pt idx="12">
                  <c:v>418</c:v>
                </c:pt>
                <c:pt idx="13">
                  <c:v>464</c:v>
                </c:pt>
                <c:pt idx="14">
                  <c:v>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E-40B4-B417-FD4FE9DE1773}"/>
            </c:ext>
          </c:extLst>
        </c:ser>
        <c:ser>
          <c:idx val="1"/>
          <c:order val="1"/>
          <c:tx>
            <c:strRef>
              <c:f>Blad1!$IF$1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Blad1!$IF$2:$IF$22</c:f>
              <c:numCache>
                <c:formatCode>General</c:formatCode>
                <c:ptCount val="21"/>
                <c:pt idx="0">
                  <c:v>0</c:v>
                </c:pt>
                <c:pt idx="1">
                  <c:v>22</c:v>
                </c:pt>
                <c:pt idx="2">
                  <c:v>35</c:v>
                </c:pt>
                <c:pt idx="3">
                  <c:v>68</c:v>
                </c:pt>
                <c:pt idx="4">
                  <c:v>89</c:v>
                </c:pt>
                <c:pt idx="5">
                  <c:v>150</c:v>
                </c:pt>
                <c:pt idx="6">
                  <c:v>212</c:v>
                </c:pt>
                <c:pt idx="7">
                  <c:v>253</c:v>
                </c:pt>
                <c:pt idx="8">
                  <c:v>286</c:v>
                </c:pt>
                <c:pt idx="9">
                  <c:v>314</c:v>
                </c:pt>
                <c:pt idx="10">
                  <c:v>324</c:v>
                </c:pt>
                <c:pt idx="11">
                  <c:v>424</c:v>
                </c:pt>
                <c:pt idx="12">
                  <c:v>494</c:v>
                </c:pt>
                <c:pt idx="13">
                  <c:v>499</c:v>
                </c:pt>
                <c:pt idx="14">
                  <c:v>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4E-40B4-B417-FD4FE9DE1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Blad1!$IL$1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Blad1!$IL$2:$IL$22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46</c:v>
                </c:pt>
                <c:pt idx="3">
                  <c:v>68</c:v>
                </c:pt>
                <c:pt idx="4">
                  <c:v>177</c:v>
                </c:pt>
                <c:pt idx="5">
                  <c:v>209</c:v>
                </c:pt>
                <c:pt idx="6">
                  <c:v>246</c:v>
                </c:pt>
                <c:pt idx="7">
                  <c:v>283</c:v>
                </c:pt>
                <c:pt idx="8">
                  <c:v>321</c:v>
                </c:pt>
                <c:pt idx="9">
                  <c:v>397</c:v>
                </c:pt>
                <c:pt idx="10">
                  <c:v>448</c:v>
                </c:pt>
                <c:pt idx="11">
                  <c:v>502</c:v>
                </c:pt>
                <c:pt idx="12">
                  <c:v>508</c:v>
                </c:pt>
                <c:pt idx="13">
                  <c:v>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2B-4231-B654-AC47D27CABF9}"/>
            </c:ext>
          </c:extLst>
        </c:ser>
        <c:ser>
          <c:idx val="1"/>
          <c:order val="1"/>
          <c:tx>
            <c:strRef>
              <c:f>Blad1!$IR$1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Blad1!$IR$2:$IR$22</c:f>
              <c:numCache>
                <c:formatCode>General</c:formatCode>
                <c:ptCount val="21"/>
                <c:pt idx="0">
                  <c:v>0</c:v>
                </c:pt>
                <c:pt idx="1">
                  <c:v>19</c:v>
                </c:pt>
                <c:pt idx="2">
                  <c:v>70</c:v>
                </c:pt>
                <c:pt idx="3">
                  <c:v>104</c:v>
                </c:pt>
                <c:pt idx="4">
                  <c:v>133</c:v>
                </c:pt>
                <c:pt idx="5">
                  <c:v>159</c:v>
                </c:pt>
                <c:pt idx="6">
                  <c:v>198</c:v>
                </c:pt>
                <c:pt idx="7">
                  <c:v>206</c:v>
                </c:pt>
                <c:pt idx="8">
                  <c:v>295</c:v>
                </c:pt>
                <c:pt idx="9">
                  <c:v>308</c:v>
                </c:pt>
                <c:pt idx="10">
                  <c:v>389</c:v>
                </c:pt>
                <c:pt idx="11">
                  <c:v>399</c:v>
                </c:pt>
                <c:pt idx="12">
                  <c:v>405</c:v>
                </c:pt>
                <c:pt idx="13">
                  <c:v>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2B-4231-B654-AC47D27CA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Blad1!$IX$1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Blad1!$IX$2:$IX$22</c:f>
              <c:numCache>
                <c:formatCode>General</c:formatCode>
                <c:ptCount val="21"/>
                <c:pt idx="0">
                  <c:v>0</c:v>
                </c:pt>
                <c:pt idx="1">
                  <c:v>18</c:v>
                </c:pt>
                <c:pt idx="2">
                  <c:v>45</c:v>
                </c:pt>
                <c:pt idx="3">
                  <c:v>79</c:v>
                </c:pt>
                <c:pt idx="4">
                  <c:v>136</c:v>
                </c:pt>
                <c:pt idx="5">
                  <c:v>168</c:v>
                </c:pt>
                <c:pt idx="6">
                  <c:v>194</c:v>
                </c:pt>
                <c:pt idx="7">
                  <c:v>222</c:v>
                </c:pt>
                <c:pt idx="8">
                  <c:v>249</c:v>
                </c:pt>
                <c:pt idx="9">
                  <c:v>276</c:v>
                </c:pt>
                <c:pt idx="10">
                  <c:v>314</c:v>
                </c:pt>
                <c:pt idx="11">
                  <c:v>348</c:v>
                </c:pt>
                <c:pt idx="12">
                  <c:v>375</c:v>
                </c:pt>
                <c:pt idx="13">
                  <c:v>406</c:v>
                </c:pt>
                <c:pt idx="14">
                  <c:v>422</c:v>
                </c:pt>
                <c:pt idx="15">
                  <c:v>422</c:v>
                </c:pt>
                <c:pt idx="16">
                  <c:v>422</c:v>
                </c:pt>
                <c:pt idx="17">
                  <c:v>422</c:v>
                </c:pt>
                <c:pt idx="18">
                  <c:v>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71-4DBE-9F19-BFF80024FB4F}"/>
            </c:ext>
          </c:extLst>
        </c:ser>
        <c:ser>
          <c:idx val="1"/>
          <c:order val="1"/>
          <c:tx>
            <c:strRef>
              <c:f>Blad1!$JD$1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Blad1!$A$2:$A$22</c:f>
              <c:numCache>
                <c:formatCode>General</c:formatCode>
                <c:ptCount val="2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Blad1!$JD$2:$JD$22</c:f>
              <c:numCache>
                <c:formatCode>General</c:formatCode>
                <c:ptCount val="21"/>
                <c:pt idx="0">
                  <c:v>0</c:v>
                </c:pt>
                <c:pt idx="1">
                  <c:v>25</c:v>
                </c:pt>
                <c:pt idx="2">
                  <c:v>46</c:v>
                </c:pt>
                <c:pt idx="3">
                  <c:v>71</c:v>
                </c:pt>
                <c:pt idx="4">
                  <c:v>71</c:v>
                </c:pt>
                <c:pt idx="5">
                  <c:v>143</c:v>
                </c:pt>
                <c:pt idx="6">
                  <c:v>155</c:v>
                </c:pt>
                <c:pt idx="7">
                  <c:v>177</c:v>
                </c:pt>
                <c:pt idx="8">
                  <c:v>258</c:v>
                </c:pt>
                <c:pt idx="9">
                  <c:v>285</c:v>
                </c:pt>
                <c:pt idx="10">
                  <c:v>309</c:v>
                </c:pt>
                <c:pt idx="11">
                  <c:v>333</c:v>
                </c:pt>
                <c:pt idx="12">
                  <c:v>356</c:v>
                </c:pt>
                <c:pt idx="13">
                  <c:v>379</c:v>
                </c:pt>
                <c:pt idx="14">
                  <c:v>391</c:v>
                </c:pt>
                <c:pt idx="15">
                  <c:v>399</c:v>
                </c:pt>
                <c:pt idx="16">
                  <c:v>405</c:v>
                </c:pt>
                <c:pt idx="17">
                  <c:v>405</c:v>
                </c:pt>
                <c:pt idx="18">
                  <c:v>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71-4DBE-9F19-BFF80024F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Blad1!$JJ$1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Blad1!$JJ$2:$JJ$24</c:f>
              <c:numCache>
                <c:formatCode>General</c:formatCode>
                <c:ptCount val="23"/>
                <c:pt idx="0">
                  <c:v>0</c:v>
                </c:pt>
                <c:pt idx="1">
                  <c:v>32</c:v>
                </c:pt>
                <c:pt idx="2">
                  <c:v>66</c:v>
                </c:pt>
                <c:pt idx="3">
                  <c:v>143</c:v>
                </c:pt>
                <c:pt idx="4">
                  <c:v>176</c:v>
                </c:pt>
                <c:pt idx="5">
                  <c:v>203</c:v>
                </c:pt>
                <c:pt idx="6">
                  <c:v>226</c:v>
                </c:pt>
                <c:pt idx="7">
                  <c:v>274</c:v>
                </c:pt>
                <c:pt idx="8">
                  <c:v>304</c:v>
                </c:pt>
                <c:pt idx="9">
                  <c:v>337</c:v>
                </c:pt>
                <c:pt idx="10">
                  <c:v>360</c:v>
                </c:pt>
                <c:pt idx="11">
                  <c:v>378</c:v>
                </c:pt>
                <c:pt idx="12">
                  <c:v>394</c:v>
                </c:pt>
                <c:pt idx="13">
                  <c:v>408</c:v>
                </c:pt>
                <c:pt idx="14">
                  <c:v>422</c:v>
                </c:pt>
                <c:pt idx="15">
                  <c:v>443</c:v>
                </c:pt>
                <c:pt idx="16">
                  <c:v>460</c:v>
                </c:pt>
                <c:pt idx="17">
                  <c:v>471</c:v>
                </c:pt>
                <c:pt idx="18">
                  <c:v>484</c:v>
                </c:pt>
                <c:pt idx="19">
                  <c:v>493</c:v>
                </c:pt>
                <c:pt idx="20">
                  <c:v>497</c:v>
                </c:pt>
                <c:pt idx="21">
                  <c:v>497</c:v>
                </c:pt>
                <c:pt idx="22">
                  <c:v>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B-411E-A97A-8878FB623F91}"/>
            </c:ext>
          </c:extLst>
        </c:ser>
        <c:ser>
          <c:idx val="1"/>
          <c:order val="1"/>
          <c:tx>
            <c:strRef>
              <c:f>Blad1!$JP$1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Blad1!$JP$2:$JP$24</c:f>
              <c:numCache>
                <c:formatCode>General</c:formatCode>
                <c:ptCount val="23"/>
                <c:pt idx="0">
                  <c:v>0</c:v>
                </c:pt>
                <c:pt idx="1">
                  <c:v>36</c:v>
                </c:pt>
                <c:pt idx="2">
                  <c:v>79</c:v>
                </c:pt>
                <c:pt idx="3">
                  <c:v>95</c:v>
                </c:pt>
                <c:pt idx="4">
                  <c:v>167</c:v>
                </c:pt>
                <c:pt idx="5">
                  <c:v>191</c:v>
                </c:pt>
                <c:pt idx="6">
                  <c:v>196</c:v>
                </c:pt>
                <c:pt idx="7">
                  <c:v>201</c:v>
                </c:pt>
                <c:pt idx="8">
                  <c:v>221</c:v>
                </c:pt>
                <c:pt idx="9">
                  <c:v>226</c:v>
                </c:pt>
                <c:pt idx="10">
                  <c:v>232</c:v>
                </c:pt>
                <c:pt idx="11">
                  <c:v>237</c:v>
                </c:pt>
                <c:pt idx="12">
                  <c:v>252</c:v>
                </c:pt>
                <c:pt idx="13">
                  <c:v>265</c:v>
                </c:pt>
                <c:pt idx="14">
                  <c:v>452</c:v>
                </c:pt>
                <c:pt idx="15">
                  <c:v>490</c:v>
                </c:pt>
                <c:pt idx="16">
                  <c:v>540</c:v>
                </c:pt>
                <c:pt idx="17">
                  <c:v>553</c:v>
                </c:pt>
                <c:pt idx="18">
                  <c:v>553</c:v>
                </c:pt>
                <c:pt idx="19">
                  <c:v>553</c:v>
                </c:pt>
                <c:pt idx="20">
                  <c:v>553</c:v>
                </c:pt>
                <c:pt idx="21">
                  <c:v>553</c:v>
                </c:pt>
                <c:pt idx="22">
                  <c:v>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2B-411E-A97A-8878FB623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Blad1!$JV$1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Blad1!$JV$2:$JV$24</c:f>
              <c:numCache>
                <c:formatCode>General</c:formatCode>
                <c:ptCount val="23"/>
                <c:pt idx="0">
                  <c:v>0</c:v>
                </c:pt>
                <c:pt idx="1">
                  <c:v>56</c:v>
                </c:pt>
                <c:pt idx="2">
                  <c:v>96</c:v>
                </c:pt>
                <c:pt idx="3">
                  <c:v>126</c:v>
                </c:pt>
                <c:pt idx="4">
                  <c:v>174</c:v>
                </c:pt>
                <c:pt idx="5">
                  <c:v>202</c:v>
                </c:pt>
                <c:pt idx="6">
                  <c:v>284</c:v>
                </c:pt>
                <c:pt idx="7">
                  <c:v>314</c:v>
                </c:pt>
                <c:pt idx="8">
                  <c:v>342</c:v>
                </c:pt>
                <c:pt idx="9">
                  <c:v>416</c:v>
                </c:pt>
                <c:pt idx="10">
                  <c:v>446</c:v>
                </c:pt>
                <c:pt idx="11">
                  <c:v>475</c:v>
                </c:pt>
                <c:pt idx="12">
                  <c:v>488</c:v>
                </c:pt>
                <c:pt idx="13">
                  <c:v>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85-4923-8AF2-DB69A3926078}"/>
            </c:ext>
          </c:extLst>
        </c:ser>
        <c:ser>
          <c:idx val="1"/>
          <c:order val="1"/>
          <c:tx>
            <c:strRef>
              <c:f>Blad1!$KB$1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Blad1!$KB$2:$KB$24</c:f>
              <c:numCache>
                <c:formatCode>General</c:formatCode>
                <c:ptCount val="23"/>
                <c:pt idx="0">
                  <c:v>0</c:v>
                </c:pt>
                <c:pt idx="1">
                  <c:v>44</c:v>
                </c:pt>
                <c:pt idx="2">
                  <c:v>71</c:v>
                </c:pt>
                <c:pt idx="3">
                  <c:v>141</c:v>
                </c:pt>
                <c:pt idx="4">
                  <c:v>177</c:v>
                </c:pt>
                <c:pt idx="5">
                  <c:v>204</c:v>
                </c:pt>
                <c:pt idx="6">
                  <c:v>282</c:v>
                </c:pt>
                <c:pt idx="7">
                  <c:v>316</c:v>
                </c:pt>
                <c:pt idx="8">
                  <c:v>354</c:v>
                </c:pt>
                <c:pt idx="9">
                  <c:v>376</c:v>
                </c:pt>
                <c:pt idx="10">
                  <c:v>390</c:v>
                </c:pt>
                <c:pt idx="11">
                  <c:v>441</c:v>
                </c:pt>
                <c:pt idx="12">
                  <c:v>461</c:v>
                </c:pt>
                <c:pt idx="13">
                  <c:v>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85-4923-8AF2-DB69A3926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Blad1!$KH$1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Blad1!$KH$2:$KH$24</c:f>
              <c:numCache>
                <c:formatCode>General</c:formatCode>
                <c:ptCount val="23"/>
                <c:pt idx="0">
                  <c:v>0</c:v>
                </c:pt>
                <c:pt idx="1">
                  <c:v>28</c:v>
                </c:pt>
                <c:pt idx="2">
                  <c:v>152</c:v>
                </c:pt>
                <c:pt idx="3">
                  <c:v>170</c:v>
                </c:pt>
                <c:pt idx="4">
                  <c:v>192</c:v>
                </c:pt>
                <c:pt idx="5">
                  <c:v>224</c:v>
                </c:pt>
                <c:pt idx="6">
                  <c:v>255</c:v>
                </c:pt>
                <c:pt idx="7">
                  <c:v>315</c:v>
                </c:pt>
                <c:pt idx="8">
                  <c:v>348</c:v>
                </c:pt>
                <c:pt idx="9">
                  <c:v>388</c:v>
                </c:pt>
                <c:pt idx="10">
                  <c:v>421</c:v>
                </c:pt>
                <c:pt idx="11">
                  <c:v>449</c:v>
                </c:pt>
                <c:pt idx="12">
                  <c:v>480</c:v>
                </c:pt>
                <c:pt idx="13">
                  <c:v>505</c:v>
                </c:pt>
                <c:pt idx="14">
                  <c:v>526</c:v>
                </c:pt>
                <c:pt idx="15">
                  <c:v>526</c:v>
                </c:pt>
                <c:pt idx="16">
                  <c:v>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4-4C8A-B145-1D46B8ADE3E5}"/>
            </c:ext>
          </c:extLst>
        </c:ser>
        <c:ser>
          <c:idx val="1"/>
          <c:order val="1"/>
          <c:tx>
            <c:strRef>
              <c:f>Blad1!$KN$1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Blad1!$KN$2:$KN$24</c:f>
              <c:numCache>
                <c:formatCode>General</c:formatCode>
                <c:ptCount val="23"/>
                <c:pt idx="0">
                  <c:v>0</c:v>
                </c:pt>
                <c:pt idx="1">
                  <c:v>82</c:v>
                </c:pt>
                <c:pt idx="2">
                  <c:v>136</c:v>
                </c:pt>
                <c:pt idx="3">
                  <c:v>168</c:v>
                </c:pt>
                <c:pt idx="4">
                  <c:v>188</c:v>
                </c:pt>
                <c:pt idx="5">
                  <c:v>188</c:v>
                </c:pt>
                <c:pt idx="6">
                  <c:v>260</c:v>
                </c:pt>
                <c:pt idx="7">
                  <c:v>360</c:v>
                </c:pt>
                <c:pt idx="8">
                  <c:v>394</c:v>
                </c:pt>
                <c:pt idx="9">
                  <c:v>479</c:v>
                </c:pt>
                <c:pt idx="10">
                  <c:v>506</c:v>
                </c:pt>
                <c:pt idx="11">
                  <c:v>585</c:v>
                </c:pt>
                <c:pt idx="12">
                  <c:v>613</c:v>
                </c:pt>
                <c:pt idx="13">
                  <c:v>636</c:v>
                </c:pt>
                <c:pt idx="14">
                  <c:v>649</c:v>
                </c:pt>
                <c:pt idx="15">
                  <c:v>661</c:v>
                </c:pt>
                <c:pt idx="16">
                  <c:v>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34-4C8A-B145-1D46B8ADE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Blad1!$KT$1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Blad1!$KT$2:$KT$24</c:f>
              <c:numCache>
                <c:formatCode>General</c:formatCode>
                <c:ptCount val="23"/>
                <c:pt idx="0">
                  <c:v>0</c:v>
                </c:pt>
                <c:pt idx="1">
                  <c:v>8</c:v>
                </c:pt>
                <c:pt idx="2">
                  <c:v>22</c:v>
                </c:pt>
                <c:pt idx="3">
                  <c:v>50</c:v>
                </c:pt>
                <c:pt idx="4">
                  <c:v>107</c:v>
                </c:pt>
                <c:pt idx="5">
                  <c:v>143</c:v>
                </c:pt>
                <c:pt idx="6">
                  <c:v>170</c:v>
                </c:pt>
                <c:pt idx="7">
                  <c:v>218</c:v>
                </c:pt>
                <c:pt idx="8">
                  <c:v>244</c:v>
                </c:pt>
                <c:pt idx="9">
                  <c:v>267</c:v>
                </c:pt>
                <c:pt idx="10">
                  <c:v>300</c:v>
                </c:pt>
                <c:pt idx="11">
                  <c:v>342</c:v>
                </c:pt>
                <c:pt idx="12">
                  <c:v>386</c:v>
                </c:pt>
                <c:pt idx="13">
                  <c:v>409</c:v>
                </c:pt>
                <c:pt idx="14">
                  <c:v>445</c:v>
                </c:pt>
                <c:pt idx="15">
                  <c:v>477</c:v>
                </c:pt>
                <c:pt idx="16">
                  <c:v>493</c:v>
                </c:pt>
                <c:pt idx="17">
                  <c:v>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F3-4907-8E26-38EC20ED715D}"/>
            </c:ext>
          </c:extLst>
        </c:ser>
        <c:ser>
          <c:idx val="1"/>
          <c:order val="1"/>
          <c:tx>
            <c:strRef>
              <c:f>Blad1!$KZ$1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Blad1!$KZ$2:$KZ$24</c:f>
              <c:numCache>
                <c:formatCode>General</c:formatCode>
                <c:ptCount val="23"/>
                <c:pt idx="0">
                  <c:v>0</c:v>
                </c:pt>
                <c:pt idx="1">
                  <c:v>24</c:v>
                </c:pt>
                <c:pt idx="2">
                  <c:v>59</c:v>
                </c:pt>
                <c:pt idx="3">
                  <c:v>87</c:v>
                </c:pt>
                <c:pt idx="4">
                  <c:v>110</c:v>
                </c:pt>
                <c:pt idx="5">
                  <c:v>170</c:v>
                </c:pt>
                <c:pt idx="6">
                  <c:v>191</c:v>
                </c:pt>
                <c:pt idx="7">
                  <c:v>203</c:v>
                </c:pt>
                <c:pt idx="8">
                  <c:v>229</c:v>
                </c:pt>
                <c:pt idx="9">
                  <c:v>235</c:v>
                </c:pt>
                <c:pt idx="10">
                  <c:v>246</c:v>
                </c:pt>
                <c:pt idx="11">
                  <c:v>275</c:v>
                </c:pt>
                <c:pt idx="12">
                  <c:v>287</c:v>
                </c:pt>
                <c:pt idx="13">
                  <c:v>327</c:v>
                </c:pt>
                <c:pt idx="14">
                  <c:v>347</c:v>
                </c:pt>
                <c:pt idx="15">
                  <c:v>359</c:v>
                </c:pt>
                <c:pt idx="16">
                  <c:v>366</c:v>
                </c:pt>
                <c:pt idx="17">
                  <c:v>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F3-4907-8E26-38EC20ED7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Blad1!$LF$1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Blad1!$LF$2:$LF$24</c:f>
              <c:numCache>
                <c:formatCode>General</c:formatCode>
                <c:ptCount val="23"/>
                <c:pt idx="0">
                  <c:v>0</c:v>
                </c:pt>
                <c:pt idx="1">
                  <c:v>18</c:v>
                </c:pt>
                <c:pt idx="2">
                  <c:v>57</c:v>
                </c:pt>
                <c:pt idx="3">
                  <c:v>133</c:v>
                </c:pt>
                <c:pt idx="4">
                  <c:v>160</c:v>
                </c:pt>
                <c:pt idx="5">
                  <c:v>283</c:v>
                </c:pt>
                <c:pt idx="6">
                  <c:v>339</c:v>
                </c:pt>
                <c:pt idx="7">
                  <c:v>368</c:v>
                </c:pt>
                <c:pt idx="8">
                  <c:v>387</c:v>
                </c:pt>
                <c:pt idx="9">
                  <c:v>417</c:v>
                </c:pt>
                <c:pt idx="10">
                  <c:v>457</c:v>
                </c:pt>
                <c:pt idx="11">
                  <c:v>493</c:v>
                </c:pt>
                <c:pt idx="12">
                  <c:v>523</c:v>
                </c:pt>
                <c:pt idx="13">
                  <c:v>549</c:v>
                </c:pt>
                <c:pt idx="14">
                  <c:v>573</c:v>
                </c:pt>
                <c:pt idx="15">
                  <c:v>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9-4EBE-8503-0758C99BB7CE}"/>
            </c:ext>
          </c:extLst>
        </c:ser>
        <c:ser>
          <c:idx val="1"/>
          <c:order val="1"/>
          <c:tx>
            <c:strRef>
              <c:f>Blad1!$LL$1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Blad1!$LL$2:$LL$24</c:f>
              <c:numCache>
                <c:formatCode>General</c:formatCode>
                <c:ptCount val="23"/>
                <c:pt idx="0">
                  <c:v>0</c:v>
                </c:pt>
                <c:pt idx="1">
                  <c:v>70</c:v>
                </c:pt>
                <c:pt idx="2">
                  <c:v>93</c:v>
                </c:pt>
                <c:pt idx="3">
                  <c:v>171</c:v>
                </c:pt>
                <c:pt idx="4">
                  <c:v>210</c:v>
                </c:pt>
                <c:pt idx="5">
                  <c:v>225</c:v>
                </c:pt>
                <c:pt idx="6">
                  <c:v>235</c:v>
                </c:pt>
                <c:pt idx="7">
                  <c:v>246</c:v>
                </c:pt>
                <c:pt idx="8">
                  <c:v>302</c:v>
                </c:pt>
                <c:pt idx="9">
                  <c:v>302</c:v>
                </c:pt>
                <c:pt idx="10">
                  <c:v>310</c:v>
                </c:pt>
                <c:pt idx="11">
                  <c:v>355</c:v>
                </c:pt>
                <c:pt idx="12">
                  <c:v>384</c:v>
                </c:pt>
                <c:pt idx="13">
                  <c:v>401</c:v>
                </c:pt>
                <c:pt idx="14">
                  <c:v>409</c:v>
                </c:pt>
                <c:pt idx="15">
                  <c:v>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B9-4EBE-8503-0758C99BB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Blad1!$LR$1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Blad1!$LR$2:$LR$24</c:f>
              <c:numCache>
                <c:formatCode>General</c:formatCode>
                <c:ptCount val="23"/>
                <c:pt idx="0">
                  <c:v>0</c:v>
                </c:pt>
                <c:pt idx="1">
                  <c:v>20</c:v>
                </c:pt>
                <c:pt idx="2">
                  <c:v>128</c:v>
                </c:pt>
                <c:pt idx="3">
                  <c:v>165</c:v>
                </c:pt>
                <c:pt idx="4">
                  <c:v>236</c:v>
                </c:pt>
                <c:pt idx="5">
                  <c:v>278</c:v>
                </c:pt>
                <c:pt idx="6">
                  <c:v>318</c:v>
                </c:pt>
                <c:pt idx="7">
                  <c:v>378</c:v>
                </c:pt>
                <c:pt idx="8">
                  <c:v>413</c:v>
                </c:pt>
                <c:pt idx="9">
                  <c:v>451</c:v>
                </c:pt>
                <c:pt idx="10">
                  <c:v>483</c:v>
                </c:pt>
                <c:pt idx="11">
                  <c:v>513</c:v>
                </c:pt>
                <c:pt idx="12">
                  <c:v>547</c:v>
                </c:pt>
                <c:pt idx="13">
                  <c:v>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85-4890-AB0F-B654C8EED7CA}"/>
            </c:ext>
          </c:extLst>
        </c:ser>
        <c:ser>
          <c:idx val="1"/>
          <c:order val="1"/>
          <c:tx>
            <c:strRef>
              <c:f>Blad1!$LX$1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Blad1!$LX$2:$LX$24</c:f>
              <c:numCache>
                <c:formatCode>General</c:formatCode>
                <c:ptCount val="23"/>
                <c:pt idx="0">
                  <c:v>0</c:v>
                </c:pt>
                <c:pt idx="1">
                  <c:v>34</c:v>
                </c:pt>
                <c:pt idx="2">
                  <c:v>62</c:v>
                </c:pt>
                <c:pt idx="3">
                  <c:v>75</c:v>
                </c:pt>
                <c:pt idx="4">
                  <c:v>147</c:v>
                </c:pt>
                <c:pt idx="5">
                  <c:v>207</c:v>
                </c:pt>
                <c:pt idx="6">
                  <c:v>254</c:v>
                </c:pt>
                <c:pt idx="7">
                  <c:v>289</c:v>
                </c:pt>
                <c:pt idx="8">
                  <c:v>310</c:v>
                </c:pt>
                <c:pt idx="9">
                  <c:v>328</c:v>
                </c:pt>
                <c:pt idx="10">
                  <c:v>342</c:v>
                </c:pt>
                <c:pt idx="11">
                  <c:v>350</c:v>
                </c:pt>
                <c:pt idx="12">
                  <c:v>428</c:v>
                </c:pt>
                <c:pt idx="13">
                  <c:v>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85-4890-AB0F-B654C8EED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Blad1!$MD$1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Blad1!$MD$2:$MD$24</c:f>
              <c:numCache>
                <c:formatCode>General</c:formatCode>
                <c:ptCount val="23"/>
                <c:pt idx="0">
                  <c:v>0</c:v>
                </c:pt>
                <c:pt idx="1">
                  <c:v>28</c:v>
                </c:pt>
                <c:pt idx="2">
                  <c:v>74</c:v>
                </c:pt>
                <c:pt idx="3">
                  <c:v>104</c:v>
                </c:pt>
                <c:pt idx="4">
                  <c:v>135</c:v>
                </c:pt>
                <c:pt idx="5">
                  <c:v>171</c:v>
                </c:pt>
                <c:pt idx="6">
                  <c:v>225</c:v>
                </c:pt>
                <c:pt idx="7">
                  <c:v>276</c:v>
                </c:pt>
                <c:pt idx="8">
                  <c:v>317</c:v>
                </c:pt>
                <c:pt idx="9">
                  <c:v>347</c:v>
                </c:pt>
                <c:pt idx="10">
                  <c:v>379</c:v>
                </c:pt>
                <c:pt idx="11">
                  <c:v>421</c:v>
                </c:pt>
                <c:pt idx="12">
                  <c:v>447</c:v>
                </c:pt>
                <c:pt idx="13">
                  <c:v>472</c:v>
                </c:pt>
                <c:pt idx="14">
                  <c:v>492</c:v>
                </c:pt>
                <c:pt idx="15">
                  <c:v>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0-457C-AF6E-E218DD36EB1D}"/>
            </c:ext>
          </c:extLst>
        </c:ser>
        <c:ser>
          <c:idx val="1"/>
          <c:order val="1"/>
          <c:tx>
            <c:strRef>
              <c:f>Blad1!$MJ$1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Blad1!$MJ$2:$MJ$24</c:f>
              <c:numCache>
                <c:formatCode>General</c:formatCode>
                <c:ptCount val="23"/>
                <c:pt idx="0">
                  <c:v>0</c:v>
                </c:pt>
                <c:pt idx="1">
                  <c:v>86</c:v>
                </c:pt>
                <c:pt idx="2">
                  <c:v>104</c:v>
                </c:pt>
                <c:pt idx="3">
                  <c:v>172</c:v>
                </c:pt>
                <c:pt idx="4">
                  <c:v>216</c:v>
                </c:pt>
                <c:pt idx="5">
                  <c:v>233</c:v>
                </c:pt>
                <c:pt idx="6">
                  <c:v>321</c:v>
                </c:pt>
                <c:pt idx="7">
                  <c:v>356</c:v>
                </c:pt>
                <c:pt idx="8">
                  <c:v>387</c:v>
                </c:pt>
                <c:pt idx="9">
                  <c:v>400</c:v>
                </c:pt>
                <c:pt idx="10">
                  <c:v>412</c:v>
                </c:pt>
                <c:pt idx="11">
                  <c:v>423</c:v>
                </c:pt>
                <c:pt idx="12">
                  <c:v>462</c:v>
                </c:pt>
                <c:pt idx="13">
                  <c:v>475</c:v>
                </c:pt>
                <c:pt idx="14">
                  <c:v>485</c:v>
                </c:pt>
                <c:pt idx="15">
                  <c:v>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0-457C-AF6E-E218DD36E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Blad1!$MP$1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Blad1!$MP$2:$MP$24</c:f>
              <c:numCache>
                <c:formatCode>General</c:formatCode>
                <c:ptCount val="23"/>
                <c:pt idx="0">
                  <c:v>0</c:v>
                </c:pt>
                <c:pt idx="1">
                  <c:v>26</c:v>
                </c:pt>
                <c:pt idx="2">
                  <c:v>47</c:v>
                </c:pt>
                <c:pt idx="3">
                  <c:v>75</c:v>
                </c:pt>
                <c:pt idx="4">
                  <c:v>108</c:v>
                </c:pt>
                <c:pt idx="5">
                  <c:v>140</c:v>
                </c:pt>
                <c:pt idx="6">
                  <c:v>164</c:v>
                </c:pt>
                <c:pt idx="7">
                  <c:v>220</c:v>
                </c:pt>
                <c:pt idx="8">
                  <c:v>244</c:v>
                </c:pt>
                <c:pt idx="9">
                  <c:v>282</c:v>
                </c:pt>
                <c:pt idx="10">
                  <c:v>345</c:v>
                </c:pt>
                <c:pt idx="11">
                  <c:v>381</c:v>
                </c:pt>
                <c:pt idx="12">
                  <c:v>404</c:v>
                </c:pt>
                <c:pt idx="13">
                  <c:v>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7D-429C-97A5-A1E7912C96C7}"/>
            </c:ext>
          </c:extLst>
        </c:ser>
        <c:ser>
          <c:idx val="1"/>
          <c:order val="1"/>
          <c:tx>
            <c:strRef>
              <c:f>Blad1!$MV$1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Blad1!$MV$2:$MV$24</c:f>
              <c:numCache>
                <c:formatCode>General</c:formatCode>
                <c:ptCount val="23"/>
                <c:pt idx="0">
                  <c:v>0</c:v>
                </c:pt>
                <c:pt idx="1">
                  <c:v>21</c:v>
                </c:pt>
                <c:pt idx="2">
                  <c:v>51</c:v>
                </c:pt>
                <c:pt idx="3">
                  <c:v>129</c:v>
                </c:pt>
                <c:pt idx="4">
                  <c:v>163</c:v>
                </c:pt>
                <c:pt idx="5">
                  <c:v>199</c:v>
                </c:pt>
                <c:pt idx="6">
                  <c:v>271</c:v>
                </c:pt>
                <c:pt idx="7">
                  <c:v>379</c:v>
                </c:pt>
                <c:pt idx="8">
                  <c:v>399</c:v>
                </c:pt>
                <c:pt idx="9">
                  <c:v>433</c:v>
                </c:pt>
                <c:pt idx="10">
                  <c:v>487</c:v>
                </c:pt>
                <c:pt idx="11">
                  <c:v>519</c:v>
                </c:pt>
                <c:pt idx="12">
                  <c:v>549</c:v>
                </c:pt>
                <c:pt idx="13">
                  <c:v>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7D-429C-97A5-A1E7912C9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Blad1!$NB$1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Blad1!$NB$2:$NB$24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70</c:v>
                </c:pt>
                <c:pt idx="3">
                  <c:v>100</c:v>
                </c:pt>
                <c:pt idx="4">
                  <c:v>178</c:v>
                </c:pt>
                <c:pt idx="5">
                  <c:v>191</c:v>
                </c:pt>
                <c:pt idx="6">
                  <c:v>203</c:v>
                </c:pt>
                <c:pt idx="7">
                  <c:v>215</c:v>
                </c:pt>
                <c:pt idx="8">
                  <c:v>229</c:v>
                </c:pt>
                <c:pt idx="9">
                  <c:v>301</c:v>
                </c:pt>
                <c:pt idx="10">
                  <c:v>382</c:v>
                </c:pt>
                <c:pt idx="11">
                  <c:v>422</c:v>
                </c:pt>
                <c:pt idx="12">
                  <c:v>429</c:v>
                </c:pt>
                <c:pt idx="13">
                  <c:v>453</c:v>
                </c:pt>
                <c:pt idx="14">
                  <c:v>483</c:v>
                </c:pt>
                <c:pt idx="15">
                  <c:v>492</c:v>
                </c:pt>
                <c:pt idx="16">
                  <c:v>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F-420D-823C-0604E3E022CE}"/>
            </c:ext>
          </c:extLst>
        </c:ser>
        <c:ser>
          <c:idx val="1"/>
          <c:order val="1"/>
          <c:tx>
            <c:strRef>
              <c:f>Blad1!$NH$1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Blad1!$NH$2:$NH$24</c:f>
              <c:numCache>
                <c:formatCode>General</c:formatCode>
                <c:ptCount val="23"/>
                <c:pt idx="0">
                  <c:v>0</c:v>
                </c:pt>
                <c:pt idx="1">
                  <c:v>11</c:v>
                </c:pt>
                <c:pt idx="2">
                  <c:v>37</c:v>
                </c:pt>
                <c:pt idx="3">
                  <c:v>61</c:v>
                </c:pt>
                <c:pt idx="4">
                  <c:v>88</c:v>
                </c:pt>
                <c:pt idx="5">
                  <c:v>138</c:v>
                </c:pt>
                <c:pt idx="6">
                  <c:v>168</c:v>
                </c:pt>
                <c:pt idx="7">
                  <c:v>202</c:v>
                </c:pt>
                <c:pt idx="8">
                  <c:v>221</c:v>
                </c:pt>
                <c:pt idx="9">
                  <c:v>249</c:v>
                </c:pt>
                <c:pt idx="10">
                  <c:v>275</c:v>
                </c:pt>
                <c:pt idx="11">
                  <c:v>323</c:v>
                </c:pt>
                <c:pt idx="12">
                  <c:v>352</c:v>
                </c:pt>
                <c:pt idx="13">
                  <c:v>406</c:v>
                </c:pt>
                <c:pt idx="14">
                  <c:v>428</c:v>
                </c:pt>
                <c:pt idx="15">
                  <c:v>438</c:v>
                </c:pt>
                <c:pt idx="16">
                  <c:v>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CF-420D-823C-0604E3E02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Blad1!$NN$1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Blad1!$NN$2:$NN$24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92</c:v>
                </c:pt>
                <c:pt idx="3">
                  <c:v>120</c:v>
                </c:pt>
                <c:pt idx="4">
                  <c:v>175</c:v>
                </c:pt>
                <c:pt idx="5">
                  <c:v>244</c:v>
                </c:pt>
                <c:pt idx="6">
                  <c:v>292</c:v>
                </c:pt>
                <c:pt idx="7">
                  <c:v>313</c:v>
                </c:pt>
                <c:pt idx="8">
                  <c:v>334</c:v>
                </c:pt>
                <c:pt idx="9">
                  <c:v>350</c:v>
                </c:pt>
                <c:pt idx="10">
                  <c:v>362</c:v>
                </c:pt>
                <c:pt idx="11">
                  <c:v>367</c:v>
                </c:pt>
                <c:pt idx="12">
                  <c:v>398</c:v>
                </c:pt>
                <c:pt idx="13">
                  <c:v>415</c:v>
                </c:pt>
                <c:pt idx="14">
                  <c:v>449</c:v>
                </c:pt>
                <c:pt idx="15">
                  <c:v>463</c:v>
                </c:pt>
                <c:pt idx="16">
                  <c:v>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D-4561-B303-8F1F1A9C2379}"/>
            </c:ext>
          </c:extLst>
        </c:ser>
        <c:ser>
          <c:idx val="1"/>
          <c:order val="1"/>
          <c:tx>
            <c:strRef>
              <c:f>Blad1!$NT$1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Blad1!$NT$2:$NT$24</c:f>
              <c:numCache>
                <c:formatCode>General</c:formatCode>
                <c:ptCount val="23"/>
                <c:pt idx="0">
                  <c:v>0</c:v>
                </c:pt>
                <c:pt idx="1">
                  <c:v>18</c:v>
                </c:pt>
                <c:pt idx="2">
                  <c:v>46</c:v>
                </c:pt>
                <c:pt idx="3">
                  <c:v>67</c:v>
                </c:pt>
                <c:pt idx="4">
                  <c:v>82</c:v>
                </c:pt>
                <c:pt idx="5">
                  <c:v>127</c:v>
                </c:pt>
                <c:pt idx="6">
                  <c:v>157</c:v>
                </c:pt>
                <c:pt idx="7">
                  <c:v>183</c:v>
                </c:pt>
                <c:pt idx="8">
                  <c:v>209</c:v>
                </c:pt>
                <c:pt idx="9">
                  <c:v>230</c:v>
                </c:pt>
                <c:pt idx="10">
                  <c:v>270</c:v>
                </c:pt>
                <c:pt idx="11">
                  <c:v>301</c:v>
                </c:pt>
                <c:pt idx="12">
                  <c:v>335</c:v>
                </c:pt>
                <c:pt idx="13">
                  <c:v>374</c:v>
                </c:pt>
                <c:pt idx="14">
                  <c:v>399</c:v>
                </c:pt>
                <c:pt idx="15">
                  <c:v>413</c:v>
                </c:pt>
                <c:pt idx="16">
                  <c:v>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7D-4561-B303-8F1F1A9C2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Blad1!$NZ$1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Blad1!$NZ$2:$NZ$24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22</c:v>
                </c:pt>
                <c:pt idx="3">
                  <c:v>51</c:v>
                </c:pt>
                <c:pt idx="4">
                  <c:v>105</c:v>
                </c:pt>
                <c:pt idx="5">
                  <c:v>105</c:v>
                </c:pt>
                <c:pt idx="6">
                  <c:v>139</c:v>
                </c:pt>
                <c:pt idx="7">
                  <c:v>172</c:v>
                </c:pt>
                <c:pt idx="8">
                  <c:v>211</c:v>
                </c:pt>
                <c:pt idx="9">
                  <c:v>259</c:v>
                </c:pt>
                <c:pt idx="10">
                  <c:v>297</c:v>
                </c:pt>
                <c:pt idx="11">
                  <c:v>327</c:v>
                </c:pt>
                <c:pt idx="12">
                  <c:v>327</c:v>
                </c:pt>
                <c:pt idx="13">
                  <c:v>414</c:v>
                </c:pt>
                <c:pt idx="14">
                  <c:v>472</c:v>
                </c:pt>
                <c:pt idx="15">
                  <c:v>482</c:v>
                </c:pt>
                <c:pt idx="16">
                  <c:v>482</c:v>
                </c:pt>
                <c:pt idx="17">
                  <c:v>482</c:v>
                </c:pt>
                <c:pt idx="18">
                  <c:v>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BC-4EA5-8CDB-14C7EB78B1FB}"/>
            </c:ext>
          </c:extLst>
        </c:ser>
        <c:ser>
          <c:idx val="1"/>
          <c:order val="1"/>
          <c:tx>
            <c:strRef>
              <c:f>Blad1!$OF$1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Blad1!$OF$2:$OF$24</c:f>
              <c:numCache>
                <c:formatCode>General</c:formatCode>
                <c:ptCount val="23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61</c:v>
                </c:pt>
                <c:pt idx="4">
                  <c:v>87</c:v>
                </c:pt>
                <c:pt idx="5">
                  <c:v>112</c:v>
                </c:pt>
                <c:pt idx="6">
                  <c:v>132</c:v>
                </c:pt>
                <c:pt idx="7">
                  <c:v>174</c:v>
                </c:pt>
                <c:pt idx="8">
                  <c:v>259</c:v>
                </c:pt>
                <c:pt idx="9">
                  <c:v>303</c:v>
                </c:pt>
                <c:pt idx="10">
                  <c:v>329</c:v>
                </c:pt>
                <c:pt idx="11">
                  <c:v>357</c:v>
                </c:pt>
                <c:pt idx="12">
                  <c:v>384</c:v>
                </c:pt>
                <c:pt idx="13">
                  <c:v>400</c:v>
                </c:pt>
                <c:pt idx="14">
                  <c:v>427</c:v>
                </c:pt>
                <c:pt idx="15">
                  <c:v>436</c:v>
                </c:pt>
                <c:pt idx="16">
                  <c:v>442</c:v>
                </c:pt>
                <c:pt idx="17">
                  <c:v>442</c:v>
                </c:pt>
                <c:pt idx="18">
                  <c:v>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BC-4EA5-8CDB-14C7EB78B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Blad1!$OL$2:$OL$24</c:f>
              <c:numCache>
                <c:formatCode>General</c:formatCode>
                <c:ptCount val="23"/>
                <c:pt idx="0">
                  <c:v>0</c:v>
                </c:pt>
                <c:pt idx="1">
                  <c:v>70</c:v>
                </c:pt>
                <c:pt idx="2">
                  <c:v>91</c:v>
                </c:pt>
                <c:pt idx="3">
                  <c:v>106</c:v>
                </c:pt>
                <c:pt idx="4">
                  <c:v>119</c:v>
                </c:pt>
                <c:pt idx="5">
                  <c:v>205</c:v>
                </c:pt>
                <c:pt idx="6">
                  <c:v>269</c:v>
                </c:pt>
                <c:pt idx="7">
                  <c:v>348</c:v>
                </c:pt>
                <c:pt idx="8">
                  <c:v>382</c:v>
                </c:pt>
                <c:pt idx="9">
                  <c:v>412</c:v>
                </c:pt>
                <c:pt idx="10">
                  <c:v>438</c:v>
                </c:pt>
                <c:pt idx="11">
                  <c:v>453</c:v>
                </c:pt>
                <c:pt idx="12">
                  <c:v>468</c:v>
                </c:pt>
                <c:pt idx="13">
                  <c:v>478</c:v>
                </c:pt>
                <c:pt idx="14">
                  <c:v>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3-45E8-AD49-8729D6CA421C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Blad1!$OR$2:$OR$24</c:f>
              <c:numCache>
                <c:formatCode>General</c:formatCode>
                <c:ptCount val="23"/>
                <c:pt idx="0">
                  <c:v>0</c:v>
                </c:pt>
                <c:pt idx="1">
                  <c:v>34</c:v>
                </c:pt>
                <c:pt idx="2">
                  <c:v>66</c:v>
                </c:pt>
                <c:pt idx="3">
                  <c:v>102</c:v>
                </c:pt>
                <c:pt idx="4">
                  <c:v>121</c:v>
                </c:pt>
                <c:pt idx="5">
                  <c:v>149</c:v>
                </c:pt>
                <c:pt idx="6">
                  <c:v>178</c:v>
                </c:pt>
                <c:pt idx="7">
                  <c:v>204</c:v>
                </c:pt>
                <c:pt idx="8">
                  <c:v>246</c:v>
                </c:pt>
                <c:pt idx="9">
                  <c:v>284</c:v>
                </c:pt>
                <c:pt idx="10">
                  <c:v>320</c:v>
                </c:pt>
                <c:pt idx="11">
                  <c:v>346</c:v>
                </c:pt>
                <c:pt idx="12">
                  <c:v>371</c:v>
                </c:pt>
                <c:pt idx="13">
                  <c:v>434</c:v>
                </c:pt>
                <c:pt idx="14">
                  <c:v>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3-45E8-AD49-8729D6CA4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Blad1!$OX$2:$OX$24</c:f>
              <c:numCache>
                <c:formatCode>General</c:formatCode>
                <c:ptCount val="23"/>
                <c:pt idx="0">
                  <c:v>0</c:v>
                </c:pt>
                <c:pt idx="1">
                  <c:v>10</c:v>
                </c:pt>
                <c:pt idx="2">
                  <c:v>21</c:v>
                </c:pt>
                <c:pt idx="3">
                  <c:v>69</c:v>
                </c:pt>
                <c:pt idx="4">
                  <c:v>135</c:v>
                </c:pt>
                <c:pt idx="5">
                  <c:v>199</c:v>
                </c:pt>
                <c:pt idx="6">
                  <c:v>199</c:v>
                </c:pt>
                <c:pt idx="7">
                  <c:v>287</c:v>
                </c:pt>
                <c:pt idx="8">
                  <c:v>319</c:v>
                </c:pt>
                <c:pt idx="9">
                  <c:v>353</c:v>
                </c:pt>
                <c:pt idx="10">
                  <c:v>435</c:v>
                </c:pt>
                <c:pt idx="11">
                  <c:v>444</c:v>
                </c:pt>
                <c:pt idx="12">
                  <c:v>504</c:v>
                </c:pt>
                <c:pt idx="13">
                  <c:v>520</c:v>
                </c:pt>
                <c:pt idx="14">
                  <c:v>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3-494F-8DAA-B0D77FD3C3AD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Blad1!$PD$2:$PD$24</c:f>
              <c:numCache>
                <c:formatCode>General</c:formatCode>
                <c:ptCount val="23"/>
                <c:pt idx="0">
                  <c:v>0</c:v>
                </c:pt>
                <c:pt idx="1">
                  <c:v>32</c:v>
                </c:pt>
                <c:pt idx="2">
                  <c:v>53</c:v>
                </c:pt>
                <c:pt idx="3">
                  <c:v>87</c:v>
                </c:pt>
                <c:pt idx="4">
                  <c:v>113</c:v>
                </c:pt>
                <c:pt idx="5">
                  <c:v>173</c:v>
                </c:pt>
                <c:pt idx="6">
                  <c:v>214</c:v>
                </c:pt>
                <c:pt idx="7">
                  <c:v>286</c:v>
                </c:pt>
                <c:pt idx="8">
                  <c:v>310</c:v>
                </c:pt>
                <c:pt idx="9">
                  <c:v>334</c:v>
                </c:pt>
                <c:pt idx="10">
                  <c:v>354</c:v>
                </c:pt>
                <c:pt idx="11">
                  <c:v>396</c:v>
                </c:pt>
                <c:pt idx="12">
                  <c:v>428</c:v>
                </c:pt>
                <c:pt idx="13">
                  <c:v>439</c:v>
                </c:pt>
                <c:pt idx="14">
                  <c:v>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83-494F-8DAA-B0D77FD3C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Blad1!$PJ$2:$PJ$24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76</c:v>
                </c:pt>
                <c:pt idx="3">
                  <c:v>114</c:v>
                </c:pt>
                <c:pt idx="4">
                  <c:v>170</c:v>
                </c:pt>
                <c:pt idx="5">
                  <c:v>243</c:v>
                </c:pt>
                <c:pt idx="6">
                  <c:v>266</c:v>
                </c:pt>
                <c:pt idx="7">
                  <c:v>292</c:v>
                </c:pt>
                <c:pt idx="8">
                  <c:v>306</c:v>
                </c:pt>
                <c:pt idx="9">
                  <c:v>391</c:v>
                </c:pt>
                <c:pt idx="10">
                  <c:v>437</c:v>
                </c:pt>
                <c:pt idx="11">
                  <c:v>447</c:v>
                </c:pt>
                <c:pt idx="12">
                  <c:v>467</c:v>
                </c:pt>
                <c:pt idx="13">
                  <c:v>481</c:v>
                </c:pt>
                <c:pt idx="14">
                  <c:v>516</c:v>
                </c:pt>
                <c:pt idx="15">
                  <c:v>534</c:v>
                </c:pt>
                <c:pt idx="16">
                  <c:v>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A6-4331-AC87-C837D77C6EB1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Blad1!$PP$2:$PP$24</c:f>
              <c:numCache>
                <c:formatCode>General</c:formatCode>
                <c:ptCount val="23"/>
                <c:pt idx="0">
                  <c:v>0</c:v>
                </c:pt>
                <c:pt idx="1">
                  <c:v>14</c:v>
                </c:pt>
                <c:pt idx="2">
                  <c:v>60</c:v>
                </c:pt>
                <c:pt idx="3">
                  <c:v>84</c:v>
                </c:pt>
                <c:pt idx="4">
                  <c:v>166</c:v>
                </c:pt>
                <c:pt idx="5">
                  <c:v>226</c:v>
                </c:pt>
                <c:pt idx="6">
                  <c:v>265</c:v>
                </c:pt>
                <c:pt idx="7">
                  <c:v>295</c:v>
                </c:pt>
                <c:pt idx="8">
                  <c:v>335</c:v>
                </c:pt>
                <c:pt idx="9">
                  <c:v>371</c:v>
                </c:pt>
                <c:pt idx="10">
                  <c:v>398</c:v>
                </c:pt>
                <c:pt idx="11">
                  <c:v>420</c:v>
                </c:pt>
                <c:pt idx="12">
                  <c:v>438</c:v>
                </c:pt>
                <c:pt idx="13">
                  <c:v>458</c:v>
                </c:pt>
                <c:pt idx="14">
                  <c:v>465</c:v>
                </c:pt>
                <c:pt idx="15">
                  <c:v>471</c:v>
                </c:pt>
                <c:pt idx="16">
                  <c:v>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A6-4331-AC87-C837D77C6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Blad1!$PV$2:$PV$24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67</c:v>
                </c:pt>
                <c:pt idx="3">
                  <c:v>163</c:v>
                </c:pt>
                <c:pt idx="4">
                  <c:v>209</c:v>
                </c:pt>
                <c:pt idx="5">
                  <c:v>285</c:v>
                </c:pt>
                <c:pt idx="6">
                  <c:v>324</c:v>
                </c:pt>
                <c:pt idx="7">
                  <c:v>352</c:v>
                </c:pt>
                <c:pt idx="8">
                  <c:v>393</c:v>
                </c:pt>
                <c:pt idx="9">
                  <c:v>426</c:v>
                </c:pt>
                <c:pt idx="10">
                  <c:v>450</c:v>
                </c:pt>
                <c:pt idx="11">
                  <c:v>522</c:v>
                </c:pt>
                <c:pt idx="12">
                  <c:v>560</c:v>
                </c:pt>
                <c:pt idx="13">
                  <c:v>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AB-4716-B520-EE5CC46EE584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Blad1!$QB$2:$QB$24</c:f>
              <c:numCache>
                <c:formatCode>General</c:formatCode>
                <c:ptCount val="23"/>
                <c:pt idx="0">
                  <c:v>0</c:v>
                </c:pt>
                <c:pt idx="1">
                  <c:v>30</c:v>
                </c:pt>
                <c:pt idx="2">
                  <c:v>96</c:v>
                </c:pt>
                <c:pt idx="3">
                  <c:v>126</c:v>
                </c:pt>
                <c:pt idx="4">
                  <c:v>171</c:v>
                </c:pt>
                <c:pt idx="5">
                  <c:v>206</c:v>
                </c:pt>
                <c:pt idx="6">
                  <c:v>236</c:v>
                </c:pt>
                <c:pt idx="7">
                  <c:v>270</c:v>
                </c:pt>
                <c:pt idx="8">
                  <c:v>295</c:v>
                </c:pt>
                <c:pt idx="9">
                  <c:v>339</c:v>
                </c:pt>
                <c:pt idx="10">
                  <c:v>402</c:v>
                </c:pt>
                <c:pt idx="11">
                  <c:v>468</c:v>
                </c:pt>
                <c:pt idx="12">
                  <c:v>486</c:v>
                </c:pt>
                <c:pt idx="13">
                  <c:v>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AB-4716-B520-EE5CC46EE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Blad1!$QH$2:$QH$24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73</c:v>
                </c:pt>
                <c:pt idx="3">
                  <c:v>113</c:v>
                </c:pt>
                <c:pt idx="4">
                  <c:v>127</c:v>
                </c:pt>
                <c:pt idx="5">
                  <c:v>209</c:v>
                </c:pt>
                <c:pt idx="6">
                  <c:v>241</c:v>
                </c:pt>
                <c:pt idx="7">
                  <c:v>275</c:v>
                </c:pt>
                <c:pt idx="8">
                  <c:v>353</c:v>
                </c:pt>
                <c:pt idx="9">
                  <c:v>379</c:v>
                </c:pt>
                <c:pt idx="10">
                  <c:v>408</c:v>
                </c:pt>
                <c:pt idx="11">
                  <c:v>433</c:v>
                </c:pt>
                <c:pt idx="12">
                  <c:v>439</c:v>
                </c:pt>
                <c:pt idx="13">
                  <c:v>464</c:v>
                </c:pt>
                <c:pt idx="14">
                  <c:v>482</c:v>
                </c:pt>
                <c:pt idx="15">
                  <c:v>488</c:v>
                </c:pt>
                <c:pt idx="16">
                  <c:v>493</c:v>
                </c:pt>
                <c:pt idx="17">
                  <c:v>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5F-4F1B-B66B-0106B566AE4B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Blad1!$QN$2:$QN$24</c:f>
              <c:numCache>
                <c:formatCode>General</c:formatCode>
                <c:ptCount val="23"/>
                <c:pt idx="0">
                  <c:v>0</c:v>
                </c:pt>
                <c:pt idx="1">
                  <c:v>16</c:v>
                </c:pt>
                <c:pt idx="2">
                  <c:v>63</c:v>
                </c:pt>
                <c:pt idx="3">
                  <c:v>102</c:v>
                </c:pt>
                <c:pt idx="4">
                  <c:v>130</c:v>
                </c:pt>
                <c:pt idx="5">
                  <c:v>184</c:v>
                </c:pt>
                <c:pt idx="6">
                  <c:v>244</c:v>
                </c:pt>
                <c:pt idx="7">
                  <c:v>324</c:v>
                </c:pt>
                <c:pt idx="8">
                  <c:v>358</c:v>
                </c:pt>
                <c:pt idx="9">
                  <c:v>392</c:v>
                </c:pt>
                <c:pt idx="10">
                  <c:v>420</c:v>
                </c:pt>
                <c:pt idx="11">
                  <c:v>449</c:v>
                </c:pt>
                <c:pt idx="12">
                  <c:v>468</c:v>
                </c:pt>
                <c:pt idx="13">
                  <c:v>491</c:v>
                </c:pt>
                <c:pt idx="14">
                  <c:v>501</c:v>
                </c:pt>
                <c:pt idx="15">
                  <c:v>507</c:v>
                </c:pt>
                <c:pt idx="16">
                  <c:v>512</c:v>
                </c:pt>
                <c:pt idx="17">
                  <c:v>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5F-4F1B-B66B-0106B566A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Blad1!$QT$2:$QT$24</c:f>
              <c:numCache>
                <c:formatCode>General</c:formatCode>
                <c:ptCount val="23"/>
                <c:pt idx="0">
                  <c:v>0</c:v>
                </c:pt>
                <c:pt idx="1">
                  <c:v>32</c:v>
                </c:pt>
                <c:pt idx="2">
                  <c:v>66</c:v>
                </c:pt>
                <c:pt idx="3">
                  <c:v>104</c:v>
                </c:pt>
                <c:pt idx="4">
                  <c:v>104</c:v>
                </c:pt>
                <c:pt idx="5">
                  <c:v>238</c:v>
                </c:pt>
                <c:pt idx="6">
                  <c:v>246</c:v>
                </c:pt>
                <c:pt idx="7">
                  <c:v>312</c:v>
                </c:pt>
                <c:pt idx="8">
                  <c:v>346</c:v>
                </c:pt>
                <c:pt idx="9">
                  <c:v>421</c:v>
                </c:pt>
                <c:pt idx="10">
                  <c:v>428</c:v>
                </c:pt>
                <c:pt idx="11">
                  <c:v>491</c:v>
                </c:pt>
                <c:pt idx="12">
                  <c:v>527</c:v>
                </c:pt>
                <c:pt idx="13">
                  <c:v>545</c:v>
                </c:pt>
                <c:pt idx="14">
                  <c:v>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46-4C81-80EA-7B1031EB0845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Blad1!$QZ$2:$QZ$24</c:f>
              <c:numCache>
                <c:formatCode>General</c:formatCode>
                <c:ptCount val="23"/>
                <c:pt idx="0">
                  <c:v>0</c:v>
                </c:pt>
                <c:pt idx="1">
                  <c:v>34</c:v>
                </c:pt>
                <c:pt idx="2">
                  <c:v>111</c:v>
                </c:pt>
                <c:pt idx="3">
                  <c:v>140</c:v>
                </c:pt>
                <c:pt idx="4">
                  <c:v>167</c:v>
                </c:pt>
                <c:pt idx="5">
                  <c:v>213</c:v>
                </c:pt>
                <c:pt idx="6">
                  <c:v>240</c:v>
                </c:pt>
                <c:pt idx="7">
                  <c:v>276</c:v>
                </c:pt>
                <c:pt idx="8">
                  <c:v>314</c:v>
                </c:pt>
                <c:pt idx="9">
                  <c:v>345</c:v>
                </c:pt>
                <c:pt idx="10">
                  <c:v>394</c:v>
                </c:pt>
                <c:pt idx="11">
                  <c:v>427</c:v>
                </c:pt>
                <c:pt idx="12">
                  <c:v>457</c:v>
                </c:pt>
                <c:pt idx="13">
                  <c:v>487</c:v>
                </c:pt>
                <c:pt idx="14">
                  <c:v>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46-4C81-80EA-7B1031EB0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Blad1!$RF$2:$RF$24</c:f>
              <c:numCache>
                <c:formatCode>General</c:formatCode>
                <c:ptCount val="23"/>
                <c:pt idx="0">
                  <c:v>0</c:v>
                </c:pt>
                <c:pt idx="1">
                  <c:v>11</c:v>
                </c:pt>
                <c:pt idx="2">
                  <c:v>44</c:v>
                </c:pt>
                <c:pt idx="3">
                  <c:v>114</c:v>
                </c:pt>
                <c:pt idx="4">
                  <c:v>208</c:v>
                </c:pt>
                <c:pt idx="5">
                  <c:v>249</c:v>
                </c:pt>
                <c:pt idx="6">
                  <c:v>272</c:v>
                </c:pt>
                <c:pt idx="7">
                  <c:v>284</c:v>
                </c:pt>
                <c:pt idx="8">
                  <c:v>345</c:v>
                </c:pt>
                <c:pt idx="9">
                  <c:v>370</c:v>
                </c:pt>
                <c:pt idx="10">
                  <c:v>376</c:v>
                </c:pt>
                <c:pt idx="11">
                  <c:v>383</c:v>
                </c:pt>
                <c:pt idx="12">
                  <c:v>389</c:v>
                </c:pt>
                <c:pt idx="13">
                  <c:v>468</c:v>
                </c:pt>
                <c:pt idx="14">
                  <c:v>513</c:v>
                </c:pt>
                <c:pt idx="15">
                  <c:v>532</c:v>
                </c:pt>
                <c:pt idx="16">
                  <c:v>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79-4555-A057-5ED0D8445C2E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Blad1!$RL$2:$RL$24</c:f>
              <c:numCache>
                <c:formatCode>General</c:formatCode>
                <c:ptCount val="23"/>
                <c:pt idx="0">
                  <c:v>0</c:v>
                </c:pt>
                <c:pt idx="1">
                  <c:v>42</c:v>
                </c:pt>
                <c:pt idx="2">
                  <c:v>57</c:v>
                </c:pt>
                <c:pt idx="3">
                  <c:v>72</c:v>
                </c:pt>
                <c:pt idx="4">
                  <c:v>103</c:v>
                </c:pt>
                <c:pt idx="5">
                  <c:v>128</c:v>
                </c:pt>
                <c:pt idx="6">
                  <c:v>153</c:v>
                </c:pt>
                <c:pt idx="7">
                  <c:v>187</c:v>
                </c:pt>
                <c:pt idx="8">
                  <c:v>247</c:v>
                </c:pt>
                <c:pt idx="9">
                  <c:v>271</c:v>
                </c:pt>
                <c:pt idx="10">
                  <c:v>298</c:v>
                </c:pt>
                <c:pt idx="11">
                  <c:v>342</c:v>
                </c:pt>
                <c:pt idx="12">
                  <c:v>372</c:v>
                </c:pt>
                <c:pt idx="13">
                  <c:v>432</c:v>
                </c:pt>
                <c:pt idx="14">
                  <c:v>458</c:v>
                </c:pt>
                <c:pt idx="15">
                  <c:v>473</c:v>
                </c:pt>
                <c:pt idx="16">
                  <c:v>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79-4555-A057-5ED0D8445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Blad1!$RR$2:$RR$24</c:f>
              <c:numCache>
                <c:formatCode>General</c:formatCode>
                <c:ptCount val="23"/>
                <c:pt idx="0">
                  <c:v>0</c:v>
                </c:pt>
                <c:pt idx="1">
                  <c:v>20</c:v>
                </c:pt>
                <c:pt idx="2">
                  <c:v>46</c:v>
                </c:pt>
                <c:pt idx="3">
                  <c:v>124</c:v>
                </c:pt>
                <c:pt idx="4">
                  <c:v>165</c:v>
                </c:pt>
                <c:pt idx="5">
                  <c:v>187</c:v>
                </c:pt>
                <c:pt idx="6">
                  <c:v>220</c:v>
                </c:pt>
                <c:pt idx="7">
                  <c:v>240</c:v>
                </c:pt>
                <c:pt idx="8">
                  <c:v>280</c:v>
                </c:pt>
                <c:pt idx="9">
                  <c:v>314</c:v>
                </c:pt>
                <c:pt idx="10">
                  <c:v>324</c:v>
                </c:pt>
                <c:pt idx="11">
                  <c:v>345</c:v>
                </c:pt>
                <c:pt idx="12">
                  <c:v>354</c:v>
                </c:pt>
                <c:pt idx="13">
                  <c:v>369</c:v>
                </c:pt>
                <c:pt idx="14">
                  <c:v>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0-43B1-9DED-3DCB09403F32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Blad1!$RX$2:$RX$24</c:f>
              <c:numCache>
                <c:formatCode>General</c:formatCode>
                <c:ptCount val="23"/>
                <c:pt idx="0">
                  <c:v>0</c:v>
                </c:pt>
                <c:pt idx="1">
                  <c:v>40</c:v>
                </c:pt>
                <c:pt idx="2">
                  <c:v>86</c:v>
                </c:pt>
                <c:pt idx="3">
                  <c:v>134</c:v>
                </c:pt>
                <c:pt idx="4">
                  <c:v>175</c:v>
                </c:pt>
                <c:pt idx="5">
                  <c:v>204</c:v>
                </c:pt>
                <c:pt idx="6">
                  <c:v>225</c:v>
                </c:pt>
                <c:pt idx="7">
                  <c:v>245</c:v>
                </c:pt>
                <c:pt idx="8">
                  <c:v>290</c:v>
                </c:pt>
                <c:pt idx="9">
                  <c:v>322</c:v>
                </c:pt>
                <c:pt idx="10">
                  <c:v>349</c:v>
                </c:pt>
                <c:pt idx="11">
                  <c:v>375</c:v>
                </c:pt>
                <c:pt idx="12">
                  <c:v>412</c:v>
                </c:pt>
                <c:pt idx="13">
                  <c:v>433</c:v>
                </c:pt>
                <c:pt idx="14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E0-43B1-9DED-3DCB09403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Blad1!$SD$2:$SD$24</c:f>
              <c:numCache>
                <c:formatCode>General</c:formatCode>
                <c:ptCount val="23"/>
                <c:pt idx="0">
                  <c:v>0</c:v>
                </c:pt>
                <c:pt idx="1">
                  <c:v>4</c:v>
                </c:pt>
                <c:pt idx="2">
                  <c:v>20</c:v>
                </c:pt>
                <c:pt idx="3">
                  <c:v>72</c:v>
                </c:pt>
                <c:pt idx="4">
                  <c:v>146</c:v>
                </c:pt>
                <c:pt idx="5">
                  <c:v>234</c:v>
                </c:pt>
                <c:pt idx="6">
                  <c:v>268</c:v>
                </c:pt>
                <c:pt idx="7">
                  <c:v>298</c:v>
                </c:pt>
                <c:pt idx="8">
                  <c:v>330</c:v>
                </c:pt>
                <c:pt idx="9">
                  <c:v>366</c:v>
                </c:pt>
                <c:pt idx="10">
                  <c:v>396</c:v>
                </c:pt>
                <c:pt idx="11">
                  <c:v>423</c:v>
                </c:pt>
                <c:pt idx="12">
                  <c:v>461</c:v>
                </c:pt>
                <c:pt idx="13">
                  <c:v>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3-41B8-AC8F-A57F3E0202B2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Blad1!$SJ$2:$SJ$24</c:f>
              <c:numCache>
                <c:formatCode>General</c:formatCode>
                <c:ptCount val="23"/>
                <c:pt idx="0">
                  <c:v>0</c:v>
                </c:pt>
                <c:pt idx="1">
                  <c:v>12</c:v>
                </c:pt>
                <c:pt idx="2">
                  <c:v>44</c:v>
                </c:pt>
                <c:pt idx="3">
                  <c:v>86</c:v>
                </c:pt>
                <c:pt idx="4">
                  <c:v>137</c:v>
                </c:pt>
                <c:pt idx="5">
                  <c:v>209</c:v>
                </c:pt>
                <c:pt idx="6">
                  <c:v>250</c:v>
                </c:pt>
                <c:pt idx="7">
                  <c:v>298</c:v>
                </c:pt>
                <c:pt idx="8">
                  <c:v>320</c:v>
                </c:pt>
                <c:pt idx="9">
                  <c:v>354</c:v>
                </c:pt>
                <c:pt idx="10">
                  <c:v>423</c:v>
                </c:pt>
                <c:pt idx="11">
                  <c:v>465</c:v>
                </c:pt>
                <c:pt idx="12">
                  <c:v>497</c:v>
                </c:pt>
                <c:pt idx="13">
                  <c:v>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43-41B8-AC8F-A57F3E020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Blad1!$SP$2:$SP$24</c:f>
              <c:numCache>
                <c:formatCode>General</c:formatCode>
                <c:ptCount val="23"/>
                <c:pt idx="0">
                  <c:v>0</c:v>
                </c:pt>
                <c:pt idx="1">
                  <c:v>22</c:v>
                </c:pt>
                <c:pt idx="2">
                  <c:v>86</c:v>
                </c:pt>
                <c:pt idx="3">
                  <c:v>170</c:v>
                </c:pt>
                <c:pt idx="4">
                  <c:v>206</c:v>
                </c:pt>
                <c:pt idx="5">
                  <c:v>216</c:v>
                </c:pt>
                <c:pt idx="6">
                  <c:v>277</c:v>
                </c:pt>
                <c:pt idx="7">
                  <c:v>315</c:v>
                </c:pt>
                <c:pt idx="8">
                  <c:v>384</c:v>
                </c:pt>
                <c:pt idx="9">
                  <c:v>463</c:v>
                </c:pt>
                <c:pt idx="10">
                  <c:v>560</c:v>
                </c:pt>
                <c:pt idx="11">
                  <c:v>600</c:v>
                </c:pt>
                <c:pt idx="12">
                  <c:v>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F-4DA0-8BA5-F84961AAA76A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Blad1!$SV$2:$SV$24</c:f>
              <c:numCache>
                <c:formatCode>General</c:formatCode>
                <c:ptCount val="23"/>
                <c:pt idx="0">
                  <c:v>0</c:v>
                </c:pt>
                <c:pt idx="1">
                  <c:v>26</c:v>
                </c:pt>
                <c:pt idx="2">
                  <c:v>68</c:v>
                </c:pt>
                <c:pt idx="3">
                  <c:v>107</c:v>
                </c:pt>
                <c:pt idx="4">
                  <c:v>133</c:v>
                </c:pt>
                <c:pt idx="5">
                  <c:v>230</c:v>
                </c:pt>
                <c:pt idx="6">
                  <c:v>302</c:v>
                </c:pt>
                <c:pt idx="7">
                  <c:v>330</c:v>
                </c:pt>
                <c:pt idx="8">
                  <c:v>354</c:v>
                </c:pt>
                <c:pt idx="9">
                  <c:v>387</c:v>
                </c:pt>
                <c:pt idx="10">
                  <c:v>407</c:v>
                </c:pt>
                <c:pt idx="11">
                  <c:v>423</c:v>
                </c:pt>
                <c:pt idx="12">
                  <c:v>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2F-4DA0-8BA5-F84961AAA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Blad1!$TB$2:$TB$24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64</c:v>
                </c:pt>
                <c:pt idx="3">
                  <c:v>91</c:v>
                </c:pt>
                <c:pt idx="4">
                  <c:v>106</c:v>
                </c:pt>
                <c:pt idx="5">
                  <c:v>118</c:v>
                </c:pt>
                <c:pt idx="6">
                  <c:v>132</c:v>
                </c:pt>
                <c:pt idx="7">
                  <c:v>201</c:v>
                </c:pt>
                <c:pt idx="8">
                  <c:v>255</c:v>
                </c:pt>
                <c:pt idx="9">
                  <c:v>287</c:v>
                </c:pt>
                <c:pt idx="10">
                  <c:v>314</c:v>
                </c:pt>
                <c:pt idx="11">
                  <c:v>333</c:v>
                </c:pt>
                <c:pt idx="12">
                  <c:v>355</c:v>
                </c:pt>
                <c:pt idx="13">
                  <c:v>374</c:v>
                </c:pt>
                <c:pt idx="14">
                  <c:v>397</c:v>
                </c:pt>
                <c:pt idx="15">
                  <c:v>417</c:v>
                </c:pt>
                <c:pt idx="16">
                  <c:v>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9F-4B32-8FF3-EEE57A1740B0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Blad1!$TH$2:$TH$24</c:f>
              <c:numCache>
                <c:formatCode>General</c:formatCode>
                <c:ptCount val="23"/>
                <c:pt idx="0">
                  <c:v>0</c:v>
                </c:pt>
                <c:pt idx="1">
                  <c:v>7</c:v>
                </c:pt>
                <c:pt idx="2">
                  <c:v>36</c:v>
                </c:pt>
                <c:pt idx="3">
                  <c:v>62</c:v>
                </c:pt>
                <c:pt idx="4">
                  <c:v>86</c:v>
                </c:pt>
                <c:pt idx="5">
                  <c:v>123</c:v>
                </c:pt>
                <c:pt idx="6">
                  <c:v>199</c:v>
                </c:pt>
                <c:pt idx="7">
                  <c:v>256</c:v>
                </c:pt>
                <c:pt idx="8">
                  <c:v>290</c:v>
                </c:pt>
                <c:pt idx="9">
                  <c:v>363</c:v>
                </c:pt>
                <c:pt idx="10">
                  <c:v>399</c:v>
                </c:pt>
                <c:pt idx="11">
                  <c:v>427</c:v>
                </c:pt>
                <c:pt idx="12">
                  <c:v>454</c:v>
                </c:pt>
                <c:pt idx="13">
                  <c:v>490</c:v>
                </c:pt>
                <c:pt idx="14">
                  <c:v>496</c:v>
                </c:pt>
                <c:pt idx="15">
                  <c:v>502</c:v>
                </c:pt>
                <c:pt idx="16">
                  <c:v>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9F-4B32-8FF3-EEE57A174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Blad1!$TN$2:$TN$24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64</c:v>
                </c:pt>
                <c:pt idx="3">
                  <c:v>112</c:v>
                </c:pt>
                <c:pt idx="4">
                  <c:v>196</c:v>
                </c:pt>
                <c:pt idx="5">
                  <c:v>270</c:v>
                </c:pt>
                <c:pt idx="6">
                  <c:v>309</c:v>
                </c:pt>
                <c:pt idx="7">
                  <c:v>337</c:v>
                </c:pt>
                <c:pt idx="8">
                  <c:v>344</c:v>
                </c:pt>
                <c:pt idx="9">
                  <c:v>357</c:v>
                </c:pt>
                <c:pt idx="10">
                  <c:v>368</c:v>
                </c:pt>
                <c:pt idx="11">
                  <c:v>440</c:v>
                </c:pt>
                <c:pt idx="12">
                  <c:v>473</c:v>
                </c:pt>
                <c:pt idx="13">
                  <c:v>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06-4851-8A9B-63BA9E501702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Blad1!$TT$2:$TT$24</c:f>
              <c:numCache>
                <c:formatCode>General</c:formatCode>
                <c:ptCount val="23"/>
                <c:pt idx="0">
                  <c:v>0</c:v>
                </c:pt>
                <c:pt idx="1">
                  <c:v>22</c:v>
                </c:pt>
                <c:pt idx="2">
                  <c:v>66</c:v>
                </c:pt>
                <c:pt idx="3">
                  <c:v>98</c:v>
                </c:pt>
                <c:pt idx="4">
                  <c:v>132</c:v>
                </c:pt>
                <c:pt idx="5">
                  <c:v>165</c:v>
                </c:pt>
                <c:pt idx="6">
                  <c:v>199</c:v>
                </c:pt>
                <c:pt idx="7">
                  <c:v>236</c:v>
                </c:pt>
                <c:pt idx="8">
                  <c:v>267</c:v>
                </c:pt>
                <c:pt idx="9">
                  <c:v>295</c:v>
                </c:pt>
                <c:pt idx="10">
                  <c:v>367</c:v>
                </c:pt>
                <c:pt idx="11">
                  <c:v>400</c:v>
                </c:pt>
                <c:pt idx="12">
                  <c:v>429</c:v>
                </c:pt>
                <c:pt idx="13">
                  <c:v>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06-4851-8A9B-63BA9E501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Blad1!$TZ$2:$TZ$24</c:f>
              <c:numCache>
                <c:formatCode>General</c:formatCode>
                <c:ptCount val="23"/>
                <c:pt idx="0">
                  <c:v>0</c:v>
                </c:pt>
                <c:pt idx="1">
                  <c:v>13</c:v>
                </c:pt>
                <c:pt idx="2">
                  <c:v>43</c:v>
                </c:pt>
                <c:pt idx="3">
                  <c:v>95</c:v>
                </c:pt>
                <c:pt idx="4">
                  <c:v>134</c:v>
                </c:pt>
                <c:pt idx="5">
                  <c:v>164</c:v>
                </c:pt>
                <c:pt idx="6">
                  <c:v>199</c:v>
                </c:pt>
                <c:pt idx="7">
                  <c:v>199</c:v>
                </c:pt>
                <c:pt idx="8">
                  <c:v>217</c:v>
                </c:pt>
                <c:pt idx="9">
                  <c:v>293</c:v>
                </c:pt>
                <c:pt idx="10">
                  <c:v>353</c:v>
                </c:pt>
                <c:pt idx="11">
                  <c:v>363</c:v>
                </c:pt>
                <c:pt idx="12">
                  <c:v>445</c:v>
                </c:pt>
                <c:pt idx="13">
                  <c:v>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1A-4F01-8854-4B9565F5F290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Blad1!$UF$2:$UF$24</c:f>
              <c:numCache>
                <c:formatCode>General</c:formatCode>
                <c:ptCount val="23"/>
                <c:pt idx="0">
                  <c:v>0</c:v>
                </c:pt>
                <c:pt idx="1">
                  <c:v>32</c:v>
                </c:pt>
                <c:pt idx="2">
                  <c:v>66</c:v>
                </c:pt>
                <c:pt idx="3">
                  <c:v>102</c:v>
                </c:pt>
                <c:pt idx="4">
                  <c:v>138</c:v>
                </c:pt>
                <c:pt idx="5">
                  <c:v>192</c:v>
                </c:pt>
                <c:pt idx="6">
                  <c:v>220</c:v>
                </c:pt>
                <c:pt idx="7">
                  <c:v>245</c:v>
                </c:pt>
                <c:pt idx="8">
                  <c:v>269</c:v>
                </c:pt>
                <c:pt idx="9">
                  <c:v>323</c:v>
                </c:pt>
                <c:pt idx="10">
                  <c:v>351</c:v>
                </c:pt>
                <c:pt idx="11">
                  <c:v>378</c:v>
                </c:pt>
                <c:pt idx="12">
                  <c:v>434</c:v>
                </c:pt>
                <c:pt idx="13">
                  <c:v>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1A-4F01-8854-4B9565F5F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Blad1!$UL$2:$UL$24</c:f>
              <c:numCache>
                <c:formatCode>General</c:formatCode>
                <c:ptCount val="23"/>
                <c:pt idx="0">
                  <c:v>0</c:v>
                </c:pt>
                <c:pt idx="1">
                  <c:v>22</c:v>
                </c:pt>
                <c:pt idx="2">
                  <c:v>46</c:v>
                </c:pt>
                <c:pt idx="3">
                  <c:v>78</c:v>
                </c:pt>
                <c:pt idx="4">
                  <c:v>99</c:v>
                </c:pt>
                <c:pt idx="5">
                  <c:v>114</c:v>
                </c:pt>
                <c:pt idx="6">
                  <c:v>119</c:v>
                </c:pt>
                <c:pt idx="7">
                  <c:v>130</c:v>
                </c:pt>
                <c:pt idx="8">
                  <c:v>137</c:v>
                </c:pt>
                <c:pt idx="9">
                  <c:v>153</c:v>
                </c:pt>
                <c:pt idx="10">
                  <c:v>162</c:v>
                </c:pt>
                <c:pt idx="11">
                  <c:v>185</c:v>
                </c:pt>
                <c:pt idx="12">
                  <c:v>260</c:v>
                </c:pt>
                <c:pt idx="13">
                  <c:v>286</c:v>
                </c:pt>
                <c:pt idx="14">
                  <c:v>305</c:v>
                </c:pt>
                <c:pt idx="15">
                  <c:v>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0F-4B9C-8D87-B54CF69D377E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Blad1!$UR$2:$UR$24</c:f>
              <c:numCache>
                <c:formatCode>General</c:formatCode>
                <c:ptCount val="23"/>
                <c:pt idx="0">
                  <c:v>0</c:v>
                </c:pt>
                <c:pt idx="1">
                  <c:v>72</c:v>
                </c:pt>
                <c:pt idx="2">
                  <c:v>104</c:v>
                </c:pt>
                <c:pt idx="3">
                  <c:v>126</c:v>
                </c:pt>
                <c:pt idx="4">
                  <c:v>161</c:v>
                </c:pt>
                <c:pt idx="5">
                  <c:v>202</c:v>
                </c:pt>
                <c:pt idx="6">
                  <c:v>223</c:v>
                </c:pt>
                <c:pt idx="7">
                  <c:v>241</c:v>
                </c:pt>
                <c:pt idx="8">
                  <c:v>276</c:v>
                </c:pt>
                <c:pt idx="9">
                  <c:v>306</c:v>
                </c:pt>
                <c:pt idx="10">
                  <c:v>339</c:v>
                </c:pt>
                <c:pt idx="11">
                  <c:v>394</c:v>
                </c:pt>
                <c:pt idx="12">
                  <c:v>454</c:v>
                </c:pt>
                <c:pt idx="13">
                  <c:v>506</c:v>
                </c:pt>
                <c:pt idx="14">
                  <c:v>526</c:v>
                </c:pt>
                <c:pt idx="15">
                  <c:v>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0F-4B9C-8D87-B54CF69D3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Blad1!$UX$2:$UX$24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130</c:v>
                </c:pt>
                <c:pt idx="4">
                  <c:v>202</c:v>
                </c:pt>
                <c:pt idx="5">
                  <c:v>247</c:v>
                </c:pt>
                <c:pt idx="6">
                  <c:v>261</c:v>
                </c:pt>
                <c:pt idx="7">
                  <c:v>369</c:v>
                </c:pt>
                <c:pt idx="8">
                  <c:v>418</c:v>
                </c:pt>
                <c:pt idx="9">
                  <c:v>487</c:v>
                </c:pt>
                <c:pt idx="10">
                  <c:v>503</c:v>
                </c:pt>
                <c:pt idx="11">
                  <c:v>513</c:v>
                </c:pt>
                <c:pt idx="12">
                  <c:v>524</c:v>
                </c:pt>
                <c:pt idx="13">
                  <c:v>614</c:v>
                </c:pt>
                <c:pt idx="14">
                  <c:v>638</c:v>
                </c:pt>
                <c:pt idx="15">
                  <c:v>655</c:v>
                </c:pt>
                <c:pt idx="16">
                  <c:v>664</c:v>
                </c:pt>
                <c:pt idx="17">
                  <c:v>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23-4436-8270-33B14D3BA610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Blad1!$VD$2:$VD$24</c:f>
              <c:numCache>
                <c:formatCode>General</c:formatCode>
                <c:ptCount val="23"/>
                <c:pt idx="0">
                  <c:v>0</c:v>
                </c:pt>
                <c:pt idx="1">
                  <c:v>28</c:v>
                </c:pt>
                <c:pt idx="2">
                  <c:v>48</c:v>
                </c:pt>
                <c:pt idx="3">
                  <c:v>105</c:v>
                </c:pt>
                <c:pt idx="4">
                  <c:v>128</c:v>
                </c:pt>
                <c:pt idx="5">
                  <c:v>158</c:v>
                </c:pt>
                <c:pt idx="6">
                  <c:v>183</c:v>
                </c:pt>
                <c:pt idx="7">
                  <c:v>233</c:v>
                </c:pt>
                <c:pt idx="8">
                  <c:v>272</c:v>
                </c:pt>
                <c:pt idx="9">
                  <c:v>302</c:v>
                </c:pt>
                <c:pt idx="10">
                  <c:v>325</c:v>
                </c:pt>
                <c:pt idx="11">
                  <c:v>357</c:v>
                </c:pt>
                <c:pt idx="12">
                  <c:v>379</c:v>
                </c:pt>
                <c:pt idx="13">
                  <c:v>446</c:v>
                </c:pt>
                <c:pt idx="14">
                  <c:v>476</c:v>
                </c:pt>
                <c:pt idx="15">
                  <c:v>489</c:v>
                </c:pt>
                <c:pt idx="16">
                  <c:v>500</c:v>
                </c:pt>
                <c:pt idx="17">
                  <c:v>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23-4436-8270-33B14D3BA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Blad1!$VJ$2:$VJ$24</c:f>
              <c:numCache>
                <c:formatCode>General</c:formatCode>
                <c:ptCount val="23"/>
                <c:pt idx="0">
                  <c:v>0</c:v>
                </c:pt>
                <c:pt idx="1">
                  <c:v>24</c:v>
                </c:pt>
                <c:pt idx="2">
                  <c:v>96</c:v>
                </c:pt>
                <c:pt idx="3">
                  <c:v>136</c:v>
                </c:pt>
                <c:pt idx="4">
                  <c:v>167</c:v>
                </c:pt>
                <c:pt idx="5">
                  <c:v>186</c:v>
                </c:pt>
                <c:pt idx="6">
                  <c:v>186</c:v>
                </c:pt>
                <c:pt idx="7">
                  <c:v>273</c:v>
                </c:pt>
                <c:pt idx="8">
                  <c:v>273</c:v>
                </c:pt>
                <c:pt idx="9">
                  <c:v>283</c:v>
                </c:pt>
                <c:pt idx="10">
                  <c:v>362</c:v>
                </c:pt>
                <c:pt idx="11">
                  <c:v>386</c:v>
                </c:pt>
                <c:pt idx="12">
                  <c:v>407</c:v>
                </c:pt>
                <c:pt idx="13">
                  <c:v>428</c:v>
                </c:pt>
                <c:pt idx="14">
                  <c:v>448</c:v>
                </c:pt>
                <c:pt idx="15">
                  <c:v>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01-4AA3-90CA-8CFA46EC94A5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Blad1!$VP$2:$VP$24</c:f>
              <c:numCache>
                <c:formatCode>General</c:formatCode>
                <c:ptCount val="23"/>
                <c:pt idx="0">
                  <c:v>0</c:v>
                </c:pt>
                <c:pt idx="1">
                  <c:v>68</c:v>
                </c:pt>
                <c:pt idx="2">
                  <c:v>131</c:v>
                </c:pt>
                <c:pt idx="3">
                  <c:v>162</c:v>
                </c:pt>
                <c:pt idx="4">
                  <c:v>203</c:v>
                </c:pt>
                <c:pt idx="5">
                  <c:v>241</c:v>
                </c:pt>
                <c:pt idx="6">
                  <c:v>273</c:v>
                </c:pt>
                <c:pt idx="7">
                  <c:v>335</c:v>
                </c:pt>
                <c:pt idx="8">
                  <c:v>407</c:v>
                </c:pt>
                <c:pt idx="9">
                  <c:v>473</c:v>
                </c:pt>
                <c:pt idx="10">
                  <c:v>505</c:v>
                </c:pt>
                <c:pt idx="11">
                  <c:v>529</c:v>
                </c:pt>
                <c:pt idx="12">
                  <c:v>551</c:v>
                </c:pt>
                <c:pt idx="13">
                  <c:v>579</c:v>
                </c:pt>
                <c:pt idx="14">
                  <c:v>591</c:v>
                </c:pt>
                <c:pt idx="15">
                  <c:v>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01-4AA3-90CA-8CFA46EC9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Blad1!$VV$2:$VV$24</c:f>
              <c:numCache>
                <c:formatCode>General</c:formatCode>
                <c:ptCount val="23"/>
                <c:pt idx="0">
                  <c:v>0</c:v>
                </c:pt>
                <c:pt idx="1">
                  <c:v>66</c:v>
                </c:pt>
                <c:pt idx="2">
                  <c:v>90</c:v>
                </c:pt>
                <c:pt idx="3">
                  <c:v>120</c:v>
                </c:pt>
                <c:pt idx="4">
                  <c:v>145</c:v>
                </c:pt>
                <c:pt idx="5">
                  <c:v>163</c:v>
                </c:pt>
                <c:pt idx="6">
                  <c:v>181</c:v>
                </c:pt>
                <c:pt idx="7">
                  <c:v>213</c:v>
                </c:pt>
                <c:pt idx="8">
                  <c:v>268</c:v>
                </c:pt>
                <c:pt idx="9">
                  <c:v>268</c:v>
                </c:pt>
                <c:pt idx="10">
                  <c:v>346</c:v>
                </c:pt>
                <c:pt idx="11">
                  <c:v>390</c:v>
                </c:pt>
                <c:pt idx="12">
                  <c:v>411</c:v>
                </c:pt>
                <c:pt idx="13">
                  <c:v>468</c:v>
                </c:pt>
                <c:pt idx="14">
                  <c:v>489</c:v>
                </c:pt>
                <c:pt idx="15">
                  <c:v>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E-40D4-8D35-117EDC147FDC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Blad1!$WB$2:$WB$24</c:f>
              <c:numCache>
                <c:formatCode>General</c:formatCode>
                <c:ptCount val="23"/>
                <c:pt idx="0">
                  <c:v>0</c:v>
                </c:pt>
                <c:pt idx="1">
                  <c:v>53</c:v>
                </c:pt>
                <c:pt idx="2">
                  <c:v>121</c:v>
                </c:pt>
                <c:pt idx="3">
                  <c:v>187</c:v>
                </c:pt>
                <c:pt idx="4">
                  <c:v>229</c:v>
                </c:pt>
                <c:pt idx="5">
                  <c:v>255</c:v>
                </c:pt>
                <c:pt idx="6">
                  <c:v>281</c:v>
                </c:pt>
                <c:pt idx="7">
                  <c:v>307</c:v>
                </c:pt>
                <c:pt idx="8">
                  <c:v>367</c:v>
                </c:pt>
                <c:pt idx="9">
                  <c:v>395</c:v>
                </c:pt>
                <c:pt idx="10">
                  <c:v>411</c:v>
                </c:pt>
                <c:pt idx="11">
                  <c:v>423</c:v>
                </c:pt>
                <c:pt idx="12">
                  <c:v>431</c:v>
                </c:pt>
                <c:pt idx="13">
                  <c:v>450</c:v>
                </c:pt>
                <c:pt idx="14">
                  <c:v>464</c:v>
                </c:pt>
                <c:pt idx="15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E-40D4-8D35-117EDC147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Blad1!$WH$2:$WH$24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72</c:v>
                </c:pt>
                <c:pt idx="3">
                  <c:v>106</c:v>
                </c:pt>
                <c:pt idx="4">
                  <c:v>122</c:v>
                </c:pt>
                <c:pt idx="5">
                  <c:v>143</c:v>
                </c:pt>
                <c:pt idx="6">
                  <c:v>172</c:v>
                </c:pt>
                <c:pt idx="7">
                  <c:v>192</c:v>
                </c:pt>
                <c:pt idx="8">
                  <c:v>219</c:v>
                </c:pt>
                <c:pt idx="9">
                  <c:v>238</c:v>
                </c:pt>
                <c:pt idx="10">
                  <c:v>274</c:v>
                </c:pt>
                <c:pt idx="11">
                  <c:v>356</c:v>
                </c:pt>
                <c:pt idx="12">
                  <c:v>383</c:v>
                </c:pt>
                <c:pt idx="13">
                  <c:v>415</c:v>
                </c:pt>
                <c:pt idx="14">
                  <c:v>439</c:v>
                </c:pt>
                <c:pt idx="15">
                  <c:v>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A-4078-94DE-5BFA75A96D6B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Blad1!$WN$2:$WN$24</c:f>
              <c:numCache>
                <c:formatCode>General</c:formatCode>
                <c:ptCount val="23"/>
                <c:pt idx="0">
                  <c:v>0</c:v>
                </c:pt>
                <c:pt idx="1">
                  <c:v>68</c:v>
                </c:pt>
                <c:pt idx="2">
                  <c:v>140</c:v>
                </c:pt>
                <c:pt idx="3">
                  <c:v>176</c:v>
                </c:pt>
                <c:pt idx="4">
                  <c:v>210</c:v>
                </c:pt>
                <c:pt idx="5">
                  <c:v>261</c:v>
                </c:pt>
                <c:pt idx="6">
                  <c:v>289</c:v>
                </c:pt>
                <c:pt idx="7">
                  <c:v>319</c:v>
                </c:pt>
                <c:pt idx="8">
                  <c:v>352</c:v>
                </c:pt>
                <c:pt idx="9">
                  <c:v>424</c:v>
                </c:pt>
                <c:pt idx="10">
                  <c:v>478</c:v>
                </c:pt>
                <c:pt idx="11">
                  <c:v>508</c:v>
                </c:pt>
                <c:pt idx="12">
                  <c:v>536</c:v>
                </c:pt>
                <c:pt idx="13">
                  <c:v>576</c:v>
                </c:pt>
                <c:pt idx="14">
                  <c:v>592</c:v>
                </c:pt>
                <c:pt idx="15">
                  <c:v>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AA-4078-94DE-5BFA75A96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Blad1!$WT$2:$WT$24</c:f>
              <c:numCache>
                <c:formatCode>General</c:formatCode>
                <c:ptCount val="23"/>
                <c:pt idx="0">
                  <c:v>0</c:v>
                </c:pt>
                <c:pt idx="1">
                  <c:v>18</c:v>
                </c:pt>
                <c:pt idx="2">
                  <c:v>51</c:v>
                </c:pt>
                <c:pt idx="3">
                  <c:v>67</c:v>
                </c:pt>
                <c:pt idx="4">
                  <c:v>88</c:v>
                </c:pt>
                <c:pt idx="5">
                  <c:v>101</c:v>
                </c:pt>
                <c:pt idx="6">
                  <c:v>201</c:v>
                </c:pt>
                <c:pt idx="7">
                  <c:v>228</c:v>
                </c:pt>
                <c:pt idx="8">
                  <c:v>252</c:v>
                </c:pt>
                <c:pt idx="9">
                  <c:v>273</c:v>
                </c:pt>
                <c:pt idx="10">
                  <c:v>308</c:v>
                </c:pt>
                <c:pt idx="11">
                  <c:v>339</c:v>
                </c:pt>
                <c:pt idx="12">
                  <c:v>372</c:v>
                </c:pt>
                <c:pt idx="13">
                  <c:v>391</c:v>
                </c:pt>
                <c:pt idx="14">
                  <c:v>418</c:v>
                </c:pt>
                <c:pt idx="15">
                  <c:v>440</c:v>
                </c:pt>
                <c:pt idx="16">
                  <c:v>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21-47E2-941D-603992A7E6DF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Blad1!$WZ$2:$WZ$24</c:f>
              <c:numCache>
                <c:formatCode>General</c:formatCode>
                <c:ptCount val="23"/>
                <c:pt idx="0">
                  <c:v>0</c:v>
                </c:pt>
                <c:pt idx="1">
                  <c:v>106</c:v>
                </c:pt>
                <c:pt idx="2">
                  <c:v>152</c:v>
                </c:pt>
                <c:pt idx="3">
                  <c:v>183</c:v>
                </c:pt>
                <c:pt idx="4">
                  <c:v>219</c:v>
                </c:pt>
                <c:pt idx="5">
                  <c:v>250</c:v>
                </c:pt>
                <c:pt idx="6">
                  <c:v>292</c:v>
                </c:pt>
                <c:pt idx="7">
                  <c:v>330</c:v>
                </c:pt>
                <c:pt idx="8">
                  <c:v>358</c:v>
                </c:pt>
                <c:pt idx="9">
                  <c:v>379</c:v>
                </c:pt>
                <c:pt idx="10">
                  <c:v>429</c:v>
                </c:pt>
                <c:pt idx="11">
                  <c:v>495</c:v>
                </c:pt>
                <c:pt idx="12">
                  <c:v>530</c:v>
                </c:pt>
                <c:pt idx="13">
                  <c:v>556</c:v>
                </c:pt>
                <c:pt idx="14">
                  <c:v>576</c:v>
                </c:pt>
                <c:pt idx="15">
                  <c:v>582</c:v>
                </c:pt>
                <c:pt idx="16">
                  <c:v>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21-47E2-941D-603992A7E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Blad1!$XF$2:$XF$24</c:f>
              <c:numCache>
                <c:formatCode>General</c:formatCode>
                <c:ptCount val="23"/>
                <c:pt idx="0">
                  <c:v>0</c:v>
                </c:pt>
                <c:pt idx="1">
                  <c:v>10</c:v>
                </c:pt>
                <c:pt idx="2">
                  <c:v>37</c:v>
                </c:pt>
                <c:pt idx="3">
                  <c:v>167</c:v>
                </c:pt>
                <c:pt idx="4">
                  <c:v>195</c:v>
                </c:pt>
                <c:pt idx="5">
                  <c:v>217</c:v>
                </c:pt>
                <c:pt idx="6">
                  <c:v>293</c:v>
                </c:pt>
                <c:pt idx="7">
                  <c:v>302</c:v>
                </c:pt>
                <c:pt idx="8">
                  <c:v>330</c:v>
                </c:pt>
                <c:pt idx="9">
                  <c:v>348</c:v>
                </c:pt>
                <c:pt idx="10">
                  <c:v>363</c:v>
                </c:pt>
                <c:pt idx="11">
                  <c:v>395</c:v>
                </c:pt>
                <c:pt idx="12">
                  <c:v>409</c:v>
                </c:pt>
                <c:pt idx="13">
                  <c:v>416</c:v>
                </c:pt>
                <c:pt idx="14">
                  <c:v>420</c:v>
                </c:pt>
                <c:pt idx="15">
                  <c:v>479</c:v>
                </c:pt>
                <c:pt idx="16">
                  <c:v>516</c:v>
                </c:pt>
                <c:pt idx="17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8-47B0-B553-2F855FBCA3EE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Blad1!$XL$2:$XL$24</c:f>
              <c:numCache>
                <c:formatCode>General</c:formatCode>
                <c:ptCount val="23"/>
                <c:pt idx="0">
                  <c:v>0</c:v>
                </c:pt>
                <c:pt idx="1">
                  <c:v>13</c:v>
                </c:pt>
                <c:pt idx="2">
                  <c:v>51</c:v>
                </c:pt>
                <c:pt idx="3">
                  <c:v>93</c:v>
                </c:pt>
                <c:pt idx="4">
                  <c:v>114</c:v>
                </c:pt>
                <c:pt idx="5">
                  <c:v>143</c:v>
                </c:pt>
                <c:pt idx="6">
                  <c:v>205</c:v>
                </c:pt>
                <c:pt idx="7">
                  <c:v>227</c:v>
                </c:pt>
                <c:pt idx="8">
                  <c:v>260</c:v>
                </c:pt>
                <c:pt idx="9">
                  <c:v>298</c:v>
                </c:pt>
                <c:pt idx="10">
                  <c:v>317</c:v>
                </c:pt>
                <c:pt idx="11">
                  <c:v>368</c:v>
                </c:pt>
                <c:pt idx="12">
                  <c:v>387</c:v>
                </c:pt>
                <c:pt idx="13">
                  <c:v>406</c:v>
                </c:pt>
                <c:pt idx="14">
                  <c:v>428</c:v>
                </c:pt>
                <c:pt idx="15">
                  <c:v>488</c:v>
                </c:pt>
                <c:pt idx="16">
                  <c:v>500</c:v>
                </c:pt>
                <c:pt idx="17">
                  <c:v>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88-47B0-B553-2F855FBCA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Blad1!$XR$2:$XR$24</c:f>
              <c:numCache>
                <c:formatCode>General</c:formatCode>
                <c:ptCount val="23"/>
                <c:pt idx="0">
                  <c:v>0</c:v>
                </c:pt>
                <c:pt idx="1">
                  <c:v>13</c:v>
                </c:pt>
                <c:pt idx="2">
                  <c:v>47</c:v>
                </c:pt>
                <c:pt idx="3">
                  <c:v>99</c:v>
                </c:pt>
                <c:pt idx="4">
                  <c:v>120</c:v>
                </c:pt>
                <c:pt idx="5">
                  <c:v>120</c:v>
                </c:pt>
                <c:pt idx="6">
                  <c:v>189</c:v>
                </c:pt>
                <c:pt idx="7">
                  <c:v>213</c:v>
                </c:pt>
                <c:pt idx="8">
                  <c:v>271</c:v>
                </c:pt>
                <c:pt idx="9">
                  <c:v>305</c:v>
                </c:pt>
                <c:pt idx="10">
                  <c:v>323</c:v>
                </c:pt>
                <c:pt idx="11">
                  <c:v>359</c:v>
                </c:pt>
                <c:pt idx="12">
                  <c:v>392</c:v>
                </c:pt>
                <c:pt idx="13">
                  <c:v>405</c:v>
                </c:pt>
                <c:pt idx="14">
                  <c:v>418</c:v>
                </c:pt>
                <c:pt idx="15">
                  <c:v>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0-470C-BC86-66D91E9F1D6C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Blad1!$XX$2:$XX$24</c:f>
              <c:numCache>
                <c:formatCode>General</c:formatCode>
                <c:ptCount val="23"/>
                <c:pt idx="0">
                  <c:v>0</c:v>
                </c:pt>
                <c:pt idx="1">
                  <c:v>38</c:v>
                </c:pt>
                <c:pt idx="2">
                  <c:v>70</c:v>
                </c:pt>
                <c:pt idx="3">
                  <c:v>94</c:v>
                </c:pt>
                <c:pt idx="4">
                  <c:v>127</c:v>
                </c:pt>
                <c:pt idx="5">
                  <c:v>163</c:v>
                </c:pt>
                <c:pt idx="6">
                  <c:v>220</c:v>
                </c:pt>
                <c:pt idx="7">
                  <c:v>249</c:v>
                </c:pt>
                <c:pt idx="8">
                  <c:v>287</c:v>
                </c:pt>
                <c:pt idx="9">
                  <c:v>379</c:v>
                </c:pt>
                <c:pt idx="10">
                  <c:v>437</c:v>
                </c:pt>
                <c:pt idx="11">
                  <c:v>476</c:v>
                </c:pt>
                <c:pt idx="12">
                  <c:v>510</c:v>
                </c:pt>
                <c:pt idx="13">
                  <c:v>529</c:v>
                </c:pt>
                <c:pt idx="14">
                  <c:v>545</c:v>
                </c:pt>
                <c:pt idx="15">
                  <c:v>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0-470C-BC86-66D91E9F1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Blad1!$YD$2:$YD$24</c:f>
              <c:numCache>
                <c:formatCode>General</c:formatCode>
                <c:ptCount val="23"/>
                <c:pt idx="0">
                  <c:v>0</c:v>
                </c:pt>
                <c:pt idx="1">
                  <c:v>60</c:v>
                </c:pt>
                <c:pt idx="2">
                  <c:v>132</c:v>
                </c:pt>
                <c:pt idx="3">
                  <c:v>202</c:v>
                </c:pt>
                <c:pt idx="4">
                  <c:v>220</c:v>
                </c:pt>
                <c:pt idx="5">
                  <c:v>235</c:v>
                </c:pt>
                <c:pt idx="6">
                  <c:v>310</c:v>
                </c:pt>
                <c:pt idx="7">
                  <c:v>336</c:v>
                </c:pt>
                <c:pt idx="8">
                  <c:v>368</c:v>
                </c:pt>
                <c:pt idx="9">
                  <c:v>388</c:v>
                </c:pt>
                <c:pt idx="10">
                  <c:v>414</c:v>
                </c:pt>
                <c:pt idx="11">
                  <c:v>427</c:v>
                </c:pt>
                <c:pt idx="12">
                  <c:v>439</c:v>
                </c:pt>
                <c:pt idx="13">
                  <c:v>451</c:v>
                </c:pt>
                <c:pt idx="14">
                  <c:v>461</c:v>
                </c:pt>
                <c:pt idx="15">
                  <c:v>491</c:v>
                </c:pt>
                <c:pt idx="16">
                  <c:v>505</c:v>
                </c:pt>
                <c:pt idx="17">
                  <c:v>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2A-4D03-ADC9-D82BB51B1AF0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Blad1!$YJ$2:$YJ$24</c:f>
              <c:numCache>
                <c:formatCode>General</c:formatCode>
                <c:ptCount val="23"/>
                <c:pt idx="0">
                  <c:v>0</c:v>
                </c:pt>
                <c:pt idx="1">
                  <c:v>42</c:v>
                </c:pt>
                <c:pt idx="2">
                  <c:v>96</c:v>
                </c:pt>
                <c:pt idx="3">
                  <c:v>132</c:v>
                </c:pt>
                <c:pt idx="4">
                  <c:v>168</c:v>
                </c:pt>
                <c:pt idx="5">
                  <c:v>196</c:v>
                </c:pt>
                <c:pt idx="6">
                  <c:v>246</c:v>
                </c:pt>
                <c:pt idx="7">
                  <c:v>267</c:v>
                </c:pt>
                <c:pt idx="8">
                  <c:v>289</c:v>
                </c:pt>
                <c:pt idx="9">
                  <c:v>322</c:v>
                </c:pt>
                <c:pt idx="10">
                  <c:v>355</c:v>
                </c:pt>
                <c:pt idx="11">
                  <c:v>387</c:v>
                </c:pt>
                <c:pt idx="12">
                  <c:v>413</c:v>
                </c:pt>
                <c:pt idx="13">
                  <c:v>441</c:v>
                </c:pt>
                <c:pt idx="14">
                  <c:v>466</c:v>
                </c:pt>
                <c:pt idx="15">
                  <c:v>496</c:v>
                </c:pt>
                <c:pt idx="16">
                  <c:v>516</c:v>
                </c:pt>
                <c:pt idx="17">
                  <c:v>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2A-4D03-ADC9-D82BB51B1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Blad1!$YP$2:$YP$24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55</c:v>
                </c:pt>
                <c:pt idx="3">
                  <c:v>81</c:v>
                </c:pt>
                <c:pt idx="4">
                  <c:v>129</c:v>
                </c:pt>
                <c:pt idx="5">
                  <c:v>161</c:v>
                </c:pt>
                <c:pt idx="6">
                  <c:v>188</c:v>
                </c:pt>
                <c:pt idx="7">
                  <c:v>194</c:v>
                </c:pt>
                <c:pt idx="8">
                  <c:v>259</c:v>
                </c:pt>
                <c:pt idx="9">
                  <c:v>322</c:v>
                </c:pt>
                <c:pt idx="10">
                  <c:v>349</c:v>
                </c:pt>
                <c:pt idx="11">
                  <c:v>397</c:v>
                </c:pt>
                <c:pt idx="12">
                  <c:v>435</c:v>
                </c:pt>
                <c:pt idx="13">
                  <c:v>462</c:v>
                </c:pt>
                <c:pt idx="14">
                  <c:v>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4B-4DCE-AE72-168AD9805B69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Blad1!$YV$2:$YV$24</c:f>
              <c:numCache>
                <c:formatCode>General</c:formatCode>
                <c:ptCount val="23"/>
                <c:pt idx="0">
                  <c:v>0</c:v>
                </c:pt>
                <c:pt idx="1">
                  <c:v>30</c:v>
                </c:pt>
                <c:pt idx="2">
                  <c:v>142</c:v>
                </c:pt>
                <c:pt idx="3">
                  <c:v>200</c:v>
                </c:pt>
                <c:pt idx="4">
                  <c:v>236</c:v>
                </c:pt>
                <c:pt idx="5">
                  <c:v>262</c:v>
                </c:pt>
                <c:pt idx="6">
                  <c:v>286</c:v>
                </c:pt>
                <c:pt idx="7">
                  <c:v>317</c:v>
                </c:pt>
                <c:pt idx="8">
                  <c:v>371</c:v>
                </c:pt>
                <c:pt idx="9">
                  <c:v>403</c:v>
                </c:pt>
                <c:pt idx="10">
                  <c:v>441</c:v>
                </c:pt>
                <c:pt idx="11">
                  <c:v>468</c:v>
                </c:pt>
                <c:pt idx="12">
                  <c:v>510</c:v>
                </c:pt>
                <c:pt idx="13">
                  <c:v>524</c:v>
                </c:pt>
                <c:pt idx="14">
                  <c:v>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4B-4DCE-AE72-168AD9805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Blad1!$ZB$2:$ZB$24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24</c:v>
                </c:pt>
                <c:pt idx="3">
                  <c:v>24</c:v>
                </c:pt>
                <c:pt idx="4">
                  <c:v>181</c:v>
                </c:pt>
                <c:pt idx="5">
                  <c:v>213</c:v>
                </c:pt>
                <c:pt idx="6">
                  <c:v>243</c:v>
                </c:pt>
                <c:pt idx="7">
                  <c:v>319</c:v>
                </c:pt>
                <c:pt idx="8">
                  <c:v>352</c:v>
                </c:pt>
                <c:pt idx="9">
                  <c:v>393</c:v>
                </c:pt>
                <c:pt idx="10">
                  <c:v>419</c:v>
                </c:pt>
                <c:pt idx="11">
                  <c:v>445</c:v>
                </c:pt>
                <c:pt idx="12">
                  <c:v>453</c:v>
                </c:pt>
                <c:pt idx="13">
                  <c:v>519</c:v>
                </c:pt>
                <c:pt idx="14">
                  <c:v>549</c:v>
                </c:pt>
                <c:pt idx="15">
                  <c:v>565</c:v>
                </c:pt>
                <c:pt idx="16">
                  <c:v>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A-4AD2-AA74-F679D43F3FD2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Blad1!$ZH$2:$ZH$24</c:f>
              <c:numCache>
                <c:formatCode>General</c:formatCode>
                <c:ptCount val="23"/>
                <c:pt idx="0">
                  <c:v>0</c:v>
                </c:pt>
                <c:pt idx="1">
                  <c:v>9</c:v>
                </c:pt>
                <c:pt idx="2">
                  <c:v>30</c:v>
                </c:pt>
                <c:pt idx="3">
                  <c:v>102</c:v>
                </c:pt>
                <c:pt idx="4">
                  <c:v>152</c:v>
                </c:pt>
                <c:pt idx="5">
                  <c:v>186</c:v>
                </c:pt>
                <c:pt idx="6">
                  <c:v>224</c:v>
                </c:pt>
                <c:pt idx="7">
                  <c:v>273</c:v>
                </c:pt>
                <c:pt idx="8">
                  <c:v>306</c:v>
                </c:pt>
                <c:pt idx="9">
                  <c:v>357</c:v>
                </c:pt>
                <c:pt idx="10">
                  <c:v>376</c:v>
                </c:pt>
                <c:pt idx="11">
                  <c:v>400</c:v>
                </c:pt>
                <c:pt idx="12">
                  <c:v>438</c:v>
                </c:pt>
                <c:pt idx="13">
                  <c:v>510</c:v>
                </c:pt>
                <c:pt idx="14">
                  <c:v>537</c:v>
                </c:pt>
                <c:pt idx="15">
                  <c:v>550</c:v>
                </c:pt>
                <c:pt idx="16">
                  <c:v>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FA-4AD2-AA74-F679D43F3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Blad1!$ZN$2:$ZN$24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92</c:v>
                </c:pt>
                <c:pt idx="4">
                  <c:v>107</c:v>
                </c:pt>
                <c:pt idx="5">
                  <c:v>151</c:v>
                </c:pt>
                <c:pt idx="6">
                  <c:v>178</c:v>
                </c:pt>
                <c:pt idx="7">
                  <c:v>194</c:v>
                </c:pt>
                <c:pt idx="8">
                  <c:v>230</c:v>
                </c:pt>
                <c:pt idx="9">
                  <c:v>300</c:v>
                </c:pt>
                <c:pt idx="10">
                  <c:v>374</c:v>
                </c:pt>
                <c:pt idx="11">
                  <c:v>374</c:v>
                </c:pt>
                <c:pt idx="12">
                  <c:v>402</c:v>
                </c:pt>
                <c:pt idx="13">
                  <c:v>414</c:v>
                </c:pt>
                <c:pt idx="14">
                  <c:v>501</c:v>
                </c:pt>
                <c:pt idx="15">
                  <c:v>535</c:v>
                </c:pt>
                <c:pt idx="16">
                  <c:v>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1-44B8-AB63-CB02E3524692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Blad1!$ZT$2:$ZT$24</c:f>
              <c:numCache>
                <c:formatCode>General</c:formatCode>
                <c:ptCount val="23"/>
                <c:pt idx="0">
                  <c:v>0</c:v>
                </c:pt>
                <c:pt idx="1">
                  <c:v>6</c:v>
                </c:pt>
                <c:pt idx="2">
                  <c:v>24</c:v>
                </c:pt>
                <c:pt idx="3">
                  <c:v>96</c:v>
                </c:pt>
                <c:pt idx="4">
                  <c:v>130</c:v>
                </c:pt>
                <c:pt idx="5">
                  <c:v>165</c:v>
                </c:pt>
                <c:pt idx="6">
                  <c:v>192</c:v>
                </c:pt>
                <c:pt idx="7">
                  <c:v>220</c:v>
                </c:pt>
                <c:pt idx="8">
                  <c:v>258</c:v>
                </c:pt>
                <c:pt idx="9">
                  <c:v>282</c:v>
                </c:pt>
                <c:pt idx="10">
                  <c:v>303</c:v>
                </c:pt>
                <c:pt idx="11">
                  <c:v>338</c:v>
                </c:pt>
                <c:pt idx="12">
                  <c:v>380</c:v>
                </c:pt>
                <c:pt idx="13">
                  <c:v>407</c:v>
                </c:pt>
                <c:pt idx="14">
                  <c:v>425</c:v>
                </c:pt>
                <c:pt idx="15">
                  <c:v>440</c:v>
                </c:pt>
                <c:pt idx="16">
                  <c:v>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1-44B8-AB63-CB02E3524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Blad1!$ZZ$2:$ZZ$24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124</c:v>
                </c:pt>
                <c:pt idx="3">
                  <c:v>135</c:v>
                </c:pt>
                <c:pt idx="4">
                  <c:v>183</c:v>
                </c:pt>
                <c:pt idx="5">
                  <c:v>183</c:v>
                </c:pt>
                <c:pt idx="6">
                  <c:v>196</c:v>
                </c:pt>
                <c:pt idx="7">
                  <c:v>212</c:v>
                </c:pt>
                <c:pt idx="8">
                  <c:v>212</c:v>
                </c:pt>
                <c:pt idx="9">
                  <c:v>227</c:v>
                </c:pt>
                <c:pt idx="10">
                  <c:v>227</c:v>
                </c:pt>
                <c:pt idx="11">
                  <c:v>240</c:v>
                </c:pt>
                <c:pt idx="12">
                  <c:v>254</c:v>
                </c:pt>
                <c:pt idx="13">
                  <c:v>266</c:v>
                </c:pt>
                <c:pt idx="14">
                  <c:v>279</c:v>
                </c:pt>
                <c:pt idx="15">
                  <c:v>297</c:v>
                </c:pt>
                <c:pt idx="16">
                  <c:v>330</c:v>
                </c:pt>
                <c:pt idx="17">
                  <c:v>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C0-4446-9FDC-16964F4B8C49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Blad1!$AAF$2:$AAF$24</c:f>
              <c:numCache>
                <c:formatCode>General</c:formatCode>
                <c:ptCount val="23"/>
                <c:pt idx="0">
                  <c:v>0</c:v>
                </c:pt>
                <c:pt idx="1">
                  <c:v>28</c:v>
                </c:pt>
                <c:pt idx="2">
                  <c:v>65</c:v>
                </c:pt>
                <c:pt idx="3">
                  <c:v>97</c:v>
                </c:pt>
                <c:pt idx="4">
                  <c:v>130</c:v>
                </c:pt>
                <c:pt idx="5">
                  <c:v>161</c:v>
                </c:pt>
                <c:pt idx="6">
                  <c:v>187</c:v>
                </c:pt>
                <c:pt idx="7">
                  <c:v>229</c:v>
                </c:pt>
                <c:pt idx="8">
                  <c:v>295</c:v>
                </c:pt>
                <c:pt idx="9">
                  <c:v>315</c:v>
                </c:pt>
                <c:pt idx="10">
                  <c:v>349</c:v>
                </c:pt>
                <c:pt idx="11">
                  <c:v>386</c:v>
                </c:pt>
                <c:pt idx="12">
                  <c:v>468</c:v>
                </c:pt>
                <c:pt idx="13">
                  <c:v>520</c:v>
                </c:pt>
                <c:pt idx="14">
                  <c:v>548</c:v>
                </c:pt>
                <c:pt idx="15">
                  <c:v>586</c:v>
                </c:pt>
                <c:pt idx="16">
                  <c:v>604</c:v>
                </c:pt>
                <c:pt idx="17">
                  <c:v>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C0-4446-9FDC-16964F4B8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Blad1!$AAL$2:$AAL$24</c:f>
              <c:numCache>
                <c:formatCode>General</c:formatCode>
                <c:ptCount val="23"/>
                <c:pt idx="0">
                  <c:v>0</c:v>
                </c:pt>
                <c:pt idx="1">
                  <c:v>22</c:v>
                </c:pt>
                <c:pt idx="2">
                  <c:v>72</c:v>
                </c:pt>
                <c:pt idx="3">
                  <c:v>108</c:v>
                </c:pt>
                <c:pt idx="4">
                  <c:v>138</c:v>
                </c:pt>
                <c:pt idx="5">
                  <c:v>206</c:v>
                </c:pt>
                <c:pt idx="6">
                  <c:v>286</c:v>
                </c:pt>
                <c:pt idx="7">
                  <c:v>296</c:v>
                </c:pt>
                <c:pt idx="8">
                  <c:v>349</c:v>
                </c:pt>
                <c:pt idx="9">
                  <c:v>367</c:v>
                </c:pt>
                <c:pt idx="10">
                  <c:v>378</c:v>
                </c:pt>
                <c:pt idx="11">
                  <c:v>384</c:v>
                </c:pt>
                <c:pt idx="12">
                  <c:v>398</c:v>
                </c:pt>
                <c:pt idx="13">
                  <c:v>410</c:v>
                </c:pt>
                <c:pt idx="14">
                  <c:v>443</c:v>
                </c:pt>
                <c:pt idx="15">
                  <c:v>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83-4FAC-AB75-D1BA4FBDEE99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Blad1!$AAR$2:$AAR$24</c:f>
              <c:numCache>
                <c:formatCode>General</c:formatCode>
                <c:ptCount val="23"/>
                <c:pt idx="0">
                  <c:v>0</c:v>
                </c:pt>
                <c:pt idx="1">
                  <c:v>63</c:v>
                </c:pt>
                <c:pt idx="2">
                  <c:v>145</c:v>
                </c:pt>
                <c:pt idx="3">
                  <c:v>164</c:v>
                </c:pt>
                <c:pt idx="4">
                  <c:v>191</c:v>
                </c:pt>
                <c:pt idx="5">
                  <c:v>224</c:v>
                </c:pt>
                <c:pt idx="6">
                  <c:v>256</c:v>
                </c:pt>
                <c:pt idx="7">
                  <c:v>282</c:v>
                </c:pt>
                <c:pt idx="8">
                  <c:v>312</c:v>
                </c:pt>
                <c:pt idx="9">
                  <c:v>346</c:v>
                </c:pt>
                <c:pt idx="10">
                  <c:v>369</c:v>
                </c:pt>
                <c:pt idx="11">
                  <c:v>404</c:v>
                </c:pt>
                <c:pt idx="12">
                  <c:v>433</c:v>
                </c:pt>
                <c:pt idx="13">
                  <c:v>465</c:v>
                </c:pt>
                <c:pt idx="14">
                  <c:v>477</c:v>
                </c:pt>
                <c:pt idx="15">
                  <c:v>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83-4FAC-AB75-D1BA4FBDE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Blad1!$OL$1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Blad1!$AAX$2:$AAX$24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112</c:v>
                </c:pt>
                <c:pt idx="3">
                  <c:v>174</c:v>
                </c:pt>
                <c:pt idx="4">
                  <c:v>212</c:v>
                </c:pt>
                <c:pt idx="5">
                  <c:v>236</c:v>
                </c:pt>
                <c:pt idx="6">
                  <c:v>272</c:v>
                </c:pt>
                <c:pt idx="7">
                  <c:v>311</c:v>
                </c:pt>
                <c:pt idx="8">
                  <c:v>349</c:v>
                </c:pt>
                <c:pt idx="9">
                  <c:v>371</c:v>
                </c:pt>
                <c:pt idx="10">
                  <c:v>426</c:v>
                </c:pt>
                <c:pt idx="11">
                  <c:v>470</c:v>
                </c:pt>
                <c:pt idx="12">
                  <c:v>495</c:v>
                </c:pt>
                <c:pt idx="13">
                  <c:v>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47-48E7-9112-F306B958B3DA}"/>
            </c:ext>
          </c:extLst>
        </c:ser>
        <c:ser>
          <c:idx val="1"/>
          <c:order val="1"/>
          <c:tx>
            <c:strRef>
              <c:f>Blad1!$OR$1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Blad1!$A$2:$A$24</c:f>
              <c:numCache>
                <c:formatCode>General</c:formatCode>
                <c:ptCount val="2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Blad1!$ABD$2:$ABD$24</c:f>
              <c:numCache>
                <c:formatCode>General</c:formatCode>
                <c:ptCount val="23"/>
                <c:pt idx="0">
                  <c:v>0</c:v>
                </c:pt>
                <c:pt idx="1">
                  <c:v>32</c:v>
                </c:pt>
                <c:pt idx="2">
                  <c:v>52</c:v>
                </c:pt>
                <c:pt idx="3">
                  <c:v>168</c:v>
                </c:pt>
                <c:pt idx="4">
                  <c:v>218</c:v>
                </c:pt>
                <c:pt idx="5">
                  <c:v>318</c:v>
                </c:pt>
                <c:pt idx="6">
                  <c:v>354</c:v>
                </c:pt>
                <c:pt idx="7">
                  <c:v>384</c:v>
                </c:pt>
                <c:pt idx="8">
                  <c:v>414</c:v>
                </c:pt>
                <c:pt idx="9">
                  <c:v>432</c:v>
                </c:pt>
                <c:pt idx="10">
                  <c:v>465</c:v>
                </c:pt>
                <c:pt idx="11">
                  <c:v>481</c:v>
                </c:pt>
                <c:pt idx="12">
                  <c:v>486</c:v>
                </c:pt>
                <c:pt idx="13">
                  <c:v>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47-48E7-9112-F306B958B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Blad1!$ABJ$1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Blad1!$A$2:$A$36</c:f>
              <c:numCache>
                <c:formatCode>General</c:formatCode>
                <c:ptCount val="3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7">
                  <c:v>2101.3483860492706</c:v>
                </c:pt>
              </c:numCache>
            </c:numRef>
          </c:cat>
          <c:val>
            <c:numRef>
              <c:f>Blad1!$ABJ$2:$ABJ$36</c:f>
              <c:numCache>
                <c:formatCode>General</c:formatCode>
                <c:ptCount val="35"/>
                <c:pt idx="0">
                  <c:v>0</c:v>
                </c:pt>
                <c:pt idx="1">
                  <c:v>9</c:v>
                </c:pt>
                <c:pt idx="2">
                  <c:v>47</c:v>
                </c:pt>
                <c:pt idx="3">
                  <c:v>94</c:v>
                </c:pt>
                <c:pt idx="4">
                  <c:v>123</c:v>
                </c:pt>
                <c:pt idx="5">
                  <c:v>151</c:v>
                </c:pt>
                <c:pt idx="6">
                  <c:v>182</c:v>
                </c:pt>
                <c:pt idx="7">
                  <c:v>236</c:v>
                </c:pt>
                <c:pt idx="8">
                  <c:v>258</c:v>
                </c:pt>
                <c:pt idx="9">
                  <c:v>282</c:v>
                </c:pt>
                <c:pt idx="10">
                  <c:v>312</c:v>
                </c:pt>
                <c:pt idx="11">
                  <c:v>334</c:v>
                </c:pt>
                <c:pt idx="12">
                  <c:v>357</c:v>
                </c:pt>
                <c:pt idx="13">
                  <c:v>375</c:v>
                </c:pt>
                <c:pt idx="14">
                  <c:v>386</c:v>
                </c:pt>
                <c:pt idx="15">
                  <c:v>411</c:v>
                </c:pt>
                <c:pt idx="16">
                  <c:v>426</c:v>
                </c:pt>
                <c:pt idx="17">
                  <c:v>439</c:v>
                </c:pt>
                <c:pt idx="18">
                  <c:v>446</c:v>
                </c:pt>
                <c:pt idx="19">
                  <c:v>444</c:v>
                </c:pt>
                <c:pt idx="25">
                  <c:v>444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BA-485C-9443-7362B0247F8D}"/>
            </c:ext>
          </c:extLst>
        </c:ser>
        <c:ser>
          <c:idx val="1"/>
          <c:order val="1"/>
          <c:tx>
            <c:strRef>
              <c:f>Blad1!$ABP$1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Blad1!$A$2:$A$36</c:f>
              <c:numCache>
                <c:formatCode>General</c:formatCode>
                <c:ptCount val="35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7">
                  <c:v>2101.3483860492706</c:v>
                </c:pt>
              </c:numCache>
            </c:numRef>
          </c:cat>
          <c:val>
            <c:numRef>
              <c:f>Blad1!$ABP$2:$ABP$36</c:f>
              <c:numCache>
                <c:formatCode>General</c:formatCode>
                <c:ptCount val="35"/>
                <c:pt idx="0">
                  <c:v>0</c:v>
                </c:pt>
                <c:pt idx="1">
                  <c:v>28</c:v>
                </c:pt>
                <c:pt idx="2">
                  <c:v>97</c:v>
                </c:pt>
                <c:pt idx="3">
                  <c:v>191</c:v>
                </c:pt>
                <c:pt idx="4">
                  <c:v>230</c:v>
                </c:pt>
                <c:pt idx="5">
                  <c:v>260</c:v>
                </c:pt>
                <c:pt idx="6">
                  <c:v>286</c:v>
                </c:pt>
                <c:pt idx="7">
                  <c:v>313</c:v>
                </c:pt>
                <c:pt idx="8">
                  <c:v>350</c:v>
                </c:pt>
                <c:pt idx="9">
                  <c:v>367</c:v>
                </c:pt>
                <c:pt idx="10">
                  <c:v>399</c:v>
                </c:pt>
                <c:pt idx="11">
                  <c:v>415</c:v>
                </c:pt>
                <c:pt idx="12">
                  <c:v>438</c:v>
                </c:pt>
                <c:pt idx="13">
                  <c:v>450</c:v>
                </c:pt>
                <c:pt idx="14">
                  <c:v>461</c:v>
                </c:pt>
                <c:pt idx="15">
                  <c:v>487</c:v>
                </c:pt>
                <c:pt idx="16">
                  <c:v>501</c:v>
                </c:pt>
                <c:pt idx="17">
                  <c:v>512</c:v>
                </c:pt>
                <c:pt idx="18">
                  <c:v>521</c:v>
                </c:pt>
                <c:pt idx="19">
                  <c:v>523</c:v>
                </c:pt>
                <c:pt idx="25">
                  <c:v>523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7BA-485C-9443-7362B0247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Totaalscore per beurt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Blad1!$R$1</c:f>
              <c:strCache>
                <c:ptCount val="1"/>
                <c:pt idx="0">
                  <c:v>Greedy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Blad1!$A$2:$A$23</c:f>
              <c:numCache>
                <c:formatCode>General</c:formatCode>
                <c:ptCount val="2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Blad1!$F$2:$F$23</c:f>
              <c:numCache>
                <c:formatCode>General</c:formatCode>
                <c:ptCount val="22"/>
                <c:pt idx="0">
                  <c:v>0</c:v>
                </c:pt>
                <c:pt idx="1">
                  <c:v>28</c:v>
                </c:pt>
                <c:pt idx="2">
                  <c:v>54</c:v>
                </c:pt>
                <c:pt idx="3">
                  <c:v>98</c:v>
                </c:pt>
                <c:pt idx="4">
                  <c:v>140</c:v>
                </c:pt>
                <c:pt idx="5">
                  <c:v>206</c:v>
                </c:pt>
                <c:pt idx="6">
                  <c:v>272</c:v>
                </c:pt>
                <c:pt idx="7">
                  <c:v>303</c:v>
                </c:pt>
                <c:pt idx="8">
                  <c:v>335</c:v>
                </c:pt>
                <c:pt idx="9">
                  <c:v>365</c:v>
                </c:pt>
                <c:pt idx="10">
                  <c:v>399</c:v>
                </c:pt>
                <c:pt idx="11">
                  <c:v>428</c:v>
                </c:pt>
                <c:pt idx="12">
                  <c:v>465</c:v>
                </c:pt>
                <c:pt idx="13">
                  <c:v>481</c:v>
                </c:pt>
                <c:pt idx="14">
                  <c:v>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B0-42D0-9FD9-BC7E1C86560A}"/>
            </c:ext>
          </c:extLst>
        </c:ser>
        <c:ser>
          <c:idx val="1"/>
          <c:order val="1"/>
          <c:tx>
            <c:strRef>
              <c:f>Blad1!$X$1</c:f>
              <c:strCache>
                <c:ptCount val="1"/>
                <c:pt idx="0">
                  <c:v>Chance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Blad1!$A$2:$A$23</c:f>
              <c:numCache>
                <c:formatCode>General</c:formatCode>
                <c:ptCount val="2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Blad1!$L$2:$L$23</c:f>
              <c:numCache>
                <c:formatCode>General</c:formatCode>
                <c:ptCount val="22"/>
                <c:pt idx="0">
                  <c:v>0</c:v>
                </c:pt>
                <c:pt idx="1">
                  <c:v>38</c:v>
                </c:pt>
                <c:pt idx="2">
                  <c:v>114</c:v>
                </c:pt>
                <c:pt idx="3">
                  <c:v>132</c:v>
                </c:pt>
                <c:pt idx="4">
                  <c:v>196</c:v>
                </c:pt>
                <c:pt idx="5">
                  <c:v>230</c:v>
                </c:pt>
                <c:pt idx="6">
                  <c:v>262</c:v>
                </c:pt>
                <c:pt idx="7">
                  <c:v>284</c:v>
                </c:pt>
                <c:pt idx="8">
                  <c:v>326</c:v>
                </c:pt>
                <c:pt idx="9">
                  <c:v>352</c:v>
                </c:pt>
                <c:pt idx="10">
                  <c:v>414</c:v>
                </c:pt>
                <c:pt idx="11">
                  <c:v>444</c:v>
                </c:pt>
                <c:pt idx="12">
                  <c:v>469</c:v>
                </c:pt>
                <c:pt idx="13">
                  <c:v>478</c:v>
                </c:pt>
                <c:pt idx="14">
                  <c:v>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B0-42D0-9FD9-BC7E1C865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Beurt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Score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Winner game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5F-4571-BE8A-362F775A2D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5F-4571-BE8A-362F775A2D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5F-4571-BE8A-362F775A2D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Blad1!$A$50:$A$52</c:f>
              <c:strCache>
                <c:ptCount val="3"/>
                <c:pt idx="0">
                  <c:v>Chance</c:v>
                </c:pt>
                <c:pt idx="1">
                  <c:v>Greedy</c:v>
                </c:pt>
                <c:pt idx="2">
                  <c:v>Tie</c:v>
                </c:pt>
              </c:strCache>
            </c:strRef>
          </c:cat>
          <c:val>
            <c:numRef>
              <c:f>Blad1!$B$50:$B$52</c:f>
              <c:numCache>
                <c:formatCode>General</c:formatCode>
                <c:ptCount val="3"/>
                <c:pt idx="0">
                  <c:v>35</c:v>
                </c:pt>
                <c:pt idx="1">
                  <c:v>26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3-4D3D-87F9-4F32A4577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A2E20C8-AC76-4296-A3FA-EC1AB8C4973D}">
  <sheetPr/>
  <sheetViews>
    <sheetView zoomScale="12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26" Type="http://schemas.openxmlformats.org/officeDocument/2006/relationships/chart" Target="../charts/chart27.xml"/><Relationship Id="rId39" Type="http://schemas.openxmlformats.org/officeDocument/2006/relationships/chart" Target="../charts/chart40.xml"/><Relationship Id="rId21" Type="http://schemas.openxmlformats.org/officeDocument/2006/relationships/chart" Target="../charts/chart22.xml"/><Relationship Id="rId34" Type="http://schemas.openxmlformats.org/officeDocument/2006/relationships/chart" Target="../charts/chart35.xml"/><Relationship Id="rId42" Type="http://schemas.openxmlformats.org/officeDocument/2006/relationships/chart" Target="../charts/chart43.xml"/><Relationship Id="rId47" Type="http://schemas.openxmlformats.org/officeDocument/2006/relationships/chart" Target="../charts/chart48.xml"/><Relationship Id="rId50" Type="http://schemas.openxmlformats.org/officeDocument/2006/relationships/chart" Target="../charts/chart51.xml"/><Relationship Id="rId55" Type="http://schemas.openxmlformats.org/officeDocument/2006/relationships/chart" Target="../charts/chart56.xml"/><Relationship Id="rId63" Type="http://schemas.openxmlformats.org/officeDocument/2006/relationships/chart" Target="../charts/chart6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29" Type="http://schemas.openxmlformats.org/officeDocument/2006/relationships/chart" Target="../charts/chart30.xml"/><Relationship Id="rId11" Type="http://schemas.openxmlformats.org/officeDocument/2006/relationships/chart" Target="../charts/chart12.xml"/><Relationship Id="rId24" Type="http://schemas.openxmlformats.org/officeDocument/2006/relationships/chart" Target="../charts/chart25.xml"/><Relationship Id="rId32" Type="http://schemas.openxmlformats.org/officeDocument/2006/relationships/chart" Target="../charts/chart33.xml"/><Relationship Id="rId37" Type="http://schemas.openxmlformats.org/officeDocument/2006/relationships/chart" Target="../charts/chart38.xml"/><Relationship Id="rId40" Type="http://schemas.openxmlformats.org/officeDocument/2006/relationships/chart" Target="../charts/chart41.xml"/><Relationship Id="rId45" Type="http://schemas.openxmlformats.org/officeDocument/2006/relationships/chart" Target="../charts/chart46.xml"/><Relationship Id="rId53" Type="http://schemas.openxmlformats.org/officeDocument/2006/relationships/chart" Target="../charts/chart54.xml"/><Relationship Id="rId58" Type="http://schemas.openxmlformats.org/officeDocument/2006/relationships/chart" Target="../charts/chart59.xml"/><Relationship Id="rId5" Type="http://schemas.openxmlformats.org/officeDocument/2006/relationships/chart" Target="../charts/chart6.xml"/><Relationship Id="rId61" Type="http://schemas.openxmlformats.org/officeDocument/2006/relationships/chart" Target="../charts/chart62.xml"/><Relationship Id="rId19" Type="http://schemas.openxmlformats.org/officeDocument/2006/relationships/chart" Target="../charts/chart20.xml"/><Relationship Id="rId14" Type="http://schemas.openxmlformats.org/officeDocument/2006/relationships/chart" Target="../charts/chart15.xml"/><Relationship Id="rId22" Type="http://schemas.openxmlformats.org/officeDocument/2006/relationships/chart" Target="../charts/chart23.xml"/><Relationship Id="rId27" Type="http://schemas.openxmlformats.org/officeDocument/2006/relationships/chart" Target="../charts/chart28.xml"/><Relationship Id="rId30" Type="http://schemas.openxmlformats.org/officeDocument/2006/relationships/chart" Target="../charts/chart31.xml"/><Relationship Id="rId35" Type="http://schemas.openxmlformats.org/officeDocument/2006/relationships/chart" Target="../charts/chart36.xml"/><Relationship Id="rId43" Type="http://schemas.openxmlformats.org/officeDocument/2006/relationships/chart" Target="../charts/chart44.xml"/><Relationship Id="rId48" Type="http://schemas.openxmlformats.org/officeDocument/2006/relationships/chart" Target="../charts/chart49.xml"/><Relationship Id="rId56" Type="http://schemas.openxmlformats.org/officeDocument/2006/relationships/chart" Target="../charts/chart57.xml"/><Relationship Id="rId8" Type="http://schemas.openxmlformats.org/officeDocument/2006/relationships/chart" Target="../charts/chart9.xml"/><Relationship Id="rId51" Type="http://schemas.openxmlformats.org/officeDocument/2006/relationships/chart" Target="../charts/chart52.xml"/><Relationship Id="rId3" Type="http://schemas.openxmlformats.org/officeDocument/2006/relationships/chart" Target="../charts/chart4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5" Type="http://schemas.openxmlformats.org/officeDocument/2006/relationships/chart" Target="../charts/chart26.xml"/><Relationship Id="rId33" Type="http://schemas.openxmlformats.org/officeDocument/2006/relationships/chart" Target="../charts/chart34.xml"/><Relationship Id="rId38" Type="http://schemas.openxmlformats.org/officeDocument/2006/relationships/chart" Target="../charts/chart39.xml"/><Relationship Id="rId46" Type="http://schemas.openxmlformats.org/officeDocument/2006/relationships/chart" Target="../charts/chart47.xml"/><Relationship Id="rId59" Type="http://schemas.openxmlformats.org/officeDocument/2006/relationships/chart" Target="../charts/chart60.xml"/><Relationship Id="rId20" Type="http://schemas.openxmlformats.org/officeDocument/2006/relationships/chart" Target="../charts/chart21.xml"/><Relationship Id="rId41" Type="http://schemas.openxmlformats.org/officeDocument/2006/relationships/chart" Target="../charts/chart42.xml"/><Relationship Id="rId54" Type="http://schemas.openxmlformats.org/officeDocument/2006/relationships/chart" Target="../charts/chart55.xml"/><Relationship Id="rId62" Type="http://schemas.openxmlformats.org/officeDocument/2006/relationships/chart" Target="../charts/chart6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5" Type="http://schemas.openxmlformats.org/officeDocument/2006/relationships/chart" Target="../charts/chart16.xml"/><Relationship Id="rId23" Type="http://schemas.openxmlformats.org/officeDocument/2006/relationships/chart" Target="../charts/chart24.xml"/><Relationship Id="rId28" Type="http://schemas.openxmlformats.org/officeDocument/2006/relationships/chart" Target="../charts/chart29.xml"/><Relationship Id="rId36" Type="http://schemas.openxmlformats.org/officeDocument/2006/relationships/chart" Target="../charts/chart37.xml"/><Relationship Id="rId49" Type="http://schemas.openxmlformats.org/officeDocument/2006/relationships/chart" Target="../charts/chart50.xml"/><Relationship Id="rId57" Type="http://schemas.openxmlformats.org/officeDocument/2006/relationships/chart" Target="../charts/chart58.xml"/><Relationship Id="rId10" Type="http://schemas.openxmlformats.org/officeDocument/2006/relationships/chart" Target="../charts/chart11.xml"/><Relationship Id="rId31" Type="http://schemas.openxmlformats.org/officeDocument/2006/relationships/chart" Target="../charts/chart32.xml"/><Relationship Id="rId44" Type="http://schemas.openxmlformats.org/officeDocument/2006/relationships/chart" Target="../charts/chart45.xml"/><Relationship Id="rId52" Type="http://schemas.openxmlformats.org/officeDocument/2006/relationships/chart" Target="../charts/chart53.xml"/><Relationship Id="rId60" Type="http://schemas.openxmlformats.org/officeDocument/2006/relationships/chart" Target="../charts/chart6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7EE5F8E3-A713-DFDA-7FE0-A54B2237E6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25</xdr:col>
      <xdr:colOff>0</xdr:colOff>
      <xdr:row>29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37</xdr:col>
      <xdr:colOff>0</xdr:colOff>
      <xdr:row>29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49</xdr:col>
      <xdr:colOff>0</xdr:colOff>
      <xdr:row>29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61</xdr:col>
      <xdr:colOff>0</xdr:colOff>
      <xdr:row>29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73</xdr:col>
      <xdr:colOff>0</xdr:colOff>
      <xdr:row>29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85</xdr:col>
      <xdr:colOff>0</xdr:colOff>
      <xdr:row>29</xdr:row>
      <xdr:rowOff>0</xdr:rowOff>
    </xdr:from>
    <xdr:ext cx="5400000" cy="27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97</xdr:col>
      <xdr:colOff>0</xdr:colOff>
      <xdr:row>29</xdr:row>
      <xdr:rowOff>0</xdr:rowOff>
    </xdr:from>
    <xdr:ext cx="5400000" cy="27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109</xdr:col>
      <xdr:colOff>0</xdr:colOff>
      <xdr:row>29</xdr:row>
      <xdr:rowOff>0</xdr:rowOff>
    </xdr:from>
    <xdr:ext cx="5400000" cy="27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121</xdr:col>
      <xdr:colOff>0</xdr:colOff>
      <xdr:row>29</xdr:row>
      <xdr:rowOff>0</xdr:rowOff>
    </xdr:from>
    <xdr:ext cx="5400000" cy="27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133</xdr:col>
      <xdr:colOff>0</xdr:colOff>
      <xdr:row>29</xdr:row>
      <xdr:rowOff>0</xdr:rowOff>
    </xdr:from>
    <xdr:ext cx="5400000" cy="270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145</xdr:col>
      <xdr:colOff>0</xdr:colOff>
      <xdr:row>29</xdr:row>
      <xdr:rowOff>0</xdr:rowOff>
    </xdr:from>
    <xdr:ext cx="5400000" cy="270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157</xdr:col>
      <xdr:colOff>0</xdr:colOff>
      <xdr:row>29</xdr:row>
      <xdr:rowOff>0</xdr:rowOff>
    </xdr:from>
    <xdr:ext cx="5400000" cy="270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169</xdr:col>
      <xdr:colOff>0</xdr:colOff>
      <xdr:row>29</xdr:row>
      <xdr:rowOff>0</xdr:rowOff>
    </xdr:from>
    <xdr:ext cx="5400000" cy="270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181</xdr:col>
      <xdr:colOff>0</xdr:colOff>
      <xdr:row>29</xdr:row>
      <xdr:rowOff>0</xdr:rowOff>
    </xdr:from>
    <xdr:ext cx="5400000" cy="270000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193</xdr:col>
      <xdr:colOff>0</xdr:colOff>
      <xdr:row>29</xdr:row>
      <xdr:rowOff>0</xdr:rowOff>
    </xdr:from>
    <xdr:ext cx="5400000" cy="27000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205</xdr:col>
      <xdr:colOff>0</xdr:colOff>
      <xdr:row>29</xdr:row>
      <xdr:rowOff>0</xdr:rowOff>
    </xdr:from>
    <xdr:ext cx="5400000" cy="270000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217</xdr:col>
      <xdr:colOff>0</xdr:colOff>
      <xdr:row>29</xdr:row>
      <xdr:rowOff>0</xdr:rowOff>
    </xdr:from>
    <xdr:ext cx="5400000" cy="270000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229</xdr:col>
      <xdr:colOff>0</xdr:colOff>
      <xdr:row>29</xdr:row>
      <xdr:rowOff>0</xdr:rowOff>
    </xdr:from>
    <xdr:ext cx="5400000" cy="270000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241</xdr:col>
      <xdr:colOff>0</xdr:colOff>
      <xdr:row>29</xdr:row>
      <xdr:rowOff>0</xdr:rowOff>
    </xdr:from>
    <xdr:ext cx="5400000" cy="270000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253</xdr:col>
      <xdr:colOff>0</xdr:colOff>
      <xdr:row>29</xdr:row>
      <xdr:rowOff>0</xdr:rowOff>
    </xdr:from>
    <xdr:ext cx="5400000" cy="270000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265</xdr:col>
      <xdr:colOff>0</xdr:colOff>
      <xdr:row>29</xdr:row>
      <xdr:rowOff>0</xdr:rowOff>
    </xdr:from>
    <xdr:ext cx="5400000" cy="270000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277</xdr:col>
      <xdr:colOff>0</xdr:colOff>
      <xdr:row>29</xdr:row>
      <xdr:rowOff>0</xdr:rowOff>
    </xdr:from>
    <xdr:ext cx="5400000" cy="2700000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289</xdr:col>
      <xdr:colOff>0</xdr:colOff>
      <xdr:row>29</xdr:row>
      <xdr:rowOff>0</xdr:rowOff>
    </xdr:from>
    <xdr:ext cx="5400000" cy="2700000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301</xdr:col>
      <xdr:colOff>0</xdr:colOff>
      <xdr:row>29</xdr:row>
      <xdr:rowOff>0</xdr:rowOff>
    </xdr:from>
    <xdr:ext cx="5400000" cy="2700000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313</xdr:col>
      <xdr:colOff>0</xdr:colOff>
      <xdr:row>29</xdr:row>
      <xdr:rowOff>0</xdr:rowOff>
    </xdr:from>
    <xdr:ext cx="5400000" cy="2700000"/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  <xdr:oneCellAnchor>
    <xdr:from>
      <xdr:col>325</xdr:col>
      <xdr:colOff>0</xdr:colOff>
      <xdr:row>29</xdr:row>
      <xdr:rowOff>0</xdr:rowOff>
    </xdr:from>
    <xdr:ext cx="5400000" cy="2700000"/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oneCellAnchor>
  <xdr:oneCellAnchor>
    <xdr:from>
      <xdr:col>337</xdr:col>
      <xdr:colOff>0</xdr:colOff>
      <xdr:row>29</xdr:row>
      <xdr:rowOff>0</xdr:rowOff>
    </xdr:from>
    <xdr:ext cx="5400000" cy="2700000"/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oneCellAnchor>
  <xdr:oneCellAnchor>
    <xdr:from>
      <xdr:col>349</xdr:col>
      <xdr:colOff>0</xdr:colOff>
      <xdr:row>29</xdr:row>
      <xdr:rowOff>0</xdr:rowOff>
    </xdr:from>
    <xdr:ext cx="5400000" cy="2700000"/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oneCellAnchor>
  <xdr:oneCellAnchor>
    <xdr:from>
      <xdr:col>361</xdr:col>
      <xdr:colOff>0</xdr:colOff>
      <xdr:row>29</xdr:row>
      <xdr:rowOff>0</xdr:rowOff>
    </xdr:from>
    <xdr:ext cx="5400000" cy="2700000"/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oneCellAnchor>
  <xdr:oneCellAnchor>
    <xdr:from>
      <xdr:col>373</xdr:col>
      <xdr:colOff>0</xdr:colOff>
      <xdr:row>29</xdr:row>
      <xdr:rowOff>0</xdr:rowOff>
    </xdr:from>
    <xdr:ext cx="5400000" cy="2700000"/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oneCellAnchor>
  <xdr:oneCellAnchor>
    <xdr:from>
      <xdr:col>385</xdr:col>
      <xdr:colOff>0</xdr:colOff>
      <xdr:row>29</xdr:row>
      <xdr:rowOff>0</xdr:rowOff>
    </xdr:from>
    <xdr:ext cx="5400000" cy="2700000"/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oneCellAnchor>
  <xdr:oneCellAnchor>
    <xdr:from>
      <xdr:col>397</xdr:col>
      <xdr:colOff>0</xdr:colOff>
      <xdr:row>29</xdr:row>
      <xdr:rowOff>0</xdr:rowOff>
    </xdr:from>
    <xdr:ext cx="5400000" cy="2700000"/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oneCellAnchor>
  <xdr:oneCellAnchor>
    <xdr:from>
      <xdr:col>409</xdr:col>
      <xdr:colOff>0</xdr:colOff>
      <xdr:row>29</xdr:row>
      <xdr:rowOff>0</xdr:rowOff>
    </xdr:from>
    <xdr:ext cx="5400000" cy="2700000"/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oneCellAnchor>
  <xdr:oneCellAnchor>
    <xdr:from>
      <xdr:col>421</xdr:col>
      <xdr:colOff>0</xdr:colOff>
      <xdr:row>30</xdr:row>
      <xdr:rowOff>0</xdr:rowOff>
    </xdr:from>
    <xdr:ext cx="5400000" cy="2700000"/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oneCellAnchor>
  <xdr:oneCellAnchor>
    <xdr:from>
      <xdr:col>433</xdr:col>
      <xdr:colOff>0</xdr:colOff>
      <xdr:row>30</xdr:row>
      <xdr:rowOff>0</xdr:rowOff>
    </xdr:from>
    <xdr:ext cx="5400000" cy="2700000"/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oneCellAnchor>
  <xdr:oneCellAnchor>
    <xdr:from>
      <xdr:col>445</xdr:col>
      <xdr:colOff>0</xdr:colOff>
      <xdr:row>30</xdr:row>
      <xdr:rowOff>0</xdr:rowOff>
    </xdr:from>
    <xdr:ext cx="5400000" cy="2700000"/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oneCellAnchor>
  <xdr:oneCellAnchor>
    <xdr:from>
      <xdr:col>457</xdr:col>
      <xdr:colOff>0</xdr:colOff>
      <xdr:row>30</xdr:row>
      <xdr:rowOff>0</xdr:rowOff>
    </xdr:from>
    <xdr:ext cx="5400000" cy="2700000"/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oneCellAnchor>
  <xdr:oneCellAnchor>
    <xdr:from>
      <xdr:col>470</xdr:col>
      <xdr:colOff>0</xdr:colOff>
      <xdr:row>30</xdr:row>
      <xdr:rowOff>0</xdr:rowOff>
    </xdr:from>
    <xdr:ext cx="5400000" cy="2700000"/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oneCellAnchor>
  <xdr:oneCellAnchor>
    <xdr:from>
      <xdr:col>481</xdr:col>
      <xdr:colOff>0</xdr:colOff>
      <xdr:row>31</xdr:row>
      <xdr:rowOff>0</xdr:rowOff>
    </xdr:from>
    <xdr:ext cx="5400000" cy="2700000"/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oneCellAnchor>
  <xdr:oneCellAnchor>
    <xdr:from>
      <xdr:col>493</xdr:col>
      <xdr:colOff>0</xdr:colOff>
      <xdr:row>31</xdr:row>
      <xdr:rowOff>0</xdr:rowOff>
    </xdr:from>
    <xdr:ext cx="5400000" cy="2700000"/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oneCellAnchor>
  <xdr:oneCellAnchor>
    <xdr:from>
      <xdr:col>505</xdr:col>
      <xdr:colOff>0</xdr:colOff>
      <xdr:row>30</xdr:row>
      <xdr:rowOff>0</xdr:rowOff>
    </xdr:from>
    <xdr:ext cx="5400000" cy="2700000"/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oneCellAnchor>
  <xdr:oneCellAnchor>
    <xdr:from>
      <xdr:col>518</xdr:col>
      <xdr:colOff>0</xdr:colOff>
      <xdr:row>30</xdr:row>
      <xdr:rowOff>0</xdr:rowOff>
    </xdr:from>
    <xdr:ext cx="5400000" cy="2700000"/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oneCellAnchor>
  <xdr:oneCellAnchor>
    <xdr:from>
      <xdr:col>529</xdr:col>
      <xdr:colOff>0</xdr:colOff>
      <xdr:row>30</xdr:row>
      <xdr:rowOff>0</xdr:rowOff>
    </xdr:from>
    <xdr:ext cx="5400000" cy="2700000"/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oneCellAnchor>
  <xdr:oneCellAnchor>
    <xdr:from>
      <xdr:col>541</xdr:col>
      <xdr:colOff>0</xdr:colOff>
      <xdr:row>30</xdr:row>
      <xdr:rowOff>0</xdr:rowOff>
    </xdr:from>
    <xdr:ext cx="5400000" cy="2700000"/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oneCellAnchor>
  <xdr:oneCellAnchor>
    <xdr:from>
      <xdr:col>553</xdr:col>
      <xdr:colOff>0</xdr:colOff>
      <xdr:row>30</xdr:row>
      <xdr:rowOff>0</xdr:rowOff>
    </xdr:from>
    <xdr:ext cx="5400000" cy="2700000"/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oneCellAnchor>
  <xdr:oneCellAnchor>
    <xdr:from>
      <xdr:col>565</xdr:col>
      <xdr:colOff>0</xdr:colOff>
      <xdr:row>30</xdr:row>
      <xdr:rowOff>0</xdr:rowOff>
    </xdr:from>
    <xdr:ext cx="5400000" cy="2700000"/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oneCellAnchor>
  <xdr:oneCellAnchor>
    <xdr:from>
      <xdr:col>578</xdr:col>
      <xdr:colOff>0</xdr:colOff>
      <xdr:row>30</xdr:row>
      <xdr:rowOff>0</xdr:rowOff>
    </xdr:from>
    <xdr:ext cx="5400000" cy="2700000"/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oneCellAnchor>
  <xdr:oneCellAnchor>
    <xdr:from>
      <xdr:col>590</xdr:col>
      <xdr:colOff>0</xdr:colOff>
      <xdr:row>30</xdr:row>
      <xdr:rowOff>0</xdr:rowOff>
    </xdr:from>
    <xdr:ext cx="5400000" cy="2700000"/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oneCellAnchor>
  <xdr:oneCellAnchor>
    <xdr:from>
      <xdr:col>602</xdr:col>
      <xdr:colOff>0</xdr:colOff>
      <xdr:row>30</xdr:row>
      <xdr:rowOff>0</xdr:rowOff>
    </xdr:from>
    <xdr:ext cx="5400000" cy="2700000"/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oneCellAnchor>
  <xdr:oneCellAnchor>
    <xdr:from>
      <xdr:col>614</xdr:col>
      <xdr:colOff>0</xdr:colOff>
      <xdr:row>30</xdr:row>
      <xdr:rowOff>0</xdr:rowOff>
    </xdr:from>
    <xdr:ext cx="5400000" cy="2700000"/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oneCellAnchor>
  <xdr:oneCellAnchor>
    <xdr:from>
      <xdr:col>625</xdr:col>
      <xdr:colOff>0</xdr:colOff>
      <xdr:row>30</xdr:row>
      <xdr:rowOff>0</xdr:rowOff>
    </xdr:from>
    <xdr:ext cx="5400000" cy="2700000"/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oneCellAnchor>
  <xdr:oneCellAnchor>
    <xdr:from>
      <xdr:col>637</xdr:col>
      <xdr:colOff>0</xdr:colOff>
      <xdr:row>30</xdr:row>
      <xdr:rowOff>0</xdr:rowOff>
    </xdr:from>
    <xdr:ext cx="5400000" cy="2700000"/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oneCellAnchor>
  <xdr:oneCellAnchor>
    <xdr:from>
      <xdr:col>649</xdr:col>
      <xdr:colOff>0</xdr:colOff>
      <xdr:row>30</xdr:row>
      <xdr:rowOff>0</xdr:rowOff>
    </xdr:from>
    <xdr:ext cx="5400000" cy="2700000"/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oneCellAnchor>
  <xdr:oneCellAnchor>
    <xdr:from>
      <xdr:col>661</xdr:col>
      <xdr:colOff>0</xdr:colOff>
      <xdr:row>30</xdr:row>
      <xdr:rowOff>0</xdr:rowOff>
    </xdr:from>
    <xdr:ext cx="5400000" cy="2700000"/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oneCellAnchor>
  <xdr:oneCellAnchor>
    <xdr:from>
      <xdr:col>673</xdr:col>
      <xdr:colOff>0</xdr:colOff>
      <xdr:row>30</xdr:row>
      <xdr:rowOff>0</xdr:rowOff>
    </xdr:from>
    <xdr:ext cx="5400000" cy="2700000"/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oneCellAnchor>
  <xdr:oneCellAnchor>
    <xdr:from>
      <xdr:col>685</xdr:col>
      <xdr:colOff>0</xdr:colOff>
      <xdr:row>30</xdr:row>
      <xdr:rowOff>0</xdr:rowOff>
    </xdr:from>
    <xdr:ext cx="5400000" cy="2700000"/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oneCellAnchor>
  <xdr:oneCellAnchor>
    <xdr:from>
      <xdr:col>697</xdr:col>
      <xdr:colOff>0</xdr:colOff>
      <xdr:row>30</xdr:row>
      <xdr:rowOff>0</xdr:rowOff>
    </xdr:from>
    <xdr:ext cx="5400000" cy="2700000"/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oneCellAnchor>
  <xdr:oneCellAnchor>
    <xdr:from>
      <xdr:col>710</xdr:col>
      <xdr:colOff>0</xdr:colOff>
      <xdr:row>30</xdr:row>
      <xdr:rowOff>0</xdr:rowOff>
    </xdr:from>
    <xdr:ext cx="5400000" cy="2700000"/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oneCellAnchor>
  <xdr:oneCellAnchor>
    <xdr:from>
      <xdr:col>721</xdr:col>
      <xdr:colOff>0</xdr:colOff>
      <xdr:row>30</xdr:row>
      <xdr:rowOff>0</xdr:rowOff>
    </xdr:from>
    <xdr:ext cx="5400000" cy="2700000"/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oneCellAnchor>
  <xdr:oneCellAnchor>
    <xdr:from>
      <xdr:col>733</xdr:col>
      <xdr:colOff>0</xdr:colOff>
      <xdr:row>29</xdr:row>
      <xdr:rowOff>0</xdr:rowOff>
    </xdr:from>
    <xdr:ext cx="5400000" cy="2700000"/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oneCellAnchor>
  <xdr:oneCellAnchor>
    <xdr:from>
      <xdr:col>1</xdr:col>
      <xdr:colOff>457555</xdr:colOff>
      <xdr:row>29</xdr:row>
      <xdr:rowOff>25097</xdr:rowOff>
    </xdr:from>
    <xdr:ext cx="5400000" cy="2700000"/>
    <xdr:graphicFrame macro="">
      <xdr:nvGraphicFramePr>
        <xdr:cNvPr id="63" name="Chart 1">
          <a:extLst>
            <a:ext uri="{FF2B5EF4-FFF2-40B4-BE49-F238E27FC236}">
              <a16:creationId xmlns:a16="http://schemas.microsoft.com/office/drawing/2014/main" id="{51D8D432-08E1-4214-B5B5-20E151D9A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oneCellAnchor>
  <xdr:twoCellAnchor>
    <xdr:from>
      <xdr:col>10</xdr:col>
      <xdr:colOff>481318</xdr:colOff>
      <xdr:row>44</xdr:row>
      <xdr:rowOff>173609</xdr:rowOff>
    </xdr:from>
    <xdr:to>
      <xdr:col>18</xdr:col>
      <xdr:colOff>205172</xdr:colOff>
      <xdr:row>59</xdr:row>
      <xdr:rowOff>61577</xdr:rowOff>
    </xdr:to>
    <xdr:graphicFrame macro="">
      <xdr:nvGraphicFramePr>
        <xdr:cNvPr id="64" name="Grafiek 63">
          <a:extLst>
            <a:ext uri="{FF2B5EF4-FFF2-40B4-BE49-F238E27FC236}">
              <a16:creationId xmlns:a16="http://schemas.microsoft.com/office/drawing/2014/main" id="{F9E52FED-FFB5-9E1A-BDE1-E212F5FD1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474120</xdr:colOff>
      <xdr:row>2</xdr:row>
      <xdr:rowOff>35160</xdr:rowOff>
    </xdr:from>
    <xdr:to>
      <xdr:col>11</xdr:col>
      <xdr:colOff>350040</xdr:colOff>
      <xdr:row>12</xdr:row>
      <xdr:rowOff>46800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t 1">
              <a:extLst>
                <a:ext uri="{FF2B5EF4-FFF2-40B4-BE49-F238E27FC236}">
                  <a16:creationId xmlns:a16="http://schemas.microsoft.com/office/drawing/2014/main" id="{BE8C9876-93FF-9934-35B7-73253AB05D44}"/>
                </a:ext>
              </a:extLst>
            </xdr14:cNvPr>
            <xdr14:cNvContentPartPr/>
          </xdr14:nvContentPartPr>
          <xdr14:nvPr macro=""/>
          <xdr14:xfrm>
            <a:off x="474120" y="416160"/>
            <a:ext cx="6581520" cy="1916640"/>
          </xdr14:xfrm>
        </xdr:contentPart>
      </mc:Choice>
      <mc:Fallback xmlns="">
        <xdr:pic>
          <xdr:nvPicPr>
            <xdr:cNvPr id="2" name="Inkt 1">
              <a:extLst>
                <a:ext uri="{FF2B5EF4-FFF2-40B4-BE49-F238E27FC236}">
                  <a16:creationId xmlns:a16="http://schemas.microsoft.com/office/drawing/2014/main" id="{BE8C9876-93FF-9934-35B7-73253AB05D4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5480" y="407520"/>
              <a:ext cx="6599160" cy="1934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11:18:43.38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5324 24575,'0'0'0,"0"0"0,0 0 0,0 0 0,0 0 0,0 0 0,0 0 0,0 0 0,0 0 0,0 0 0,0 0 0,0 0 0,0 0 0,0 0 0,0 0 0,0 0 0,2-31 0,1 27 0,-1 1 0,1-1 0,0 1 0,0 0 0,0 0 0,0 1 0,1-1 0,-1 1 0,1-1 0,4-1 0,-3 1 0,0 0 0,0 0 0,-1 0 0,0-1 0,1 0 0,6-7 0,50-79 0,68-134 0,-65 108 0,657-1229 0,-168 303 0,432-959 0,-811 1606 0,-171 381 0,-11 19 0,-12 21 0,15-13 0,1-1 0,0 0 0,0 1 0,2 0 0,-1 0 0,2 0 0,0 0 0,1 19 0,2 12 0,12 56 0,8 10 0,6-1 0,4-2 0,63 143 0,171 295 0,126 149 0,149 293 0,-529-961 0,-6-16 0,0 0 0,-1 1 0,0 0 0,-1 0 0,0 0 0,-1 0 0,0 1 0,0 0 0,-2-1 0,1 1 0,-2 22 0,12 25 0,-12-51 0,1 1 0,-1-1 0,1 0 0,1 1 0,0-1 0,0 0 0,1 0 0,-1 0 0,5 8 0,-2-6 0,13 33 0,2 0 0,25 39 0,147 228 0,-105-159 0,-87-151 0,1 1 0,-1 0 0,0 0 0,1-1 0,-1 1 0,1-1 0,0 1 0,-1 0 0,1-1 0,0 1 0,-1-1 0,1 1 0,0-1 0,-1 0 0,1 1 0,0-1 0,0 0 0,0 0 0,-1 1 0,1-1 0,0 0 0,0 0 0,0 0 0,-1 0 0,1 0 0,0 0 0,0 0 0,0 0 0,0 0 0,-1 0 0,2-1 0,12 0 0,0 1 0,1-1 0,-1-1 0,-1 0 0,1-1 0,0-1 0,22-8 0,37-11 0,-56 19 0,0-1 0,27-11 0,-24 8 0,0 1 0,1 0 0,0 1 0,0 2 0,0 0 0,1 1 0,29 1 0,158 11 0,-129-2 0,259 19 0,307 14 0,987-74 0,-177-17 0,2 80 0,-837-11 0,956 96 0,-1456-99 0,1688 241 0,-1742-244 0,843 145 0,9-79 0,-187-86 0,-420 1 0,12 15-1365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Q62"/>
  <sheetViews>
    <sheetView tabSelected="1" zoomScale="91" zoomScaleNormal="70" workbookViewId="0">
      <selection activeCell="M44" sqref="M44"/>
    </sheetView>
  </sheetViews>
  <sheetFormatPr defaultRowHeight="15" x14ac:dyDescent="0.25"/>
  <cols>
    <col min="1" max="1" width="17.85546875" bestFit="1" customWidth="1"/>
    <col min="3" max="3" width="16.140625" bestFit="1" customWidth="1"/>
    <col min="5" max="5" width="10.5703125" bestFit="1" customWidth="1"/>
    <col min="6" max="6" width="12" bestFit="1" customWidth="1"/>
    <col min="642" max="643" width="10.42578125" bestFit="1" customWidth="1"/>
    <col min="644" max="644" width="9.28515625" bestFit="1" customWidth="1"/>
    <col min="647" max="647" width="9.28515625" bestFit="1" customWidth="1"/>
    <col min="648" max="648" width="10.42578125" bestFit="1" customWidth="1"/>
    <col min="650" max="650" width="9.28515625" bestFit="1" customWidth="1"/>
    <col min="653" max="653" width="9.28515625" bestFit="1" customWidth="1"/>
    <col min="654" max="654" width="10.42578125" bestFit="1" customWidth="1"/>
    <col min="655" max="656" width="9.28515625" bestFit="1" customWidth="1"/>
    <col min="659" max="659" width="9.28515625" bestFit="1" customWidth="1"/>
    <col min="660" max="660" width="10.42578125" bestFit="1" customWidth="1"/>
    <col min="662" max="662" width="9.28515625" bestFit="1" customWidth="1"/>
    <col min="665" max="665" width="9.28515625" bestFit="1" customWidth="1"/>
    <col min="666" max="666" width="10.42578125" bestFit="1" customWidth="1"/>
    <col min="667" max="668" width="9.28515625" bestFit="1" customWidth="1"/>
    <col min="671" max="671" width="9.28515625" bestFit="1" customWidth="1"/>
    <col min="672" max="672" width="10.42578125" bestFit="1" customWidth="1"/>
    <col min="674" max="674" width="9.28515625" bestFit="1" customWidth="1"/>
    <col min="677" max="677" width="9.28515625" bestFit="1" customWidth="1"/>
    <col min="678" max="678" width="10.42578125" bestFit="1" customWidth="1"/>
    <col min="679" max="680" width="9.28515625" bestFit="1" customWidth="1"/>
    <col min="683" max="683" width="9.28515625" bestFit="1" customWidth="1"/>
    <col min="684" max="684" width="10.42578125" bestFit="1" customWidth="1"/>
    <col min="686" max="686" width="9.28515625" bestFit="1" customWidth="1"/>
    <col min="689" max="689" width="9.28515625" bestFit="1" customWidth="1"/>
    <col min="690" max="691" width="10.42578125" bestFit="1" customWidth="1"/>
    <col min="692" max="692" width="9.28515625" bestFit="1" customWidth="1"/>
    <col min="695" max="695" width="9.28515625" bestFit="1" customWidth="1"/>
    <col min="696" max="696" width="10.42578125" bestFit="1" customWidth="1"/>
    <col min="698" max="698" width="9.28515625" bestFit="1" customWidth="1"/>
    <col min="701" max="701" width="9.28515625" bestFit="1" customWidth="1"/>
    <col min="702" max="703" width="10.42578125" bestFit="1" customWidth="1"/>
    <col min="704" max="704" width="9.28515625" bestFit="1" customWidth="1"/>
    <col min="707" max="707" width="9.28515625" bestFit="1" customWidth="1"/>
    <col min="708" max="708" width="10.42578125" bestFit="1" customWidth="1"/>
    <col min="710" max="710" width="9.28515625" bestFit="1" customWidth="1"/>
    <col min="713" max="713" width="9.28515625" bestFit="1" customWidth="1"/>
    <col min="714" max="714" width="10.42578125" bestFit="1" customWidth="1"/>
    <col min="715" max="716" width="9.28515625" bestFit="1" customWidth="1"/>
    <col min="719" max="719" width="9.28515625" bestFit="1" customWidth="1"/>
    <col min="720" max="720" width="10.42578125" bestFit="1" customWidth="1"/>
    <col min="722" max="722" width="9.28515625" bestFit="1" customWidth="1"/>
    <col min="725" max="725" width="9.28515625" bestFit="1" customWidth="1"/>
    <col min="726" max="726" width="10.42578125" bestFit="1" customWidth="1"/>
    <col min="727" max="728" width="9.28515625" bestFit="1" customWidth="1"/>
    <col min="731" max="731" width="9.28515625" bestFit="1" customWidth="1"/>
    <col min="732" max="732" width="10.42578125" bestFit="1" customWidth="1"/>
    <col min="734" max="734" width="9.28515625" bestFit="1" customWidth="1"/>
    <col min="737" max="737" width="9.28515625" bestFit="1" customWidth="1"/>
    <col min="738" max="738" width="10.42578125" bestFit="1" customWidth="1"/>
    <col min="739" max="740" width="9.28515625" bestFit="1" customWidth="1"/>
    <col min="743" max="743" width="9.28515625" bestFit="1" customWidth="1"/>
    <col min="744" max="744" width="10.42578125" bestFit="1" customWidth="1"/>
    <col min="748" max="749" width="28.7109375" bestFit="1" customWidth="1"/>
    <col min="755" max="755" width="28.7109375" bestFit="1" customWidth="1"/>
    <col min="760" max="761" width="28.7109375" bestFit="1" customWidth="1"/>
    <col min="767" max="767" width="28.7109375" bestFit="1" customWidth="1"/>
    <col min="772" max="773" width="28.7109375" bestFit="1" customWidth="1"/>
    <col min="779" max="779" width="28.7109375" bestFit="1" customWidth="1"/>
    <col min="784" max="785" width="28.7109375" bestFit="1" customWidth="1"/>
    <col min="791" max="791" width="28.7109375" bestFit="1" customWidth="1"/>
    <col min="796" max="797" width="28.7109375" bestFit="1" customWidth="1"/>
    <col min="803" max="803" width="28.7109375" bestFit="1" customWidth="1"/>
    <col min="808" max="809" width="28.7109375" bestFit="1" customWidth="1"/>
    <col min="815" max="815" width="28.7109375" bestFit="1" customWidth="1"/>
    <col min="820" max="821" width="28.7109375" bestFit="1" customWidth="1"/>
    <col min="827" max="827" width="28.7109375" bestFit="1" customWidth="1"/>
    <col min="832" max="833" width="28.7109375" bestFit="1" customWidth="1"/>
    <col min="839" max="839" width="28.7109375" bestFit="1" customWidth="1"/>
    <col min="844" max="845" width="28.7109375" bestFit="1" customWidth="1"/>
    <col min="851" max="851" width="28.7109375" bestFit="1" customWidth="1"/>
    <col min="856" max="857" width="28.7109375" bestFit="1" customWidth="1"/>
    <col min="863" max="863" width="28.7109375" bestFit="1" customWidth="1"/>
  </cols>
  <sheetData>
    <row r="1" spans="1:745" x14ac:dyDescent="0.25">
      <c r="B1" t="s">
        <v>0</v>
      </c>
      <c r="C1" t="s">
        <v>3055</v>
      </c>
      <c r="D1" t="s">
        <v>3056</v>
      </c>
      <c r="E1" t="str">
        <f>"Move time "&amp;F1</f>
        <v>Move time Greedy</v>
      </c>
      <c r="F1" t="s">
        <v>1</v>
      </c>
      <c r="H1" t="s">
        <v>0</v>
      </c>
      <c r="I1" t="s">
        <v>3055</v>
      </c>
      <c r="J1" t="s">
        <v>3056</v>
      </c>
      <c r="K1" t="str">
        <f>"Move time "&amp;L1</f>
        <v>Move time Chance</v>
      </c>
      <c r="L1" t="s">
        <v>3058</v>
      </c>
      <c r="N1" t="s">
        <v>0</v>
      </c>
      <c r="O1" t="s">
        <v>3055</v>
      </c>
      <c r="P1" t="s">
        <v>3056</v>
      </c>
      <c r="Q1" t="str">
        <f>"Move time "&amp;R1</f>
        <v>Move time Greedy</v>
      </c>
      <c r="R1" t="s">
        <v>1</v>
      </c>
      <c r="S1" t="str">
        <f>"Winnaar"&amp;P27</f>
        <v>WinnaarGreedy</v>
      </c>
      <c r="T1" t="s">
        <v>0</v>
      </c>
      <c r="U1" t="s">
        <v>3055</v>
      </c>
      <c r="V1" t="s">
        <v>3056</v>
      </c>
      <c r="W1" t="str">
        <f>"Move time "&amp;X1</f>
        <v>Move time Chance</v>
      </c>
      <c r="X1" t="s">
        <v>3058</v>
      </c>
      <c r="Z1" t="s">
        <v>0</v>
      </c>
      <c r="AA1" t="s">
        <v>3055</v>
      </c>
      <c r="AB1" t="s">
        <v>3056</v>
      </c>
      <c r="AC1" t="str">
        <f>"Move time "&amp;AD1</f>
        <v>Move time Greedy</v>
      </c>
      <c r="AD1" t="s">
        <v>1</v>
      </c>
      <c r="AE1" t="str">
        <f t="shared" ref="AE1" si="0">"Winnaar"&amp;AB27</f>
        <v>WinnaarChance</v>
      </c>
      <c r="AF1" t="s">
        <v>0</v>
      </c>
      <c r="AG1" t="s">
        <v>3055</v>
      </c>
      <c r="AH1" t="s">
        <v>3056</v>
      </c>
      <c r="AI1" t="str">
        <f>"Move time "&amp;AJ1</f>
        <v>Move time Chance</v>
      </c>
      <c r="AJ1" t="s">
        <v>3058</v>
      </c>
      <c r="AL1" t="s">
        <v>0</v>
      </c>
      <c r="AM1" t="s">
        <v>3055</v>
      </c>
      <c r="AN1" t="s">
        <v>3056</v>
      </c>
      <c r="AO1" t="str">
        <f>"Move time "&amp;AP1</f>
        <v>Move time Greedy</v>
      </c>
      <c r="AP1" t="s">
        <v>1</v>
      </c>
      <c r="AQ1" t="str">
        <f t="shared" ref="AQ1" si="1">"Winnaar"&amp;AN27</f>
        <v>WinnaarGreedy</v>
      </c>
      <c r="AR1" t="s">
        <v>0</v>
      </c>
      <c r="AS1" t="s">
        <v>3055</v>
      </c>
      <c r="AT1" t="s">
        <v>3056</v>
      </c>
      <c r="AU1" t="str">
        <f>"Move time "&amp;AV1</f>
        <v>Move time Chance</v>
      </c>
      <c r="AV1" t="s">
        <v>3058</v>
      </c>
      <c r="AX1" t="s">
        <v>0</v>
      </c>
      <c r="AY1" t="s">
        <v>3055</v>
      </c>
      <c r="AZ1" t="s">
        <v>3056</v>
      </c>
      <c r="BA1" t="str">
        <f>"Move time "&amp;BB1</f>
        <v>Move time Greedy</v>
      </c>
      <c r="BB1" t="s">
        <v>1</v>
      </c>
      <c r="BC1" t="str">
        <f t="shared" ref="BC1" si="2">"Winnaar"&amp;AZ27</f>
        <v>WinnaarChance</v>
      </c>
      <c r="BD1" t="s">
        <v>0</v>
      </c>
      <c r="BE1" t="s">
        <v>3055</v>
      </c>
      <c r="BF1" t="s">
        <v>3056</v>
      </c>
      <c r="BG1" t="str">
        <f>"Move time "&amp;BH1</f>
        <v>Move time Chance</v>
      </c>
      <c r="BH1" t="s">
        <v>3058</v>
      </c>
      <c r="BJ1" t="s">
        <v>0</v>
      </c>
      <c r="BK1" t="s">
        <v>3055</v>
      </c>
      <c r="BL1" t="s">
        <v>3056</v>
      </c>
      <c r="BM1" t="str">
        <f>"Move time "&amp;BN1</f>
        <v>Move time Greedy</v>
      </c>
      <c r="BN1" t="s">
        <v>1</v>
      </c>
      <c r="BO1" t="str">
        <f t="shared" ref="BO1" si="3">"Winnaar"&amp;BL27</f>
        <v>WinnaarGreedy</v>
      </c>
      <c r="BP1" t="s">
        <v>0</v>
      </c>
      <c r="BQ1" t="s">
        <v>3055</v>
      </c>
      <c r="BR1" t="s">
        <v>3056</v>
      </c>
      <c r="BS1" t="str">
        <f>"Move time "&amp;BT1</f>
        <v>Move time Chance</v>
      </c>
      <c r="BT1" t="s">
        <v>3058</v>
      </c>
      <c r="BV1" t="s">
        <v>0</v>
      </c>
      <c r="BW1" t="s">
        <v>3055</v>
      </c>
      <c r="BX1" t="s">
        <v>3056</v>
      </c>
      <c r="BY1" t="str">
        <f>"Move time "&amp;BZ1</f>
        <v>Move time Greedy</v>
      </c>
      <c r="BZ1" t="s">
        <v>1</v>
      </c>
      <c r="CA1" t="str">
        <f t="shared" ref="CA1" si="4">"Winnaar"&amp;BX27</f>
        <v>WinnaarChance</v>
      </c>
      <c r="CB1" t="s">
        <v>0</v>
      </c>
      <c r="CC1" t="s">
        <v>3055</v>
      </c>
      <c r="CD1" t="s">
        <v>3056</v>
      </c>
      <c r="CE1" t="str">
        <f>"Move time "&amp;CF1</f>
        <v>Move time Chance</v>
      </c>
      <c r="CF1" t="s">
        <v>3058</v>
      </c>
      <c r="CH1" t="s">
        <v>0</v>
      </c>
      <c r="CI1" t="s">
        <v>3055</v>
      </c>
      <c r="CJ1" t="s">
        <v>3056</v>
      </c>
      <c r="CK1" t="str">
        <f>"Move time "&amp;CL1</f>
        <v>Move time Greedy</v>
      </c>
      <c r="CL1" t="s">
        <v>1</v>
      </c>
      <c r="CM1" t="str">
        <f t="shared" ref="CM1" si="5">"Winnaar"&amp;CJ27</f>
        <v>WinnaarChance</v>
      </c>
      <c r="CN1" t="s">
        <v>0</v>
      </c>
      <c r="CO1" t="s">
        <v>3055</v>
      </c>
      <c r="CP1" t="s">
        <v>3056</v>
      </c>
      <c r="CQ1" t="str">
        <f>"Move time "&amp;CR1</f>
        <v>Move time Chance</v>
      </c>
      <c r="CR1" t="s">
        <v>3058</v>
      </c>
      <c r="CT1" t="s">
        <v>0</v>
      </c>
      <c r="CU1" t="s">
        <v>3055</v>
      </c>
      <c r="CV1" t="s">
        <v>3056</v>
      </c>
      <c r="CW1" t="str">
        <f>"Move time "&amp;CX1</f>
        <v>Move time Greedy</v>
      </c>
      <c r="CX1" t="s">
        <v>1</v>
      </c>
      <c r="CY1" t="str">
        <f t="shared" ref="CY1" si="6">"Winnaar"&amp;CV27</f>
        <v>WinnaarChance</v>
      </c>
      <c r="CZ1" t="s">
        <v>0</v>
      </c>
      <c r="DA1" t="s">
        <v>3055</v>
      </c>
      <c r="DB1" t="s">
        <v>3056</v>
      </c>
      <c r="DC1" t="str">
        <f>"Move time "&amp;DD1</f>
        <v>Move time Chance</v>
      </c>
      <c r="DD1" t="s">
        <v>3058</v>
      </c>
      <c r="DF1" t="s">
        <v>0</v>
      </c>
      <c r="DG1" t="s">
        <v>3055</v>
      </c>
      <c r="DH1" t="s">
        <v>3056</v>
      </c>
      <c r="DI1" t="str">
        <f>"Move time "&amp;DJ1</f>
        <v>Move time Greedy</v>
      </c>
      <c r="DJ1" t="s">
        <v>1</v>
      </c>
      <c r="DK1" t="str">
        <f t="shared" ref="DK1" si="7">"Winnaar"&amp;DH27</f>
        <v>WinnaarGreedy</v>
      </c>
      <c r="DL1" t="s">
        <v>0</v>
      </c>
      <c r="DM1" t="s">
        <v>3055</v>
      </c>
      <c r="DN1" t="s">
        <v>3056</v>
      </c>
      <c r="DO1" t="str">
        <f>"Move time "&amp;DP1</f>
        <v>Move time Chance</v>
      </c>
      <c r="DP1" t="s">
        <v>3058</v>
      </c>
      <c r="DR1" t="s">
        <v>0</v>
      </c>
      <c r="DS1" t="s">
        <v>3055</v>
      </c>
      <c r="DT1" t="s">
        <v>3056</v>
      </c>
      <c r="DU1" t="str">
        <f>"Move time "&amp;DV1</f>
        <v>Move time Greedy</v>
      </c>
      <c r="DV1" t="s">
        <v>1</v>
      </c>
      <c r="DW1" t="str">
        <f t="shared" ref="DW1" si="8">"Winnaar"&amp;DT27</f>
        <v>WinnaarGreedy</v>
      </c>
      <c r="DX1" t="s">
        <v>0</v>
      </c>
      <c r="DY1" t="s">
        <v>3055</v>
      </c>
      <c r="DZ1" t="s">
        <v>3056</v>
      </c>
      <c r="EA1" t="str">
        <f>"Move time "&amp;EB1</f>
        <v>Move time Chance</v>
      </c>
      <c r="EB1" t="s">
        <v>3058</v>
      </c>
      <c r="ED1" t="s">
        <v>0</v>
      </c>
      <c r="EE1" t="s">
        <v>3055</v>
      </c>
      <c r="EF1" t="s">
        <v>3056</v>
      </c>
      <c r="EG1" t="str">
        <f>"Move time "&amp;EH1</f>
        <v>Move time Greedy</v>
      </c>
      <c r="EH1" t="s">
        <v>1</v>
      </c>
      <c r="EI1" t="str">
        <f t="shared" ref="EI1" si="9">"Winnaar"&amp;EF27</f>
        <v>WinnaarChance</v>
      </c>
      <c r="EJ1" t="s">
        <v>0</v>
      </c>
      <c r="EK1" t="s">
        <v>3055</v>
      </c>
      <c r="EL1" t="s">
        <v>3056</v>
      </c>
      <c r="EM1" t="str">
        <f>"Move time "&amp;EN1</f>
        <v>Move time Chance</v>
      </c>
      <c r="EN1" t="s">
        <v>3058</v>
      </c>
      <c r="EP1" t="s">
        <v>0</v>
      </c>
      <c r="EQ1" t="s">
        <v>3055</v>
      </c>
      <c r="ER1" t="s">
        <v>3056</v>
      </c>
      <c r="ES1" t="str">
        <f>"Move time "&amp;ET1</f>
        <v>Move time Greedy</v>
      </c>
      <c r="ET1" t="s">
        <v>1</v>
      </c>
      <c r="EU1" t="str">
        <f t="shared" ref="EU1" si="10">"Winnaar"&amp;ER27</f>
        <v>WinnaarGreedy</v>
      </c>
      <c r="EV1" t="s">
        <v>0</v>
      </c>
      <c r="EW1" t="s">
        <v>3055</v>
      </c>
      <c r="EX1" t="s">
        <v>3056</v>
      </c>
      <c r="EY1" t="str">
        <f>"Move time "&amp;EZ1</f>
        <v>Move time Chance</v>
      </c>
      <c r="EZ1" t="s">
        <v>3058</v>
      </c>
      <c r="FB1" t="s">
        <v>0</v>
      </c>
      <c r="FC1" t="s">
        <v>3055</v>
      </c>
      <c r="FD1" t="s">
        <v>3056</v>
      </c>
      <c r="FE1" t="str">
        <f>"Move time "&amp;FF1</f>
        <v>Move time Greedy</v>
      </c>
      <c r="FF1" t="s">
        <v>1</v>
      </c>
      <c r="FG1" t="str">
        <f t="shared" ref="FG1" si="11">"Winnaar"&amp;FD27</f>
        <v>WinnaarGreedy</v>
      </c>
      <c r="FH1" t="s">
        <v>0</v>
      </c>
      <c r="FI1" t="s">
        <v>3055</v>
      </c>
      <c r="FJ1" t="s">
        <v>3056</v>
      </c>
      <c r="FK1" t="str">
        <f>"Move time "&amp;FL1</f>
        <v>Move time Chance</v>
      </c>
      <c r="FL1" t="s">
        <v>3058</v>
      </c>
      <c r="FN1" t="s">
        <v>0</v>
      </c>
      <c r="FO1" t="s">
        <v>3055</v>
      </c>
      <c r="FP1" t="s">
        <v>3056</v>
      </c>
      <c r="FQ1" t="str">
        <f>"Move time "&amp;FR1</f>
        <v>Move time Greedy</v>
      </c>
      <c r="FR1" t="s">
        <v>1</v>
      </c>
      <c r="FS1" t="str">
        <f t="shared" ref="FS1" si="12">"Winnaar"&amp;FP27</f>
        <v>WinnaarChance</v>
      </c>
      <c r="FT1" t="s">
        <v>0</v>
      </c>
      <c r="FU1" t="s">
        <v>3055</v>
      </c>
      <c r="FV1" t="s">
        <v>3056</v>
      </c>
      <c r="FW1" t="str">
        <f>"Move time "&amp;FX1</f>
        <v>Move time Chance</v>
      </c>
      <c r="FX1" t="s">
        <v>3058</v>
      </c>
      <c r="FZ1" t="s">
        <v>0</v>
      </c>
      <c r="GA1" t="s">
        <v>3055</v>
      </c>
      <c r="GB1" t="s">
        <v>3056</v>
      </c>
      <c r="GC1" t="str">
        <f>"Move time "&amp;GD1</f>
        <v>Move time Greedy</v>
      </c>
      <c r="GD1" t="s">
        <v>1</v>
      </c>
      <c r="GE1" t="str">
        <f t="shared" ref="GE1" si="13">"Winnaar"&amp;GB27</f>
        <v>WinnaarChance</v>
      </c>
      <c r="GF1" t="s">
        <v>0</v>
      </c>
      <c r="GG1" t="s">
        <v>3055</v>
      </c>
      <c r="GH1" t="s">
        <v>3056</v>
      </c>
      <c r="GI1" t="str">
        <f>"Move time "&amp;GJ1</f>
        <v>Move time Chance</v>
      </c>
      <c r="GJ1" t="s">
        <v>3058</v>
      </c>
      <c r="GL1" t="s">
        <v>0</v>
      </c>
      <c r="GM1" t="s">
        <v>3055</v>
      </c>
      <c r="GN1" t="s">
        <v>3056</v>
      </c>
      <c r="GO1" t="str">
        <f>"Move time "&amp;GP1</f>
        <v>Move time Greedy</v>
      </c>
      <c r="GP1" t="s">
        <v>1</v>
      </c>
      <c r="GQ1" t="str">
        <f t="shared" ref="GQ1" si="14">"Winnaar"&amp;GN27</f>
        <v>WinnaarGreedy</v>
      </c>
      <c r="GR1" t="s">
        <v>0</v>
      </c>
      <c r="GS1" t="s">
        <v>3055</v>
      </c>
      <c r="GT1" t="s">
        <v>3056</v>
      </c>
      <c r="GU1" t="str">
        <f>"Move time "&amp;GV1</f>
        <v>Move time Chance</v>
      </c>
      <c r="GV1" t="s">
        <v>3058</v>
      </c>
      <c r="GX1" t="s">
        <v>0</v>
      </c>
      <c r="GY1" t="s">
        <v>3055</v>
      </c>
      <c r="GZ1" t="s">
        <v>3056</v>
      </c>
      <c r="HA1" t="str">
        <f>"Move time "&amp;HB1</f>
        <v>Move time Greedy</v>
      </c>
      <c r="HB1" t="s">
        <v>1</v>
      </c>
      <c r="HC1" t="str">
        <f t="shared" ref="HC1" si="15">"Winnaar"&amp;GZ27</f>
        <v>WinnaarChance</v>
      </c>
      <c r="HD1" t="s">
        <v>0</v>
      </c>
      <c r="HE1" t="s">
        <v>3055</v>
      </c>
      <c r="HF1" t="s">
        <v>3056</v>
      </c>
      <c r="HG1" t="str">
        <f>"Move time "&amp;HH1</f>
        <v>Move time Chance</v>
      </c>
      <c r="HH1" t="s">
        <v>3058</v>
      </c>
      <c r="HJ1" t="s">
        <v>0</v>
      </c>
      <c r="HK1" t="s">
        <v>3055</v>
      </c>
      <c r="HL1" t="s">
        <v>3056</v>
      </c>
      <c r="HM1" t="str">
        <f>"Move time "&amp;HN1</f>
        <v>Move time Greedy</v>
      </c>
      <c r="HN1" t="s">
        <v>1</v>
      </c>
      <c r="HO1" t="str">
        <f t="shared" ref="HO1" si="16">"Winnaar"&amp;HL27</f>
        <v>WinnaarGreedy</v>
      </c>
      <c r="HP1" t="s">
        <v>0</v>
      </c>
      <c r="HQ1" t="s">
        <v>3055</v>
      </c>
      <c r="HR1" t="s">
        <v>3056</v>
      </c>
      <c r="HS1" t="str">
        <f>"Move time "&amp;HT1</f>
        <v>Move time Chance</v>
      </c>
      <c r="HT1" t="s">
        <v>3058</v>
      </c>
      <c r="HV1" t="s">
        <v>0</v>
      </c>
      <c r="HW1" t="s">
        <v>3055</v>
      </c>
      <c r="HX1" t="s">
        <v>3056</v>
      </c>
      <c r="HY1" t="str">
        <f>"Move time "&amp;HZ1</f>
        <v>Move time Greedy</v>
      </c>
      <c r="HZ1" t="s">
        <v>1</v>
      </c>
      <c r="IA1" t="str">
        <f t="shared" ref="IA1" si="17">"Winnaar"&amp;HX27</f>
        <v>WinnaarChance</v>
      </c>
      <c r="IB1" t="s">
        <v>0</v>
      </c>
      <c r="IC1" t="s">
        <v>3055</v>
      </c>
      <c r="ID1" t="s">
        <v>3056</v>
      </c>
      <c r="IE1" t="str">
        <f>"Move time "&amp;IF1</f>
        <v>Move time Chance</v>
      </c>
      <c r="IF1" t="s">
        <v>3058</v>
      </c>
      <c r="IH1" t="s">
        <v>0</v>
      </c>
      <c r="II1" t="s">
        <v>3055</v>
      </c>
      <c r="IJ1" t="s">
        <v>3056</v>
      </c>
      <c r="IK1" t="str">
        <f>"Move time "&amp;IL1</f>
        <v>Move time Greedy</v>
      </c>
      <c r="IL1" t="s">
        <v>1</v>
      </c>
      <c r="IM1" t="str">
        <f t="shared" ref="IM1" si="18">"Winnaar"&amp;IJ27</f>
        <v>WinnaarGreedy</v>
      </c>
      <c r="IN1" t="s">
        <v>0</v>
      </c>
      <c r="IO1" t="s">
        <v>3055</v>
      </c>
      <c r="IP1" t="s">
        <v>3056</v>
      </c>
      <c r="IQ1" t="str">
        <f>"Move time "&amp;IR1</f>
        <v>Move time Chance</v>
      </c>
      <c r="IR1" t="s">
        <v>3058</v>
      </c>
      <c r="IT1" t="s">
        <v>0</v>
      </c>
      <c r="IU1" t="s">
        <v>3055</v>
      </c>
      <c r="IV1" t="s">
        <v>3056</v>
      </c>
      <c r="IW1" t="str">
        <f>"Move time "&amp;IX1</f>
        <v>Move time Greedy</v>
      </c>
      <c r="IX1" t="s">
        <v>1</v>
      </c>
      <c r="IY1" t="str">
        <f t="shared" ref="IY1" si="19">"Winnaar"&amp;IV27</f>
        <v>WinnaarGreedy</v>
      </c>
      <c r="IZ1" t="s">
        <v>0</v>
      </c>
      <c r="JA1" t="s">
        <v>3055</v>
      </c>
      <c r="JB1" t="s">
        <v>3056</v>
      </c>
      <c r="JC1" t="str">
        <f>"Move time "&amp;JD1</f>
        <v>Move time Chance</v>
      </c>
      <c r="JD1" t="s">
        <v>3058</v>
      </c>
      <c r="JF1" t="s">
        <v>0</v>
      </c>
      <c r="JG1" t="s">
        <v>3055</v>
      </c>
      <c r="JH1" t="s">
        <v>3056</v>
      </c>
      <c r="JI1" t="str">
        <f>"Move time "&amp;JJ1</f>
        <v>Move time Greedy</v>
      </c>
      <c r="JJ1" t="s">
        <v>1</v>
      </c>
      <c r="JK1" t="str">
        <f t="shared" ref="JK1" si="20">"Winnaar"&amp;JH27</f>
        <v>WinnaarChance</v>
      </c>
      <c r="JL1" t="s">
        <v>0</v>
      </c>
      <c r="JM1" t="s">
        <v>3055</v>
      </c>
      <c r="JN1" t="s">
        <v>3056</v>
      </c>
      <c r="JO1" t="str">
        <f>"Move time "&amp;JP1</f>
        <v>Move time Chance</v>
      </c>
      <c r="JP1" t="s">
        <v>3058</v>
      </c>
      <c r="JR1" t="s">
        <v>0</v>
      </c>
      <c r="JS1" t="s">
        <v>3055</v>
      </c>
      <c r="JT1" t="s">
        <v>3056</v>
      </c>
      <c r="JU1" t="str">
        <f>"Move time "&amp;JV1</f>
        <v>Move time Greedy</v>
      </c>
      <c r="JV1" t="s">
        <v>1</v>
      </c>
      <c r="JW1" t="str">
        <f t="shared" ref="JW1" si="21">"Winnaar"&amp;JT27</f>
        <v>WinnaarGreedy</v>
      </c>
      <c r="JX1" t="s">
        <v>0</v>
      </c>
      <c r="JY1" t="s">
        <v>3055</v>
      </c>
      <c r="JZ1" t="s">
        <v>3056</v>
      </c>
      <c r="KA1" t="str">
        <f>"Move time "&amp;KB1</f>
        <v>Move time Chance</v>
      </c>
      <c r="KB1" t="s">
        <v>3058</v>
      </c>
      <c r="KD1" t="s">
        <v>0</v>
      </c>
      <c r="KE1" t="s">
        <v>3055</v>
      </c>
      <c r="KF1" t="s">
        <v>3056</v>
      </c>
      <c r="KG1" t="str">
        <f>"Move time "&amp;KH1</f>
        <v>Move time Greedy</v>
      </c>
      <c r="KH1" t="s">
        <v>1</v>
      </c>
      <c r="KI1" t="str">
        <f t="shared" ref="KI1" si="22">"Winnaar"&amp;KF27</f>
        <v>WinnaarChance</v>
      </c>
      <c r="KJ1" t="s">
        <v>0</v>
      </c>
      <c r="KK1" t="s">
        <v>3055</v>
      </c>
      <c r="KL1" t="s">
        <v>3056</v>
      </c>
      <c r="KM1" t="str">
        <f>"Move time "&amp;KN1</f>
        <v>Move time Chance</v>
      </c>
      <c r="KN1" t="s">
        <v>3058</v>
      </c>
      <c r="KP1" t="s">
        <v>0</v>
      </c>
      <c r="KQ1" t="s">
        <v>3055</v>
      </c>
      <c r="KR1" t="s">
        <v>3056</v>
      </c>
      <c r="KS1" t="str">
        <f>"Move time "&amp;KT1</f>
        <v>Move time Greedy</v>
      </c>
      <c r="KT1" t="s">
        <v>1</v>
      </c>
      <c r="KU1" t="str">
        <f t="shared" ref="KU1" si="23">"Winnaar"&amp;KR27</f>
        <v>WinnaarGreedy</v>
      </c>
      <c r="KV1" t="s">
        <v>0</v>
      </c>
      <c r="KW1" t="s">
        <v>3055</v>
      </c>
      <c r="KX1" t="s">
        <v>3056</v>
      </c>
      <c r="KY1" t="str">
        <f>"Move time "&amp;KZ1</f>
        <v>Move time Chance</v>
      </c>
      <c r="KZ1" t="s">
        <v>3058</v>
      </c>
      <c r="LB1" t="s">
        <v>0</v>
      </c>
      <c r="LC1" t="s">
        <v>3055</v>
      </c>
      <c r="LD1" t="s">
        <v>3056</v>
      </c>
      <c r="LE1" t="str">
        <f>"Move time "&amp;LF1</f>
        <v>Move time Greedy</v>
      </c>
      <c r="LF1" t="s">
        <v>1</v>
      </c>
      <c r="LG1" t="str">
        <f t="shared" ref="LG1" si="24">"Winnaar"&amp;LD27</f>
        <v>WinnaarGreedy</v>
      </c>
      <c r="LH1" t="s">
        <v>0</v>
      </c>
      <c r="LI1" t="s">
        <v>3055</v>
      </c>
      <c r="LJ1" t="s">
        <v>3056</v>
      </c>
      <c r="LK1" t="str">
        <f>"Move time "&amp;LL1</f>
        <v>Move time Chance</v>
      </c>
      <c r="LL1" t="s">
        <v>3058</v>
      </c>
      <c r="LN1" t="s">
        <v>0</v>
      </c>
      <c r="LO1" t="s">
        <v>3055</v>
      </c>
      <c r="LP1" t="s">
        <v>3056</v>
      </c>
      <c r="LQ1" t="str">
        <f>"Move time "&amp;LR1</f>
        <v>Move time Greedy</v>
      </c>
      <c r="LR1" t="s">
        <v>1</v>
      </c>
      <c r="LS1" t="str">
        <f t="shared" ref="LS1" si="25">"Winnaar"&amp;LP27</f>
        <v>WinnaarGreedy</v>
      </c>
      <c r="LT1" t="s">
        <v>0</v>
      </c>
      <c r="LU1" t="s">
        <v>3055</v>
      </c>
      <c r="LV1" t="s">
        <v>3056</v>
      </c>
      <c r="LW1" t="str">
        <f>"Move time "&amp;LX1</f>
        <v>Move time Chance</v>
      </c>
      <c r="LX1" t="s">
        <v>3058</v>
      </c>
      <c r="LZ1" t="s">
        <v>0</v>
      </c>
      <c r="MA1" t="s">
        <v>3055</v>
      </c>
      <c r="MB1" t="s">
        <v>3056</v>
      </c>
      <c r="MC1" t="str">
        <f>"Move time "&amp;MD1</f>
        <v>Move time Greedy</v>
      </c>
      <c r="MD1" t="s">
        <v>1</v>
      </c>
      <c r="ME1" t="str">
        <f t="shared" ref="ME1" si="26">"Winnaar"&amp;MB27</f>
        <v>WinnaarChance</v>
      </c>
      <c r="MF1" t="s">
        <v>0</v>
      </c>
      <c r="MG1" t="s">
        <v>3055</v>
      </c>
      <c r="MH1" t="s">
        <v>3056</v>
      </c>
      <c r="MI1" t="str">
        <f>"Move time "&amp;MJ1</f>
        <v>Move time Chance</v>
      </c>
      <c r="MJ1" t="s">
        <v>3058</v>
      </c>
      <c r="ML1" t="s">
        <v>0</v>
      </c>
      <c r="MM1" t="s">
        <v>3055</v>
      </c>
      <c r="MN1" t="s">
        <v>3056</v>
      </c>
      <c r="MO1" t="str">
        <f>"Move time "&amp;MP1</f>
        <v>Move time Greedy</v>
      </c>
      <c r="MP1" t="s">
        <v>1</v>
      </c>
      <c r="MQ1" t="str">
        <f t="shared" ref="MQ1" si="27">"Winnaar"&amp;MN27</f>
        <v>WinnaarChance</v>
      </c>
      <c r="MR1" t="s">
        <v>0</v>
      </c>
      <c r="MS1" t="s">
        <v>3055</v>
      </c>
      <c r="MT1" t="s">
        <v>3056</v>
      </c>
      <c r="MU1" t="str">
        <f>"Move time "&amp;MV1</f>
        <v>Move time Chance</v>
      </c>
      <c r="MV1" t="s">
        <v>3058</v>
      </c>
      <c r="MX1" t="s">
        <v>0</v>
      </c>
      <c r="MY1" t="s">
        <v>3055</v>
      </c>
      <c r="MZ1" t="s">
        <v>3056</v>
      </c>
      <c r="NA1" t="str">
        <f>"Move time "&amp;NB1</f>
        <v>Move time Chance</v>
      </c>
      <c r="NB1" t="s">
        <v>3058</v>
      </c>
      <c r="NC1" t="str">
        <f>"Winnaar"&amp;MZ27</f>
        <v>WinnaarChance</v>
      </c>
      <c r="ND1" t="s">
        <v>0</v>
      </c>
      <c r="NE1" t="s">
        <v>3055</v>
      </c>
      <c r="NF1" t="s">
        <v>3056</v>
      </c>
      <c r="NG1" t="str">
        <f>"Move time "&amp;NH1</f>
        <v>Move time Greedy</v>
      </c>
      <c r="NH1" t="s">
        <v>1</v>
      </c>
      <c r="NJ1" t="s">
        <v>0</v>
      </c>
      <c r="NK1" t="s">
        <v>3055</v>
      </c>
      <c r="NL1" t="s">
        <v>3056</v>
      </c>
      <c r="NM1" t="str">
        <f>"Move time "&amp;NN1</f>
        <v>Move time Chance</v>
      </c>
      <c r="NN1" t="s">
        <v>3058</v>
      </c>
      <c r="NO1" t="str">
        <f t="shared" ref="NO1" si="28">"Winnaar"&amp;NL27</f>
        <v>WinnaarChance</v>
      </c>
      <c r="NP1" t="s">
        <v>0</v>
      </c>
      <c r="NQ1" t="s">
        <v>3055</v>
      </c>
      <c r="NR1" t="s">
        <v>3056</v>
      </c>
      <c r="NS1" t="str">
        <f>"Move time "&amp;NT1</f>
        <v>Move time Greedy</v>
      </c>
      <c r="NT1" t="s">
        <v>1</v>
      </c>
      <c r="NV1" t="s">
        <v>0</v>
      </c>
      <c r="NW1" t="s">
        <v>3055</v>
      </c>
      <c r="NX1" t="s">
        <v>3056</v>
      </c>
      <c r="NY1" t="str">
        <f>"Move time "&amp;NZ1</f>
        <v>Move time Chance</v>
      </c>
      <c r="NZ1" t="s">
        <v>3058</v>
      </c>
      <c r="OA1" t="str">
        <f t="shared" ref="OA1" si="29">"Winnaar"&amp;NX27</f>
        <v>WinnaarChance</v>
      </c>
      <c r="OB1" t="s">
        <v>0</v>
      </c>
      <c r="OC1" t="s">
        <v>3055</v>
      </c>
      <c r="OD1" t="s">
        <v>3056</v>
      </c>
      <c r="OE1" t="str">
        <f>"Move time "&amp;OF1</f>
        <v>Move time Greedy</v>
      </c>
      <c r="OF1" t="s">
        <v>1</v>
      </c>
      <c r="OH1" t="s">
        <v>0</v>
      </c>
      <c r="OI1" t="s">
        <v>3055</v>
      </c>
      <c r="OJ1" t="s">
        <v>3056</v>
      </c>
      <c r="OK1" t="str">
        <f>"Move time "&amp;OL1</f>
        <v>Move time Chance</v>
      </c>
      <c r="OL1" t="s">
        <v>3058</v>
      </c>
      <c r="OM1" t="str">
        <f t="shared" ref="OM1" si="30">"Winnaar"&amp;OJ27</f>
        <v>WinnaarChance</v>
      </c>
      <c r="ON1" t="s">
        <v>0</v>
      </c>
      <c r="OO1" t="s">
        <v>3055</v>
      </c>
      <c r="OP1" t="s">
        <v>3056</v>
      </c>
      <c r="OQ1" t="str">
        <f>"Move time "&amp;OR1</f>
        <v>Move time Greedy</v>
      </c>
      <c r="OR1" t="s">
        <v>1</v>
      </c>
      <c r="OT1" t="s">
        <v>0</v>
      </c>
      <c r="OU1" t="s">
        <v>3055</v>
      </c>
      <c r="OV1" t="s">
        <v>3056</v>
      </c>
      <c r="OW1" t="str">
        <f>"Move time "&amp;OX1</f>
        <v>Move time Chance</v>
      </c>
      <c r="OX1" t="s">
        <v>3058</v>
      </c>
      <c r="OY1" t="str">
        <f t="shared" ref="OY1" si="31">"Winnaar"&amp;OV27</f>
        <v>WinnaarChance</v>
      </c>
      <c r="OZ1" t="s">
        <v>0</v>
      </c>
      <c r="PA1" t="s">
        <v>3055</v>
      </c>
      <c r="PB1" t="s">
        <v>3056</v>
      </c>
      <c r="PC1" t="str">
        <f>"Move time "&amp;PD1</f>
        <v>Move time Greedy</v>
      </c>
      <c r="PD1" t="s">
        <v>1</v>
      </c>
      <c r="PF1" t="s">
        <v>0</v>
      </c>
      <c r="PG1" t="s">
        <v>3055</v>
      </c>
      <c r="PH1" t="s">
        <v>3056</v>
      </c>
      <c r="PI1" t="str">
        <f>"Move time "&amp;PJ1</f>
        <v>Move time Chance</v>
      </c>
      <c r="PJ1" t="s">
        <v>3058</v>
      </c>
      <c r="PK1" t="str">
        <f t="shared" ref="PK1" si="32">"Winnaar"&amp;PH27</f>
        <v>WinnaarChance</v>
      </c>
      <c r="PL1" t="s">
        <v>0</v>
      </c>
      <c r="PM1" t="s">
        <v>3055</v>
      </c>
      <c r="PN1" t="s">
        <v>3056</v>
      </c>
      <c r="PO1" t="str">
        <f>"Move time "&amp;PP1</f>
        <v>Move time Greedy</v>
      </c>
      <c r="PP1" t="s">
        <v>1</v>
      </c>
      <c r="PR1" t="s">
        <v>0</v>
      </c>
      <c r="PS1" t="s">
        <v>3055</v>
      </c>
      <c r="PT1" t="s">
        <v>3056</v>
      </c>
      <c r="PU1" t="str">
        <f>"Move time "&amp;PV1</f>
        <v>Move time Chance</v>
      </c>
      <c r="PV1" t="s">
        <v>3058</v>
      </c>
      <c r="PW1" t="str">
        <f t="shared" ref="PW1" si="33">"Winnaar"&amp;PT27</f>
        <v>WinnaarChance</v>
      </c>
      <c r="PX1" t="s">
        <v>0</v>
      </c>
      <c r="PY1" t="s">
        <v>3055</v>
      </c>
      <c r="PZ1" t="s">
        <v>3056</v>
      </c>
      <c r="QA1" t="str">
        <f>"Move time "&amp;QB1</f>
        <v>Move time Greedy</v>
      </c>
      <c r="QB1" t="s">
        <v>1</v>
      </c>
      <c r="QD1" t="s">
        <v>0</v>
      </c>
      <c r="QE1" t="s">
        <v>3055</v>
      </c>
      <c r="QF1" t="s">
        <v>3056</v>
      </c>
      <c r="QG1" t="str">
        <f>"Move time "&amp;QH1</f>
        <v>Move time Chance</v>
      </c>
      <c r="QH1" t="s">
        <v>3058</v>
      </c>
      <c r="QI1" t="str">
        <f t="shared" ref="QI1" si="34">"Winnaar"&amp;QF27</f>
        <v>WinnaarGreedy</v>
      </c>
      <c r="QJ1" t="s">
        <v>0</v>
      </c>
      <c r="QK1" t="s">
        <v>3055</v>
      </c>
      <c r="QL1" t="s">
        <v>3056</v>
      </c>
      <c r="QM1" t="str">
        <f>"Move time "&amp;QN1</f>
        <v>Move time Greedy</v>
      </c>
      <c r="QN1" t="s">
        <v>1</v>
      </c>
      <c r="QP1" t="s">
        <v>0</v>
      </c>
      <c r="QQ1" t="s">
        <v>3055</v>
      </c>
      <c r="QR1" t="s">
        <v>3056</v>
      </c>
      <c r="QS1" t="str">
        <f>"Move time "&amp;QT1</f>
        <v>Move time Chance</v>
      </c>
      <c r="QT1" t="s">
        <v>3058</v>
      </c>
      <c r="QU1" t="str">
        <f t="shared" ref="QU1" si="35">"Winnaar"&amp;QR27</f>
        <v>WinnaarChance</v>
      </c>
      <c r="QV1" t="s">
        <v>0</v>
      </c>
      <c r="QW1" t="s">
        <v>3055</v>
      </c>
      <c r="QX1" t="s">
        <v>3056</v>
      </c>
      <c r="QY1" t="str">
        <f>"Move time "&amp;QZ1</f>
        <v>Move time Greedy</v>
      </c>
      <c r="QZ1" t="s">
        <v>1</v>
      </c>
      <c r="RB1" t="s">
        <v>0</v>
      </c>
      <c r="RC1" t="s">
        <v>3055</v>
      </c>
      <c r="RD1" t="s">
        <v>3056</v>
      </c>
      <c r="RE1" t="str">
        <f>"Move time "&amp;RF1</f>
        <v>Move time Chance</v>
      </c>
      <c r="RF1" t="s">
        <v>3058</v>
      </c>
      <c r="RG1" t="str">
        <f t="shared" ref="RG1" si="36">"Winnaar"&amp;RD27</f>
        <v>WinnaarChance</v>
      </c>
      <c r="RH1" t="s">
        <v>0</v>
      </c>
      <c r="RI1" t="s">
        <v>3055</v>
      </c>
      <c r="RJ1" t="s">
        <v>3056</v>
      </c>
      <c r="RK1" t="str">
        <f>"Move time "&amp;RL1</f>
        <v>Move time Greedy</v>
      </c>
      <c r="RL1" t="s">
        <v>1</v>
      </c>
      <c r="RN1" t="s">
        <v>0</v>
      </c>
      <c r="RO1" t="s">
        <v>3055</v>
      </c>
      <c r="RP1" t="s">
        <v>3056</v>
      </c>
      <c r="RQ1" t="str">
        <f>"Move time "&amp;RR1</f>
        <v>Move time Chance</v>
      </c>
      <c r="RR1" t="s">
        <v>3058</v>
      </c>
      <c r="RS1" t="str">
        <f t="shared" ref="RS1" si="37">"Winnaar"&amp;RP27</f>
        <v>WinnaarChance</v>
      </c>
      <c r="RT1" t="s">
        <v>0</v>
      </c>
      <c r="RU1" t="s">
        <v>3055</v>
      </c>
      <c r="RV1" t="s">
        <v>3056</v>
      </c>
      <c r="RW1" t="str">
        <f>"Move time "&amp;RX1</f>
        <v>Move time Greedy</v>
      </c>
      <c r="RX1" t="s">
        <v>1</v>
      </c>
      <c r="RZ1" t="s">
        <v>0</v>
      </c>
      <c r="SA1" t="s">
        <v>3055</v>
      </c>
      <c r="SB1" t="s">
        <v>3056</v>
      </c>
      <c r="SC1" t="str">
        <f>"Move time "&amp;SD1</f>
        <v>Move time Chance</v>
      </c>
      <c r="SD1" t="s">
        <v>3058</v>
      </c>
      <c r="SE1" t="str">
        <f t="shared" ref="SE1" si="38">"Winnaar"&amp;SB27</f>
        <v>WinnaarChance</v>
      </c>
      <c r="SF1" t="s">
        <v>0</v>
      </c>
      <c r="SG1" t="s">
        <v>3055</v>
      </c>
      <c r="SH1" t="s">
        <v>3056</v>
      </c>
      <c r="SI1" t="str">
        <f>"Move time "&amp;SJ1</f>
        <v>Move time Greedy</v>
      </c>
      <c r="SJ1" t="s">
        <v>1</v>
      </c>
      <c r="SL1" t="s">
        <v>0</v>
      </c>
      <c r="SM1" t="s">
        <v>3055</v>
      </c>
      <c r="SN1" t="s">
        <v>3056</v>
      </c>
      <c r="SO1" t="str">
        <f>"Move time "&amp;SP1</f>
        <v>Move time Chance</v>
      </c>
      <c r="SP1" t="s">
        <v>3058</v>
      </c>
      <c r="SQ1" t="str">
        <f t="shared" ref="SQ1" si="39">"Winnaar"&amp;SN27</f>
        <v>WinnaarChance</v>
      </c>
      <c r="SR1" t="s">
        <v>0</v>
      </c>
      <c r="SS1" t="s">
        <v>3055</v>
      </c>
      <c r="ST1" t="s">
        <v>3056</v>
      </c>
      <c r="SU1" t="str">
        <f>"Move time "&amp;SV1</f>
        <v>Move time Greedy</v>
      </c>
      <c r="SV1" t="s">
        <v>1</v>
      </c>
      <c r="SX1" t="s">
        <v>0</v>
      </c>
      <c r="SY1" t="s">
        <v>3055</v>
      </c>
      <c r="SZ1" t="s">
        <v>3056</v>
      </c>
      <c r="TA1" t="str">
        <f>"Move time "&amp;TB1</f>
        <v>Move time Chance</v>
      </c>
      <c r="TB1" t="s">
        <v>3058</v>
      </c>
      <c r="TC1" t="str">
        <f t="shared" ref="TC1" si="40">"Winnaar"&amp;SZ27</f>
        <v>WinnaarGreedy</v>
      </c>
      <c r="TD1" t="s">
        <v>0</v>
      </c>
      <c r="TE1" t="s">
        <v>3055</v>
      </c>
      <c r="TF1" t="s">
        <v>3056</v>
      </c>
      <c r="TG1" t="str">
        <f>"Move time "&amp;TH1</f>
        <v>Move time Greedy</v>
      </c>
      <c r="TH1" t="s">
        <v>1</v>
      </c>
      <c r="TJ1" t="s">
        <v>0</v>
      </c>
      <c r="TK1" t="s">
        <v>3055</v>
      </c>
      <c r="TL1" t="s">
        <v>3056</v>
      </c>
      <c r="TM1" t="str">
        <f>"Move time "&amp;TN1</f>
        <v>Move time Chance</v>
      </c>
      <c r="TN1" t="s">
        <v>3058</v>
      </c>
      <c r="TO1" t="str">
        <f t="shared" ref="TO1" si="41">"Winnaar"&amp;TL27</f>
        <v>WinnaarChance</v>
      </c>
      <c r="TP1" t="s">
        <v>0</v>
      </c>
      <c r="TQ1" t="s">
        <v>3055</v>
      </c>
      <c r="TR1" t="s">
        <v>3056</v>
      </c>
      <c r="TS1" t="str">
        <f>"Move time "&amp;TT1</f>
        <v>Move time Greedy</v>
      </c>
      <c r="TT1" t="s">
        <v>1</v>
      </c>
      <c r="TV1" t="s">
        <v>0</v>
      </c>
      <c r="TW1" t="s">
        <v>3055</v>
      </c>
      <c r="TX1" t="s">
        <v>3056</v>
      </c>
      <c r="TY1" t="str">
        <f>"Move time "&amp;TZ1</f>
        <v>Move time Chance</v>
      </c>
      <c r="TZ1" t="s">
        <v>3058</v>
      </c>
      <c r="UA1" t="str">
        <f t="shared" ref="UA1" si="42">"Winnaar"&amp;TX27</f>
        <v>WinnaarGreedy</v>
      </c>
      <c r="UB1" t="s">
        <v>0</v>
      </c>
      <c r="UC1" t="s">
        <v>3055</v>
      </c>
      <c r="UD1" t="s">
        <v>3056</v>
      </c>
      <c r="UE1" t="str">
        <f>"Move time "&amp;UF1</f>
        <v>Move time Greedy</v>
      </c>
      <c r="UF1" t="s">
        <v>1</v>
      </c>
      <c r="UH1" t="s">
        <v>0</v>
      </c>
      <c r="UI1" t="s">
        <v>3055</v>
      </c>
      <c r="UJ1" t="s">
        <v>3056</v>
      </c>
      <c r="UK1" t="str">
        <f>"Move time "&amp;UL1</f>
        <v>Move time Chance</v>
      </c>
      <c r="UL1" t="s">
        <v>3058</v>
      </c>
      <c r="UM1" t="str">
        <f t="shared" ref="UM1" si="43">"Winnaar"&amp;UJ27</f>
        <v>WinnaarGreedy</v>
      </c>
      <c r="UN1" t="s">
        <v>0</v>
      </c>
      <c r="UO1" t="s">
        <v>3055</v>
      </c>
      <c r="UP1" t="s">
        <v>3056</v>
      </c>
      <c r="UQ1" t="str">
        <f>"Move time "&amp;UR1</f>
        <v>Move time Greedy</v>
      </c>
      <c r="UR1" t="s">
        <v>1</v>
      </c>
      <c r="UT1" t="s">
        <v>0</v>
      </c>
      <c r="UU1" t="s">
        <v>3055</v>
      </c>
      <c r="UV1" t="s">
        <v>3056</v>
      </c>
      <c r="UW1" t="str">
        <f>"Move time "&amp;UX1</f>
        <v>Move time Chance</v>
      </c>
      <c r="UX1" t="s">
        <v>3058</v>
      </c>
      <c r="UY1" t="str">
        <f t="shared" ref="UY1" si="44">"Winnaar"&amp;UV27</f>
        <v>WinnaarChance</v>
      </c>
      <c r="UZ1" t="s">
        <v>0</v>
      </c>
      <c r="VA1" t="s">
        <v>3055</v>
      </c>
      <c r="VB1" t="s">
        <v>3056</v>
      </c>
      <c r="VC1" t="str">
        <f>"Move time "&amp;VD1</f>
        <v>Move time Greedy</v>
      </c>
      <c r="VD1" t="s">
        <v>1</v>
      </c>
      <c r="VF1" t="s">
        <v>0</v>
      </c>
      <c r="VG1" t="s">
        <v>3055</v>
      </c>
      <c r="VH1" t="s">
        <v>3056</v>
      </c>
      <c r="VI1" t="str">
        <f>"Move time "&amp;VJ1</f>
        <v>Move time Chance</v>
      </c>
      <c r="VJ1" t="s">
        <v>3058</v>
      </c>
      <c r="VK1" t="str">
        <f t="shared" ref="VK1" si="45">"Winnaar"&amp;VH27</f>
        <v>WinnaarGreedy</v>
      </c>
      <c r="VL1" t="s">
        <v>0</v>
      </c>
      <c r="VM1" t="s">
        <v>3055</v>
      </c>
      <c r="VN1" t="s">
        <v>3056</v>
      </c>
      <c r="VO1" t="str">
        <f>"Move time "&amp;VP1</f>
        <v>Move time Greedy</v>
      </c>
      <c r="VP1" t="s">
        <v>1</v>
      </c>
      <c r="VR1" t="s">
        <v>0</v>
      </c>
      <c r="VS1" t="s">
        <v>3055</v>
      </c>
      <c r="VT1" t="s">
        <v>3056</v>
      </c>
      <c r="VU1" t="str">
        <f>"Move time "&amp;VV1</f>
        <v>Move time Chance</v>
      </c>
      <c r="VV1" t="s">
        <v>3058</v>
      </c>
      <c r="VW1" t="str">
        <f t="shared" ref="VW1" si="46">"Winnaar"&amp;VT27</f>
        <v>WinnaarChance</v>
      </c>
      <c r="VX1" t="s">
        <v>0</v>
      </c>
      <c r="VY1" t="s">
        <v>3055</v>
      </c>
      <c r="VZ1" t="s">
        <v>3056</v>
      </c>
      <c r="WA1" t="str">
        <f>"Move time "&amp;WB1</f>
        <v>Move time Greedy</v>
      </c>
      <c r="WB1" t="s">
        <v>1</v>
      </c>
      <c r="WD1" t="s">
        <v>0</v>
      </c>
      <c r="WE1" t="s">
        <v>3055</v>
      </c>
      <c r="WF1" t="s">
        <v>3056</v>
      </c>
      <c r="WG1" t="str">
        <f>"Move time "&amp;WH1</f>
        <v>Move time Chance</v>
      </c>
      <c r="WH1" t="s">
        <v>3058</v>
      </c>
      <c r="WI1" t="str">
        <f t="shared" ref="WI1" si="47">"Winnaar"&amp;WF27</f>
        <v>WinnaarGreedy</v>
      </c>
      <c r="WJ1" t="s">
        <v>0</v>
      </c>
      <c r="WK1" t="s">
        <v>3055</v>
      </c>
      <c r="WL1" t="s">
        <v>3056</v>
      </c>
      <c r="WM1" t="str">
        <f>"Move time "&amp;WN1</f>
        <v>Move time Greedy</v>
      </c>
      <c r="WN1" t="s">
        <v>1</v>
      </c>
      <c r="WP1" t="s">
        <v>0</v>
      </c>
      <c r="WQ1" t="s">
        <v>3055</v>
      </c>
      <c r="WR1" t="s">
        <v>3056</v>
      </c>
      <c r="WS1" t="str">
        <f>"Move time "&amp;WT1</f>
        <v>Move time Chance</v>
      </c>
      <c r="WT1" t="s">
        <v>3058</v>
      </c>
      <c r="WU1" t="str">
        <f t="shared" ref="WU1" si="48">"Winnaar"&amp;WR27</f>
        <v>WinnaarGreedy</v>
      </c>
      <c r="WV1" t="s">
        <v>0</v>
      </c>
      <c r="WW1" t="s">
        <v>3055</v>
      </c>
      <c r="WX1" t="s">
        <v>3056</v>
      </c>
      <c r="WY1" t="str">
        <f>"Move time "&amp;WZ1</f>
        <v>Move time Greedy</v>
      </c>
      <c r="WZ1" t="s">
        <v>1</v>
      </c>
      <c r="XB1" t="s">
        <v>0</v>
      </c>
      <c r="XC1" t="s">
        <v>3055</v>
      </c>
      <c r="XD1" t="s">
        <v>3056</v>
      </c>
      <c r="XE1" t="str">
        <f>"Move time "&amp;XF1</f>
        <v>Move time Chance</v>
      </c>
      <c r="XF1" t="s">
        <v>3058</v>
      </c>
      <c r="XG1" t="str">
        <f t="shared" ref="XG1" si="49">"Winnaar"&amp;XD27</f>
        <v>WinnaarChance</v>
      </c>
      <c r="XH1" t="s">
        <v>0</v>
      </c>
      <c r="XI1" t="s">
        <v>3055</v>
      </c>
      <c r="XJ1" t="s">
        <v>3056</v>
      </c>
      <c r="XK1" t="str">
        <f>"Move time "&amp;XL1</f>
        <v>Move time Greedy</v>
      </c>
      <c r="XL1" t="s">
        <v>1</v>
      </c>
      <c r="XN1" t="s">
        <v>0</v>
      </c>
      <c r="XO1" t="s">
        <v>3055</v>
      </c>
      <c r="XP1" t="s">
        <v>3056</v>
      </c>
      <c r="XQ1" t="str">
        <f>"Move time "&amp;XR1</f>
        <v>Move time Chance</v>
      </c>
      <c r="XR1" t="s">
        <v>3058</v>
      </c>
      <c r="XS1" t="str">
        <f t="shared" ref="XS1" si="50">"Winnaar"&amp;XP27</f>
        <v>WinnaarGreedy</v>
      </c>
      <c r="XT1" t="s">
        <v>0</v>
      </c>
      <c r="XU1" t="s">
        <v>3055</v>
      </c>
      <c r="XV1" t="s">
        <v>3056</v>
      </c>
      <c r="XW1" t="str">
        <f>"Move time "&amp;XX1</f>
        <v>Move time Greedy</v>
      </c>
      <c r="XX1" t="s">
        <v>1</v>
      </c>
      <c r="XZ1" t="s">
        <v>0</v>
      </c>
      <c r="YA1" t="s">
        <v>3055</v>
      </c>
      <c r="YB1" t="s">
        <v>3056</v>
      </c>
      <c r="YC1" t="str">
        <f>"Move time "&amp;YD1</f>
        <v>Move time Chance</v>
      </c>
      <c r="YD1" t="s">
        <v>3058</v>
      </c>
      <c r="YE1" t="str">
        <f t="shared" ref="YE1" si="51">"Winnaar"&amp;YB27</f>
        <v>WinnaarChance</v>
      </c>
      <c r="YF1" t="s">
        <v>0</v>
      </c>
      <c r="YG1" t="s">
        <v>3055</v>
      </c>
      <c r="YH1" t="s">
        <v>3056</v>
      </c>
      <c r="YI1" t="str">
        <f>"Move time "&amp;YJ1</f>
        <v>Move time Greedy</v>
      </c>
      <c r="YJ1" t="s">
        <v>1</v>
      </c>
      <c r="YL1" t="s">
        <v>0</v>
      </c>
      <c r="YM1" t="s">
        <v>3055</v>
      </c>
      <c r="YN1" t="s">
        <v>3056</v>
      </c>
      <c r="YO1" t="str">
        <f>"Move time "&amp;YP1</f>
        <v>Move time Chance</v>
      </c>
      <c r="YP1" t="s">
        <v>3058</v>
      </c>
      <c r="YQ1" t="str">
        <f t="shared" ref="YQ1" si="52">"Winnaar"&amp;YN27</f>
        <v>WinnaarGreedy</v>
      </c>
      <c r="YR1" t="s">
        <v>0</v>
      </c>
      <c r="YS1" t="s">
        <v>3055</v>
      </c>
      <c r="YT1" t="s">
        <v>3056</v>
      </c>
      <c r="YU1" t="str">
        <f>"Move time "&amp;YV1</f>
        <v>Move time Greedy</v>
      </c>
      <c r="YV1" t="s">
        <v>1</v>
      </c>
      <c r="YX1" t="s">
        <v>0</v>
      </c>
      <c r="YY1" t="s">
        <v>3055</v>
      </c>
      <c r="YZ1" t="s">
        <v>3056</v>
      </c>
      <c r="ZA1" t="str">
        <f>"Move time "&amp;ZB1</f>
        <v>Move time Chance</v>
      </c>
      <c r="ZB1" t="s">
        <v>3058</v>
      </c>
      <c r="ZC1" t="str">
        <f t="shared" ref="ZC1" si="53">"Winnaar"&amp;YZ27</f>
        <v>WinnaarChance</v>
      </c>
      <c r="ZD1" t="s">
        <v>0</v>
      </c>
      <c r="ZE1" t="s">
        <v>3055</v>
      </c>
      <c r="ZF1" t="s">
        <v>3056</v>
      </c>
      <c r="ZG1" t="str">
        <f>"Move time "&amp;ZH1</f>
        <v>Move time Greedy</v>
      </c>
      <c r="ZH1" t="s">
        <v>1</v>
      </c>
      <c r="ZJ1" t="s">
        <v>0</v>
      </c>
      <c r="ZK1" t="s">
        <v>3055</v>
      </c>
      <c r="ZL1" t="s">
        <v>3056</v>
      </c>
      <c r="ZM1" t="str">
        <f>"Move time "&amp;ZN1</f>
        <v>Move time Chance</v>
      </c>
      <c r="ZN1" t="s">
        <v>3058</v>
      </c>
      <c r="ZO1" t="str">
        <f t="shared" ref="ZO1" si="54">"Winnaar"&amp;ZL27</f>
        <v>WinnaarChance</v>
      </c>
      <c r="ZP1" t="s">
        <v>0</v>
      </c>
      <c r="ZQ1" t="s">
        <v>3055</v>
      </c>
      <c r="ZR1" t="s">
        <v>3056</v>
      </c>
      <c r="ZS1" t="str">
        <f>"Move time "&amp;ZT1</f>
        <v>Move time Greedy</v>
      </c>
      <c r="ZT1" t="s">
        <v>1</v>
      </c>
      <c r="ZV1" t="s">
        <v>0</v>
      </c>
      <c r="ZW1" t="s">
        <v>3055</v>
      </c>
      <c r="ZX1" t="s">
        <v>3056</v>
      </c>
      <c r="ZY1" t="str">
        <f>"Move time "&amp;ZZ1</f>
        <v>Move time Chance</v>
      </c>
      <c r="ZZ1" t="s">
        <v>3058</v>
      </c>
      <c r="AAA1" t="str">
        <f t="shared" ref="AAA1" si="55">"Winnaar"&amp;ZX27</f>
        <v>WinnaarGreedy</v>
      </c>
      <c r="AAB1" t="s">
        <v>0</v>
      </c>
      <c r="AAC1" t="s">
        <v>3055</v>
      </c>
      <c r="AAD1" t="s">
        <v>3056</v>
      </c>
      <c r="AAE1" t="str">
        <f>"Move time "&amp;AAF1</f>
        <v>Move time Greedy</v>
      </c>
      <c r="AAF1" t="s">
        <v>1</v>
      </c>
      <c r="AAH1" t="s">
        <v>0</v>
      </c>
      <c r="AAI1" t="s">
        <v>3055</v>
      </c>
      <c r="AAJ1" t="s">
        <v>3056</v>
      </c>
      <c r="AAK1" t="str">
        <f>"Move time "&amp;AAL1</f>
        <v>Move time Chance</v>
      </c>
      <c r="AAL1" t="s">
        <v>3058</v>
      </c>
      <c r="AAM1" t="str">
        <f t="shared" ref="AAM1" si="56">"Winnaar"&amp;AAJ27</f>
        <v>WinnaarGelijk</v>
      </c>
      <c r="AAN1" t="s">
        <v>0</v>
      </c>
      <c r="AAO1" t="s">
        <v>3055</v>
      </c>
      <c r="AAP1" t="s">
        <v>3056</v>
      </c>
      <c r="AAQ1" t="str">
        <f>"Move time "&amp;AAR1</f>
        <v>Move time Greedy</v>
      </c>
      <c r="AAR1" t="s">
        <v>1</v>
      </c>
      <c r="AAT1" t="s">
        <v>0</v>
      </c>
      <c r="AAU1" t="s">
        <v>3055</v>
      </c>
      <c r="AAV1" t="s">
        <v>3056</v>
      </c>
      <c r="AAW1" t="str">
        <f>"Move time "&amp;AAX1</f>
        <v>Move time Chance</v>
      </c>
      <c r="AAX1" t="s">
        <v>3058</v>
      </c>
      <c r="AAY1" t="str">
        <f t="shared" ref="AAY1" si="57">"Winnaar"&amp;AAV27</f>
        <v>WinnaarChance</v>
      </c>
      <c r="AAZ1" t="s">
        <v>0</v>
      </c>
      <c r="ABA1" t="s">
        <v>3055</v>
      </c>
      <c r="ABB1" t="s">
        <v>3056</v>
      </c>
      <c r="ABC1" t="str">
        <f>"Move time "&amp;ABD1</f>
        <v>Move time Greedy</v>
      </c>
      <c r="ABD1" t="s">
        <v>1</v>
      </c>
      <c r="ABF1" t="s">
        <v>0</v>
      </c>
      <c r="ABG1" t="s">
        <v>3055</v>
      </c>
      <c r="ABH1" t="s">
        <v>3056</v>
      </c>
      <c r="ABI1" t="str">
        <f>"Move time "&amp;ABJ1</f>
        <v>Move time Greedy</v>
      </c>
      <c r="ABJ1" t="s">
        <v>1</v>
      </c>
      <c r="ABK1" t="str">
        <f>"Winnaar"&amp;ABH27</f>
        <v>WinnaarChance</v>
      </c>
      <c r="ABL1" t="s">
        <v>0</v>
      </c>
      <c r="ABM1" t="s">
        <v>3055</v>
      </c>
      <c r="ABN1" t="s">
        <v>3056</v>
      </c>
      <c r="ABO1" t="str">
        <f>"Move time "&amp;ABP1</f>
        <v>Move time Chance</v>
      </c>
      <c r="ABP1" t="s">
        <v>3058</v>
      </c>
    </row>
    <row r="2" spans="1:745" x14ac:dyDescent="0.25">
      <c r="F2">
        <v>0</v>
      </c>
      <c r="L2">
        <v>0</v>
      </c>
      <c r="R2">
        <v>0</v>
      </c>
      <c r="X2">
        <v>0</v>
      </c>
      <c r="AD2">
        <v>0</v>
      </c>
      <c r="AJ2">
        <v>0</v>
      </c>
      <c r="AP2">
        <v>0</v>
      </c>
      <c r="AV2">
        <v>0</v>
      </c>
      <c r="BB2">
        <v>0</v>
      </c>
      <c r="BH2">
        <v>0</v>
      </c>
      <c r="BN2">
        <v>0</v>
      </c>
      <c r="BT2">
        <v>0</v>
      </c>
      <c r="BZ2">
        <v>0</v>
      </c>
      <c r="CF2">
        <v>0</v>
      </c>
      <c r="CL2">
        <v>0</v>
      </c>
      <c r="CR2">
        <v>0</v>
      </c>
      <c r="CX2">
        <v>0</v>
      </c>
      <c r="DD2">
        <v>0</v>
      </c>
      <c r="DJ2">
        <v>0</v>
      </c>
      <c r="DP2">
        <v>0</v>
      </c>
      <c r="DV2">
        <v>0</v>
      </c>
      <c r="EB2">
        <v>0</v>
      </c>
      <c r="EH2">
        <v>0</v>
      </c>
      <c r="EN2">
        <v>0</v>
      </c>
      <c r="ET2">
        <v>0</v>
      </c>
      <c r="EZ2">
        <v>0</v>
      </c>
      <c r="FF2">
        <v>0</v>
      </c>
      <c r="FL2">
        <v>0</v>
      </c>
      <c r="FR2">
        <v>0</v>
      </c>
      <c r="FX2">
        <v>0</v>
      </c>
      <c r="GD2">
        <v>0</v>
      </c>
      <c r="GJ2">
        <v>0</v>
      </c>
      <c r="GP2">
        <v>0</v>
      </c>
      <c r="GV2">
        <v>0</v>
      </c>
      <c r="HB2">
        <v>0</v>
      </c>
      <c r="HH2">
        <v>0</v>
      </c>
      <c r="HN2">
        <v>0</v>
      </c>
      <c r="HT2">
        <v>0</v>
      </c>
      <c r="HZ2">
        <v>0</v>
      </c>
      <c r="IF2">
        <v>0</v>
      </c>
      <c r="IL2">
        <v>0</v>
      </c>
      <c r="IR2">
        <v>0</v>
      </c>
      <c r="IX2">
        <v>0</v>
      </c>
      <c r="JD2">
        <v>0</v>
      </c>
      <c r="JJ2">
        <v>0</v>
      </c>
      <c r="JP2">
        <v>0</v>
      </c>
      <c r="JV2">
        <v>0</v>
      </c>
      <c r="KB2">
        <v>0</v>
      </c>
      <c r="KH2">
        <v>0</v>
      </c>
      <c r="KN2">
        <v>0</v>
      </c>
      <c r="KT2">
        <v>0</v>
      </c>
      <c r="KZ2">
        <v>0</v>
      </c>
      <c r="LF2">
        <v>0</v>
      </c>
      <c r="LL2">
        <v>0</v>
      </c>
      <c r="LR2">
        <v>0</v>
      </c>
      <c r="LX2">
        <v>0</v>
      </c>
      <c r="MD2">
        <v>0</v>
      </c>
      <c r="MJ2">
        <v>0</v>
      </c>
      <c r="MP2">
        <v>0</v>
      </c>
      <c r="MV2">
        <v>0</v>
      </c>
      <c r="NB2">
        <v>0</v>
      </c>
      <c r="NH2">
        <v>0</v>
      </c>
      <c r="NN2">
        <v>0</v>
      </c>
      <c r="NT2">
        <v>0</v>
      </c>
      <c r="NZ2">
        <v>0</v>
      </c>
      <c r="OF2">
        <v>0</v>
      </c>
      <c r="OL2">
        <v>0</v>
      </c>
      <c r="OR2">
        <v>0</v>
      </c>
      <c r="OX2">
        <v>0</v>
      </c>
      <c r="PD2">
        <v>0</v>
      </c>
      <c r="PJ2">
        <v>0</v>
      </c>
      <c r="PP2">
        <v>0</v>
      </c>
      <c r="PV2">
        <v>0</v>
      </c>
      <c r="QB2">
        <v>0</v>
      </c>
      <c r="QH2">
        <v>0</v>
      </c>
      <c r="QN2">
        <v>0</v>
      </c>
      <c r="QO2" s="4"/>
      <c r="QT2">
        <v>0</v>
      </c>
      <c r="QZ2">
        <v>0</v>
      </c>
      <c r="RF2">
        <v>0</v>
      </c>
      <c r="RL2">
        <v>0</v>
      </c>
      <c r="RR2">
        <v>0</v>
      </c>
      <c r="RX2">
        <v>0</v>
      </c>
      <c r="SD2">
        <v>0</v>
      </c>
      <c r="SJ2">
        <v>0</v>
      </c>
      <c r="SP2">
        <v>0</v>
      </c>
      <c r="SV2">
        <v>0</v>
      </c>
      <c r="TB2">
        <v>0</v>
      </c>
      <c r="TH2">
        <v>0</v>
      </c>
      <c r="TN2">
        <v>0</v>
      </c>
      <c r="TT2">
        <v>0</v>
      </c>
      <c r="TZ2">
        <v>0</v>
      </c>
      <c r="UF2">
        <v>0</v>
      </c>
      <c r="UL2">
        <v>0</v>
      </c>
      <c r="UR2">
        <v>0</v>
      </c>
      <c r="UX2">
        <v>0</v>
      </c>
      <c r="VD2">
        <v>0</v>
      </c>
      <c r="VJ2">
        <v>0</v>
      </c>
      <c r="VP2">
        <v>0</v>
      </c>
      <c r="VV2">
        <v>0</v>
      </c>
      <c r="WB2">
        <v>0</v>
      </c>
      <c r="WH2">
        <v>0</v>
      </c>
      <c r="WN2">
        <v>0</v>
      </c>
      <c r="WT2">
        <v>0</v>
      </c>
      <c r="WZ2">
        <v>0</v>
      </c>
      <c r="XF2">
        <v>0</v>
      </c>
      <c r="XL2">
        <v>0</v>
      </c>
      <c r="XR2">
        <v>0</v>
      </c>
      <c r="XX2">
        <v>0</v>
      </c>
      <c r="YD2">
        <v>0</v>
      </c>
      <c r="YJ2">
        <v>0</v>
      </c>
      <c r="YP2">
        <v>0</v>
      </c>
      <c r="YV2">
        <v>0</v>
      </c>
      <c r="ZB2">
        <v>0</v>
      </c>
      <c r="ZH2">
        <v>0</v>
      </c>
      <c r="ZN2">
        <v>0</v>
      </c>
      <c r="ZT2">
        <v>0</v>
      </c>
      <c r="ZZ2">
        <v>0</v>
      </c>
      <c r="AAF2">
        <v>0</v>
      </c>
      <c r="AAL2">
        <v>0</v>
      </c>
      <c r="AAR2">
        <v>0</v>
      </c>
      <c r="AAX2">
        <v>0</v>
      </c>
      <c r="ABD2">
        <v>0</v>
      </c>
      <c r="ABJ2">
        <v>0</v>
      </c>
      <c r="ABP2">
        <v>0</v>
      </c>
    </row>
    <row r="3" spans="1:745" x14ac:dyDescent="0.25">
      <c r="A3">
        <v>1</v>
      </c>
      <c r="B3">
        <f t="shared" ref="B3:B15" si="58">F3 - F2</f>
        <v>28</v>
      </c>
      <c r="C3" t="s">
        <v>2</v>
      </c>
      <c r="E3">
        <v>3.839910507202148</v>
      </c>
      <c r="F3">
        <v>28</v>
      </c>
      <c r="G3" s="1"/>
      <c r="H3">
        <f t="shared" ref="H3:H15" si="59">L3 - L2</f>
        <v>38</v>
      </c>
      <c r="I3" t="s">
        <v>3</v>
      </c>
      <c r="K3">
        <v>11.60710644721985</v>
      </c>
      <c r="L3">
        <v>38</v>
      </c>
      <c r="M3" s="2"/>
      <c r="N3">
        <f t="shared" ref="N3:N22" si="60">R3 - R2</f>
        <v>24</v>
      </c>
      <c r="O3" t="s">
        <v>4</v>
      </c>
      <c r="Q3">
        <v>5.5624151229858398</v>
      </c>
      <c r="R3">
        <v>24</v>
      </c>
      <c r="S3" s="3"/>
      <c r="T3">
        <f t="shared" ref="T3:T21" si="61">X3 - X2</f>
        <v>20</v>
      </c>
      <c r="U3" t="s">
        <v>5</v>
      </c>
      <c r="W3">
        <v>37.527326107025146</v>
      </c>
      <c r="X3">
        <v>20</v>
      </c>
      <c r="Y3" s="2"/>
      <c r="Z3">
        <f t="shared" ref="Z3:Z18" si="62">AD3 - AD2</f>
        <v>22</v>
      </c>
      <c r="AA3" t="s">
        <v>6</v>
      </c>
      <c r="AC3">
        <v>3.7767083644866939</v>
      </c>
      <c r="AD3">
        <v>22</v>
      </c>
      <c r="AE3" s="3"/>
      <c r="AF3">
        <f t="shared" ref="AF3:AF18" si="63">AJ3 - AJ2</f>
        <v>24</v>
      </c>
      <c r="AG3" t="s">
        <v>7</v>
      </c>
      <c r="AI3">
        <v>16.863658428192139</v>
      </c>
      <c r="AJ3">
        <v>24</v>
      </c>
      <c r="AK3" s="2"/>
      <c r="AL3">
        <f t="shared" ref="AL3:AL18" si="64">AP3 - AP2</f>
        <v>74</v>
      </c>
      <c r="AM3" t="s">
        <v>8</v>
      </c>
      <c r="AO3">
        <v>8.909308910369873</v>
      </c>
      <c r="AP3">
        <v>74</v>
      </c>
      <c r="AQ3" s="3"/>
      <c r="AR3">
        <f t="shared" ref="AR3:AR17" si="65">AV3 - AV2</f>
        <v>17</v>
      </c>
      <c r="AS3" t="s">
        <v>9</v>
      </c>
      <c r="AU3">
        <v>17.72517013549805</v>
      </c>
      <c r="AV3">
        <v>17</v>
      </c>
      <c r="AW3" s="2"/>
      <c r="AX3">
        <f t="shared" ref="AX3:AX14" si="66">BB3 - BB2</f>
        <v>20</v>
      </c>
      <c r="AY3" t="s">
        <v>10</v>
      </c>
      <c r="BA3">
        <v>2.3590047359466548</v>
      </c>
      <c r="BB3">
        <v>20</v>
      </c>
      <c r="BC3" s="3"/>
      <c r="BD3">
        <f t="shared" ref="BD3:BD14" si="67">BH3 - BH2</f>
        <v>24</v>
      </c>
      <c r="BE3" t="s">
        <v>11</v>
      </c>
      <c r="BG3">
        <v>21.430600166320801</v>
      </c>
      <c r="BH3">
        <v>24</v>
      </c>
      <c r="BI3" s="2"/>
      <c r="BJ3">
        <f t="shared" ref="BJ3:BJ18" si="68">BN3 - BN2</f>
        <v>68</v>
      </c>
      <c r="BK3" t="s">
        <v>12</v>
      </c>
      <c r="BM3">
        <v>6.8690500259399414</v>
      </c>
      <c r="BN3">
        <v>68</v>
      </c>
      <c r="BO3" s="3"/>
      <c r="BP3">
        <f t="shared" ref="BP3:BP17" si="69">BT3 - BT2</f>
        <v>35</v>
      </c>
      <c r="BQ3" t="s">
        <v>13</v>
      </c>
      <c r="BS3">
        <v>17.73518085479736</v>
      </c>
      <c r="BT3">
        <v>35</v>
      </c>
      <c r="BU3" s="2"/>
      <c r="BV3">
        <f t="shared" ref="BV3:BV16" si="70">BZ3 - BZ2</f>
        <v>10</v>
      </c>
      <c r="BW3" t="s">
        <v>14</v>
      </c>
      <c r="BY3">
        <v>3.3772363662719731</v>
      </c>
      <c r="BZ3">
        <v>10</v>
      </c>
      <c r="CA3" s="3"/>
      <c r="CB3">
        <f t="shared" ref="CB3:CB15" si="71">CF3 - CF2</f>
        <v>30</v>
      </c>
      <c r="CC3" t="s">
        <v>15</v>
      </c>
      <c r="CE3">
        <v>10.84329462051392</v>
      </c>
      <c r="CF3">
        <v>30</v>
      </c>
      <c r="CG3" s="2"/>
      <c r="CH3">
        <f t="shared" ref="CH3:CH17" si="72">CL3 - CL2</f>
        <v>28</v>
      </c>
      <c r="CI3" t="s">
        <v>16</v>
      </c>
      <c r="CK3">
        <v>1.7861170768737791</v>
      </c>
      <c r="CL3">
        <v>28</v>
      </c>
      <c r="CM3" s="3"/>
      <c r="CN3">
        <f t="shared" ref="CN3:CN17" si="73">CR3 - CR2</f>
        <v>0</v>
      </c>
      <c r="CQ3">
        <v>21.368753910064701</v>
      </c>
      <c r="CR3">
        <v>0</v>
      </c>
      <c r="CS3" s="2"/>
      <c r="CT3">
        <f t="shared" ref="CT3:CT18" si="74">CX3 - CX2</f>
        <v>18</v>
      </c>
      <c r="CU3" t="s">
        <v>17</v>
      </c>
      <c r="CW3">
        <v>2.943832159042358</v>
      </c>
      <c r="CX3">
        <v>18</v>
      </c>
      <c r="CY3" s="3"/>
      <c r="CZ3">
        <f t="shared" ref="CZ3:CZ18" si="75">DD3 - DD2</f>
        <v>48</v>
      </c>
      <c r="DA3" t="s">
        <v>18</v>
      </c>
      <c r="DC3">
        <v>13.635812759399411</v>
      </c>
      <c r="DD3">
        <v>48</v>
      </c>
      <c r="DE3" s="2"/>
      <c r="DF3">
        <f t="shared" ref="DF3:DF15" si="76">DJ3 - DJ2</f>
        <v>62</v>
      </c>
      <c r="DG3" t="s">
        <v>19</v>
      </c>
      <c r="DI3">
        <v>35.52246356010437</v>
      </c>
      <c r="DJ3">
        <v>62</v>
      </c>
      <c r="DK3" s="3"/>
      <c r="DL3">
        <f t="shared" ref="DL3:DL15" si="77">DP3 - DP2</f>
        <v>42</v>
      </c>
      <c r="DM3" t="s">
        <v>20</v>
      </c>
      <c r="DO3">
        <v>12.85562634468079</v>
      </c>
      <c r="DP3">
        <v>42</v>
      </c>
      <c r="DQ3" s="2"/>
      <c r="DR3">
        <f t="shared" ref="DR3:DR18" si="78">DV3 - DV2</f>
        <v>26</v>
      </c>
      <c r="DS3" t="s">
        <v>21</v>
      </c>
      <c r="DU3">
        <v>3.6255943775177002</v>
      </c>
      <c r="DV3">
        <v>26</v>
      </c>
      <c r="DW3" s="3"/>
      <c r="DX3">
        <f t="shared" ref="DX3:DX18" si="79">EB3 - EB2</f>
        <v>34</v>
      </c>
      <c r="DY3" t="s">
        <v>22</v>
      </c>
      <c r="EA3">
        <v>21.98599457740784</v>
      </c>
      <c r="EB3">
        <v>34</v>
      </c>
      <c r="EC3" s="2"/>
      <c r="ED3">
        <f t="shared" ref="ED3:ED15" si="80">EH3 - EH2</f>
        <v>26</v>
      </c>
      <c r="EE3" t="s">
        <v>23</v>
      </c>
      <c r="EG3">
        <v>5.3768742084503174</v>
      </c>
      <c r="EH3">
        <v>26</v>
      </c>
      <c r="EI3" s="3"/>
      <c r="EJ3">
        <f t="shared" ref="EJ3:EJ14" si="81">EN3 - EN2</f>
        <v>33</v>
      </c>
      <c r="EK3" t="s">
        <v>24</v>
      </c>
      <c r="EM3">
        <v>34.645794868469238</v>
      </c>
      <c r="EN3">
        <v>33</v>
      </c>
      <c r="EO3" s="2"/>
      <c r="EP3">
        <f t="shared" ref="EP3:EP15" si="82">ET3 - ET2</f>
        <v>56</v>
      </c>
      <c r="EQ3" t="s">
        <v>25</v>
      </c>
      <c r="ES3">
        <v>43.369779109954827</v>
      </c>
      <c r="ET3">
        <v>56</v>
      </c>
      <c r="EU3" s="3"/>
      <c r="EV3">
        <f t="shared" ref="EV3:EV14" si="83">EZ3 - EZ2</f>
        <v>28</v>
      </c>
      <c r="EW3" t="s">
        <v>26</v>
      </c>
      <c r="EY3">
        <v>17.76465010643005</v>
      </c>
      <c r="EZ3">
        <v>28</v>
      </c>
      <c r="FA3" s="2"/>
      <c r="FB3">
        <f t="shared" ref="FB3:FB18" si="84">FF3 - FF2</f>
        <v>10</v>
      </c>
      <c r="FC3" t="s">
        <v>27</v>
      </c>
      <c r="FE3">
        <v>1.6056580543518071</v>
      </c>
      <c r="FF3">
        <v>10</v>
      </c>
      <c r="FG3" s="3"/>
      <c r="FH3">
        <f t="shared" ref="FH3:FH18" si="85">FL3 - FL2</f>
        <v>26</v>
      </c>
      <c r="FI3" t="s">
        <v>28</v>
      </c>
      <c r="FK3">
        <v>14.72816061973572</v>
      </c>
      <c r="FL3">
        <v>26</v>
      </c>
      <c r="FM3" s="2"/>
      <c r="FN3">
        <f t="shared" ref="FN3:FN16" si="86">FR3 - FR2</f>
        <v>13</v>
      </c>
      <c r="FO3" t="s">
        <v>29</v>
      </c>
      <c r="FQ3">
        <v>1.976843118667603</v>
      </c>
      <c r="FR3">
        <v>13</v>
      </c>
      <c r="FS3" s="3"/>
      <c r="FT3">
        <f t="shared" ref="FT3:FT16" si="87">FX3 - FX2</f>
        <v>17</v>
      </c>
      <c r="FU3" t="s">
        <v>30</v>
      </c>
      <c r="FW3">
        <v>13.117742776870729</v>
      </c>
      <c r="FX3">
        <v>17</v>
      </c>
      <c r="FY3" s="2"/>
      <c r="FZ3">
        <f t="shared" ref="FZ3:FZ15" si="88">GD3 - GD2</f>
        <v>12</v>
      </c>
      <c r="GA3" t="s">
        <v>31</v>
      </c>
      <c r="GC3">
        <v>1.4377815723419189</v>
      </c>
      <c r="GD3">
        <v>12</v>
      </c>
      <c r="GE3" s="3"/>
      <c r="GF3">
        <f t="shared" ref="GF3:GF15" si="89">GJ3 - GJ2</f>
        <v>40</v>
      </c>
      <c r="GG3" t="s">
        <v>32</v>
      </c>
      <c r="GI3">
        <v>13.81966328620911</v>
      </c>
      <c r="GJ3">
        <v>40</v>
      </c>
      <c r="GK3" s="2"/>
      <c r="GL3">
        <f t="shared" ref="GL3:GL17" si="90">GP3 - GP2</f>
        <v>26</v>
      </c>
      <c r="GM3" t="s">
        <v>33</v>
      </c>
      <c r="GO3">
        <v>4.7581908702850342</v>
      </c>
      <c r="GP3">
        <v>26</v>
      </c>
      <c r="GQ3" s="3"/>
      <c r="GR3">
        <f t="shared" ref="GR3:GR17" si="91">GV3 - GV2</f>
        <v>30</v>
      </c>
      <c r="GS3" t="s">
        <v>34</v>
      </c>
      <c r="GU3">
        <v>15.181981563568121</v>
      </c>
      <c r="GV3">
        <v>30</v>
      </c>
      <c r="GW3" s="2"/>
      <c r="GX3">
        <f t="shared" ref="GX3:GX14" si="92">HB3 - HB2</f>
        <v>24</v>
      </c>
      <c r="GY3" t="s">
        <v>35</v>
      </c>
      <c r="HA3">
        <v>1.935745477676392</v>
      </c>
      <c r="HB3">
        <v>24</v>
      </c>
      <c r="HC3" s="3"/>
      <c r="HD3">
        <f t="shared" ref="HD3:HD14" si="93">HH3 - HH2</f>
        <v>44</v>
      </c>
      <c r="HE3" t="s">
        <v>36</v>
      </c>
      <c r="HG3">
        <v>14.04010272026062</v>
      </c>
      <c r="HH3">
        <v>44</v>
      </c>
      <c r="HI3" s="2"/>
      <c r="HJ3">
        <f t="shared" ref="HJ3:HJ18" si="94">HN3 - HN2</f>
        <v>12</v>
      </c>
      <c r="HK3" t="s">
        <v>37</v>
      </c>
      <c r="HM3">
        <v>3.010473489761353</v>
      </c>
      <c r="HN3">
        <v>12</v>
      </c>
      <c r="HO3" s="3"/>
      <c r="HP3">
        <f t="shared" ref="HP3:HP17" si="95">HT3 - HT2</f>
        <v>0</v>
      </c>
      <c r="HS3">
        <v>18.72766900062561</v>
      </c>
      <c r="HT3">
        <v>0</v>
      </c>
      <c r="HU3" s="2"/>
      <c r="HV3">
        <f t="shared" ref="HV3:HV15" si="96">HZ3 - HZ2</f>
        <v>11</v>
      </c>
      <c r="HW3" t="s">
        <v>38</v>
      </c>
      <c r="HY3">
        <v>1.638322114944458</v>
      </c>
      <c r="HZ3">
        <v>11</v>
      </c>
      <c r="IA3" s="3"/>
      <c r="IB3">
        <f t="shared" ref="IB3:IB15" si="97">IF3 - IF2</f>
        <v>22</v>
      </c>
      <c r="IC3" t="s">
        <v>39</v>
      </c>
      <c r="IE3">
        <v>15.98043870925903</v>
      </c>
      <c r="IF3">
        <v>22</v>
      </c>
      <c r="IG3" s="2"/>
      <c r="IH3">
        <f t="shared" ref="IH3:IH14" si="98">IL3 - IL2</f>
        <v>10</v>
      </c>
      <c r="II3" t="s">
        <v>40</v>
      </c>
      <c r="IK3">
        <v>2.1121551990509029</v>
      </c>
      <c r="IL3">
        <v>10</v>
      </c>
      <c r="IM3" s="3"/>
      <c r="IN3">
        <f t="shared" ref="IN3:IN14" si="99">IR3 - IR2</f>
        <v>19</v>
      </c>
      <c r="IO3" t="s">
        <v>41</v>
      </c>
      <c r="IQ3">
        <v>13.56922554969788</v>
      </c>
      <c r="IR3">
        <v>19</v>
      </c>
      <c r="IS3" s="2"/>
      <c r="IT3">
        <f t="shared" ref="IT3:IT20" si="100">IX3 - IX2</f>
        <v>18</v>
      </c>
      <c r="IU3" t="s">
        <v>42</v>
      </c>
      <c r="IW3">
        <v>4.5127630233764648</v>
      </c>
      <c r="IX3">
        <v>18</v>
      </c>
      <c r="IY3" s="3"/>
      <c r="IZ3">
        <f t="shared" ref="IZ3:IZ19" si="101">JD3 - JD2</f>
        <v>25</v>
      </c>
      <c r="JA3" t="s">
        <v>43</v>
      </c>
      <c r="JC3">
        <v>10.986607551574711</v>
      </c>
      <c r="JD3">
        <v>25</v>
      </c>
      <c r="JE3" s="2"/>
      <c r="JF3">
        <f t="shared" ref="JF3:JF23" si="102">JJ3 - JJ2</f>
        <v>32</v>
      </c>
      <c r="JG3" t="s">
        <v>44</v>
      </c>
      <c r="JI3">
        <v>2.8770215511322021</v>
      </c>
      <c r="JJ3">
        <v>32</v>
      </c>
      <c r="JK3" s="3"/>
      <c r="JL3">
        <f t="shared" ref="JL3:JL23" si="103">JP3 - JP2</f>
        <v>36</v>
      </c>
      <c r="JM3" t="s">
        <v>45</v>
      </c>
      <c r="JO3">
        <v>16.103662252426151</v>
      </c>
      <c r="JP3">
        <v>36</v>
      </c>
      <c r="JQ3" s="2"/>
      <c r="JR3">
        <f t="shared" ref="JR3:JR14" si="104">JV3 - JV2</f>
        <v>56</v>
      </c>
      <c r="JS3" t="s">
        <v>46</v>
      </c>
      <c r="JU3">
        <v>37.285426139831543</v>
      </c>
      <c r="JV3">
        <v>56</v>
      </c>
      <c r="JW3" s="3"/>
      <c r="JX3">
        <f t="shared" ref="JX3:JX14" si="105">KB3 - KB2</f>
        <v>44</v>
      </c>
      <c r="JY3" t="s">
        <v>47</v>
      </c>
      <c r="KA3">
        <v>18.832894802093509</v>
      </c>
      <c r="KB3">
        <v>44</v>
      </c>
      <c r="KC3" s="2"/>
      <c r="KD3">
        <f t="shared" ref="KD3:KD17" si="106">KH3 - KH2</f>
        <v>28</v>
      </c>
      <c r="KE3" t="s">
        <v>48</v>
      </c>
      <c r="KG3">
        <v>2.6834647655487061</v>
      </c>
      <c r="KH3">
        <v>28</v>
      </c>
      <c r="KI3" s="3"/>
      <c r="KJ3">
        <f t="shared" ref="KJ3:KJ17" si="107">KN3 - KN2</f>
        <v>82</v>
      </c>
      <c r="KK3" t="s">
        <v>49</v>
      </c>
      <c r="KM3">
        <v>28.022619962692261</v>
      </c>
      <c r="KN3">
        <v>82</v>
      </c>
      <c r="KO3" s="2"/>
      <c r="KP3">
        <f t="shared" ref="KP3:KP18" si="108">KT3 - KT2</f>
        <v>8</v>
      </c>
      <c r="KQ3" t="s">
        <v>50</v>
      </c>
      <c r="KS3">
        <v>1.774651765823364</v>
      </c>
      <c r="KT3">
        <v>8</v>
      </c>
      <c r="KU3" s="3"/>
      <c r="KV3">
        <f t="shared" ref="KV3:KV18" si="109">KZ3 - KZ2</f>
        <v>24</v>
      </c>
      <c r="KW3" t="s">
        <v>51</v>
      </c>
      <c r="KY3">
        <v>11.10340237617493</v>
      </c>
      <c r="KZ3">
        <v>24</v>
      </c>
      <c r="LA3" s="2"/>
      <c r="LB3">
        <f t="shared" ref="LB3:LB16" si="110">LF3 - LF2</f>
        <v>18</v>
      </c>
      <c r="LC3" t="s">
        <v>52</v>
      </c>
      <c r="LE3">
        <v>2.8803131580352779</v>
      </c>
      <c r="LF3">
        <v>18</v>
      </c>
      <c r="LG3" s="3"/>
      <c r="LH3">
        <f t="shared" ref="LH3:LH16" si="111">LL3 - LL2</f>
        <v>70</v>
      </c>
      <c r="LI3" t="s">
        <v>53</v>
      </c>
      <c r="LK3">
        <v>27.22364521026611</v>
      </c>
      <c r="LL3">
        <v>70</v>
      </c>
      <c r="LM3" s="2"/>
      <c r="LN3">
        <f t="shared" ref="LN3:LN14" si="112">LR3 - LR2</f>
        <v>20</v>
      </c>
      <c r="LO3" t="s">
        <v>54</v>
      </c>
      <c r="LQ3">
        <v>6.5284876823425293</v>
      </c>
      <c r="LR3">
        <v>20</v>
      </c>
      <c r="LS3" s="3"/>
      <c r="LT3">
        <f t="shared" ref="LT3:LT14" si="113">LX3 - LX2</f>
        <v>34</v>
      </c>
      <c r="LU3" t="s">
        <v>55</v>
      </c>
      <c r="LW3">
        <v>21.728221416473389</v>
      </c>
      <c r="LX3">
        <v>34</v>
      </c>
      <c r="LY3" s="2"/>
      <c r="LZ3">
        <f t="shared" ref="LZ3:LZ16" si="114">MD3 - MD2</f>
        <v>28</v>
      </c>
      <c r="MA3" t="s">
        <v>56</v>
      </c>
      <c r="MC3">
        <v>3.4021847248077388</v>
      </c>
      <c r="MD3">
        <v>28</v>
      </c>
      <c r="ME3" s="3"/>
      <c r="MF3">
        <f t="shared" ref="MF3:MF16" si="115">MJ3 - MJ2</f>
        <v>86</v>
      </c>
      <c r="MG3" t="s">
        <v>57</v>
      </c>
      <c r="MI3">
        <v>105.0633974075317</v>
      </c>
      <c r="MJ3">
        <v>86</v>
      </c>
      <c r="MK3" s="2"/>
      <c r="ML3">
        <f t="shared" ref="ML3:ML15" si="116">MP3 - MP2</f>
        <v>26</v>
      </c>
      <c r="MM3" t="s">
        <v>58</v>
      </c>
      <c r="MO3">
        <v>3.4853780269622798</v>
      </c>
      <c r="MP3">
        <v>26</v>
      </c>
      <c r="MQ3" s="3"/>
      <c r="MR3">
        <f t="shared" ref="MR3:MR14" si="117">MV3 - MV2</f>
        <v>21</v>
      </c>
      <c r="MS3" t="s">
        <v>59</v>
      </c>
      <c r="MU3">
        <v>15.906468391418461</v>
      </c>
      <c r="MV3">
        <v>21</v>
      </c>
      <c r="MW3" s="2"/>
      <c r="MX3">
        <f t="shared" ref="MX3:MX17" si="118">NB3 - NB2</f>
        <v>0</v>
      </c>
      <c r="NA3">
        <v>17.423613548278809</v>
      </c>
      <c r="NB3">
        <v>0</v>
      </c>
      <c r="NC3" s="3"/>
      <c r="ND3">
        <f t="shared" ref="ND3:ND17" si="119">NH3 - NH2</f>
        <v>11</v>
      </c>
      <c r="NE3" t="s">
        <v>60</v>
      </c>
      <c r="NG3">
        <v>1.627722024917603</v>
      </c>
      <c r="NH3">
        <v>11</v>
      </c>
      <c r="NI3" s="2"/>
      <c r="NJ3">
        <f t="shared" ref="NJ3:NJ18" si="120">NN3 - NN2</f>
        <v>0</v>
      </c>
      <c r="NM3">
        <v>26.758721351623539</v>
      </c>
      <c r="NN3">
        <v>0</v>
      </c>
      <c r="NO3" s="3"/>
      <c r="NP3">
        <f t="shared" ref="NP3:NP17" si="121">NT3 - NT2</f>
        <v>18</v>
      </c>
      <c r="NQ3" t="s">
        <v>61</v>
      </c>
      <c r="NS3">
        <v>2.3582780361175542</v>
      </c>
      <c r="NT3">
        <v>18</v>
      </c>
      <c r="NU3" s="2"/>
      <c r="NV3">
        <f t="shared" ref="NV3:NV20" si="122">NZ3 - NZ2</f>
        <v>0</v>
      </c>
      <c r="NY3">
        <v>9.2314281463623047</v>
      </c>
      <c r="NZ3">
        <v>0</v>
      </c>
      <c r="OA3" s="3"/>
      <c r="OB3">
        <f t="shared" ref="OB3:OB19" si="123">OF3 - OF2</f>
        <v>14</v>
      </c>
      <c r="OC3" t="s">
        <v>62</v>
      </c>
      <c r="OE3">
        <v>2.3131957054138179</v>
      </c>
      <c r="OF3">
        <v>14</v>
      </c>
      <c r="OG3" s="2"/>
      <c r="OH3">
        <f t="shared" ref="OH3:OH16" si="124">OL3 - OL2</f>
        <v>70</v>
      </c>
      <c r="OI3" t="s">
        <v>63</v>
      </c>
      <c r="OK3">
        <v>12.868914842605591</v>
      </c>
      <c r="OL3">
        <v>70</v>
      </c>
      <c r="OM3" s="3"/>
      <c r="ON3">
        <f t="shared" ref="ON3:ON15" si="125">OR3 - OR2</f>
        <v>34</v>
      </c>
      <c r="OO3" t="s">
        <v>64</v>
      </c>
      <c r="OQ3">
        <v>7.3278448581695557</v>
      </c>
      <c r="OR3">
        <v>34</v>
      </c>
      <c r="OS3" s="2"/>
      <c r="OT3">
        <f t="shared" ref="OT3:OT16" si="126">OX3 - OX2</f>
        <v>10</v>
      </c>
      <c r="OU3" t="s">
        <v>65</v>
      </c>
      <c r="OW3">
        <v>27.40593957901001</v>
      </c>
      <c r="OX3">
        <v>10</v>
      </c>
      <c r="OY3" s="3"/>
      <c r="OZ3">
        <f t="shared" ref="OZ3:OZ15" si="127">PD3 - PD2</f>
        <v>32</v>
      </c>
      <c r="PA3" t="s">
        <v>66</v>
      </c>
      <c r="PC3">
        <v>5.7795460224151611</v>
      </c>
      <c r="PD3">
        <v>32</v>
      </c>
      <c r="PE3" s="2"/>
      <c r="PF3">
        <f t="shared" ref="PF3:PF18" si="128">PJ3 - PJ2</f>
        <v>0</v>
      </c>
      <c r="PI3">
        <v>21.248517036437988</v>
      </c>
      <c r="PJ3">
        <v>0</v>
      </c>
      <c r="PK3" s="3"/>
      <c r="PL3">
        <f t="shared" ref="PL3:PL17" si="129">PP3 - PP2</f>
        <v>14</v>
      </c>
      <c r="PM3" t="s">
        <v>67</v>
      </c>
      <c r="PO3">
        <v>1.7683553695678711</v>
      </c>
      <c r="PP3">
        <v>14</v>
      </c>
      <c r="PQ3" s="2"/>
      <c r="PR3">
        <f t="shared" ref="PR3:PR14" si="130">PV3 - PV2</f>
        <v>0</v>
      </c>
      <c r="PU3">
        <v>11.90457391738892</v>
      </c>
      <c r="PV3">
        <v>0</v>
      </c>
      <c r="PW3" s="3"/>
      <c r="PX3">
        <f t="shared" ref="PX3:PX14" si="131">QB3 - QB2</f>
        <v>30</v>
      </c>
      <c r="PY3" t="s">
        <v>68</v>
      </c>
      <c r="QA3">
        <v>6.853743314743042</v>
      </c>
      <c r="QB3">
        <v>30</v>
      </c>
      <c r="QC3" s="2"/>
      <c r="QD3">
        <f t="shared" ref="QD3:QD18" si="132">QH3 - QH2</f>
        <v>2</v>
      </c>
      <c r="QE3" t="s">
        <v>69</v>
      </c>
      <c r="QG3">
        <v>12.426928281784059</v>
      </c>
      <c r="QH3">
        <v>2</v>
      </c>
      <c r="QI3" s="3"/>
      <c r="QJ3">
        <f t="shared" ref="QJ3:QJ18" si="133">QN3 - QN2</f>
        <v>16</v>
      </c>
      <c r="QK3" t="s">
        <v>70</v>
      </c>
      <c r="QM3">
        <v>2.2671711444854741</v>
      </c>
      <c r="QN3">
        <v>16</v>
      </c>
      <c r="QO3" s="4"/>
      <c r="QP3">
        <f t="shared" ref="QP3:QP16" si="134">QT3 - QT2</f>
        <v>32</v>
      </c>
      <c r="QQ3" t="s">
        <v>71</v>
      </c>
      <c r="QS3">
        <v>12.32149505615234</v>
      </c>
      <c r="QT3">
        <v>32</v>
      </c>
      <c r="QU3" s="3"/>
      <c r="QV3">
        <f t="shared" ref="QV3:QV15" si="135">QZ3 - QZ2</f>
        <v>34</v>
      </c>
      <c r="QW3" t="s">
        <v>72</v>
      </c>
      <c r="QY3">
        <v>12.23429894447327</v>
      </c>
      <c r="QZ3">
        <v>34</v>
      </c>
      <c r="RA3" s="2"/>
      <c r="RB3">
        <f t="shared" ref="RB3:RB18" si="136">RF3 - RF2</f>
        <v>11</v>
      </c>
      <c r="RC3" t="s">
        <v>73</v>
      </c>
      <c r="RE3">
        <v>11.38898897171021</v>
      </c>
      <c r="RF3">
        <v>11</v>
      </c>
      <c r="RG3" s="3"/>
      <c r="RH3">
        <f t="shared" ref="RH3:RH17" si="137">RL3 - RL2</f>
        <v>42</v>
      </c>
      <c r="RI3" t="s">
        <v>74</v>
      </c>
      <c r="RK3">
        <v>2.6859931945800781</v>
      </c>
      <c r="RL3">
        <v>42</v>
      </c>
      <c r="RM3" s="2"/>
      <c r="RN3">
        <f t="shared" ref="RN3:RN16" si="138">RR3 - RR2</f>
        <v>20</v>
      </c>
      <c r="RO3" t="s">
        <v>75</v>
      </c>
      <c r="RQ3">
        <v>10.73058152198792</v>
      </c>
      <c r="RR3">
        <v>20</v>
      </c>
      <c r="RS3" s="3"/>
      <c r="RT3">
        <f t="shared" ref="RT3:RT15" si="139">RX3 - RX2</f>
        <v>40</v>
      </c>
      <c r="RU3" t="s">
        <v>76</v>
      </c>
      <c r="RW3">
        <v>4.327789306640625</v>
      </c>
      <c r="RX3">
        <v>40</v>
      </c>
      <c r="RY3" s="2"/>
      <c r="RZ3">
        <f t="shared" ref="RZ3:RZ15" si="140">SD3 - SD2</f>
        <v>4</v>
      </c>
      <c r="SA3" t="s">
        <v>77</v>
      </c>
      <c r="SC3">
        <v>15.00153732299805</v>
      </c>
      <c r="SD3">
        <v>4</v>
      </c>
      <c r="SE3" s="3"/>
      <c r="SF3">
        <f t="shared" ref="SF3:SF14" si="141">SJ3 - SJ2</f>
        <v>12</v>
      </c>
      <c r="SG3" t="s">
        <v>78</v>
      </c>
      <c r="SI3">
        <v>1.975830078125</v>
      </c>
      <c r="SJ3">
        <v>12</v>
      </c>
      <c r="SK3" s="2"/>
      <c r="SL3">
        <f t="shared" ref="SL3:SL14" si="142">SP3 - SP2</f>
        <v>22</v>
      </c>
      <c r="SM3" t="s">
        <v>79</v>
      </c>
      <c r="SO3">
        <v>10.934509992599491</v>
      </c>
      <c r="SP3">
        <v>22</v>
      </c>
      <c r="SQ3" s="3"/>
      <c r="SR3">
        <f t="shared" ref="SR3:SR13" si="143">SV3 - SV2</f>
        <v>26</v>
      </c>
      <c r="SS3" t="s">
        <v>80</v>
      </c>
      <c r="SU3">
        <v>9.0949583053588867</v>
      </c>
      <c r="SV3">
        <v>26</v>
      </c>
      <c r="SW3" s="2"/>
      <c r="SX3">
        <f t="shared" ref="SX3:SX17" si="144">TB3 - TB2</f>
        <v>0</v>
      </c>
      <c r="TA3">
        <v>10.868491888046259</v>
      </c>
      <c r="TB3">
        <v>0</v>
      </c>
      <c r="TC3" s="3"/>
      <c r="TD3">
        <f t="shared" ref="TD3:TD17" si="145">TH3 - TH2</f>
        <v>7</v>
      </c>
      <c r="TE3" t="s">
        <v>81</v>
      </c>
      <c r="TG3">
        <v>1.2393729686737061</v>
      </c>
      <c r="TH3">
        <v>7</v>
      </c>
      <c r="TI3" s="2"/>
      <c r="TJ3">
        <f t="shared" ref="TJ3:TJ15" si="146">TN3 - TN2</f>
        <v>0</v>
      </c>
      <c r="TM3">
        <v>20.640079021453861</v>
      </c>
      <c r="TN3">
        <v>0</v>
      </c>
      <c r="TO3" s="3"/>
      <c r="TP3">
        <f t="shared" ref="TP3:TP14" si="147">TT3 - TT2</f>
        <v>22</v>
      </c>
      <c r="TQ3" t="s">
        <v>79</v>
      </c>
      <c r="TS3">
        <v>4.4277644157409668</v>
      </c>
      <c r="TT3">
        <v>22</v>
      </c>
      <c r="TU3" s="2"/>
      <c r="TV3">
        <f t="shared" ref="TV3:TV14" si="148">TZ3 - TZ2</f>
        <v>13</v>
      </c>
      <c r="TW3" t="s">
        <v>82</v>
      </c>
      <c r="TY3">
        <v>11.264245748519899</v>
      </c>
      <c r="TZ3">
        <v>13</v>
      </c>
      <c r="UA3" s="3"/>
      <c r="UB3">
        <f t="shared" ref="UB3:UB14" si="149">UF3 - UF2</f>
        <v>32</v>
      </c>
      <c r="UC3" t="s">
        <v>83</v>
      </c>
      <c r="UE3">
        <v>6.8641400337219238</v>
      </c>
      <c r="UF3">
        <v>32</v>
      </c>
      <c r="UG3" s="2"/>
      <c r="UH3">
        <f t="shared" ref="UH3:UH17" si="150">UL3 - UL2</f>
        <v>22</v>
      </c>
      <c r="UI3" t="s">
        <v>84</v>
      </c>
      <c r="UK3">
        <v>11.65227651596069</v>
      </c>
      <c r="UL3">
        <v>22</v>
      </c>
      <c r="UM3" s="3"/>
      <c r="UN3">
        <f t="shared" ref="UN3:UN16" si="151">UR3 - UR2</f>
        <v>72</v>
      </c>
      <c r="UO3" t="s">
        <v>85</v>
      </c>
      <c r="UQ3">
        <v>19.981418371200562</v>
      </c>
      <c r="UR3">
        <v>72</v>
      </c>
      <c r="US3" s="2"/>
      <c r="UT3">
        <f t="shared" ref="UT3:UT19" si="152">UX3 - UX2</f>
        <v>0</v>
      </c>
      <c r="UW3">
        <v>12.71580076217651</v>
      </c>
      <c r="UX3">
        <v>0</v>
      </c>
      <c r="UY3" s="3"/>
      <c r="UZ3">
        <f t="shared" ref="UZ3:UZ18" si="153">VD3 - VD2</f>
        <v>28</v>
      </c>
      <c r="VA3" t="s">
        <v>86</v>
      </c>
      <c r="VC3">
        <v>3.272646427154541</v>
      </c>
      <c r="VD3">
        <v>28</v>
      </c>
      <c r="VE3" s="2"/>
      <c r="VF3">
        <f t="shared" ref="VF3:VF17" si="154">VJ3 - VJ2</f>
        <v>24</v>
      </c>
      <c r="VG3" t="s">
        <v>87</v>
      </c>
      <c r="VI3">
        <v>11.686227321624759</v>
      </c>
      <c r="VJ3">
        <v>24</v>
      </c>
      <c r="VK3" s="3"/>
      <c r="VL3">
        <f t="shared" ref="VL3:VL16" si="155">VP3 - VP2</f>
        <v>68</v>
      </c>
      <c r="VM3" t="s">
        <v>88</v>
      </c>
      <c r="VO3">
        <v>14.30173230171204</v>
      </c>
      <c r="VP3">
        <v>68</v>
      </c>
      <c r="VQ3" s="2"/>
      <c r="VR3">
        <f t="shared" ref="VR3:VR17" si="156">VV3 - VV2</f>
        <v>66</v>
      </c>
      <c r="VS3" t="s">
        <v>89</v>
      </c>
      <c r="VU3">
        <v>30.175148248672489</v>
      </c>
      <c r="VV3">
        <v>66</v>
      </c>
      <c r="VW3" s="3"/>
      <c r="VX3">
        <f t="shared" ref="VX3:VX16" si="157">WB3 - WB2</f>
        <v>53</v>
      </c>
      <c r="VY3" t="s">
        <v>90</v>
      </c>
      <c r="WA3">
        <v>9.8618881702423096</v>
      </c>
      <c r="WB3">
        <v>53</v>
      </c>
      <c r="WC3" s="2"/>
      <c r="WD3">
        <f t="shared" ref="WD3:WD17" si="158">WH3 - WH2</f>
        <v>0</v>
      </c>
      <c r="WG3">
        <v>13.58658719062805</v>
      </c>
      <c r="WH3">
        <v>0</v>
      </c>
      <c r="WI3" s="3"/>
      <c r="WJ3">
        <f t="shared" ref="WJ3:WJ16" si="159">WN3 - WN2</f>
        <v>68</v>
      </c>
      <c r="WK3" t="s">
        <v>91</v>
      </c>
      <c r="WM3">
        <v>5.0883677005767822</v>
      </c>
      <c r="WN3">
        <v>68</v>
      </c>
      <c r="WO3" s="2"/>
      <c r="WP3">
        <f t="shared" ref="WP3:WP17" si="160">WT3 - WT2</f>
        <v>18</v>
      </c>
      <c r="WQ3" t="s">
        <v>92</v>
      </c>
      <c r="WS3">
        <v>11.411929607391359</v>
      </c>
      <c r="WT3">
        <v>18</v>
      </c>
      <c r="WU3" s="3"/>
      <c r="WV3">
        <f t="shared" ref="WV3:WV17" si="161">WZ3 - WZ2</f>
        <v>106</v>
      </c>
      <c r="WW3" t="s">
        <v>93</v>
      </c>
      <c r="WY3">
        <v>387.85780954360962</v>
      </c>
      <c r="WZ3">
        <v>106</v>
      </c>
      <c r="XA3" s="2"/>
      <c r="XB3">
        <f t="shared" ref="XB3:XB19" si="162">XF3 - XF2</f>
        <v>10</v>
      </c>
      <c r="XC3" t="s">
        <v>24</v>
      </c>
      <c r="XE3">
        <v>11.57041120529175</v>
      </c>
      <c r="XF3">
        <v>10</v>
      </c>
      <c r="XG3" s="3"/>
      <c r="XH3">
        <f t="shared" ref="XH3:XH18" si="163">XL3 - XL2</f>
        <v>13</v>
      </c>
      <c r="XI3" t="s">
        <v>94</v>
      </c>
      <c r="XK3">
        <v>3.1443383693695068</v>
      </c>
      <c r="XL3">
        <v>13</v>
      </c>
      <c r="XM3" s="2"/>
      <c r="XN3">
        <f t="shared" ref="XN3:XN16" si="164">XR3 - XR2</f>
        <v>13</v>
      </c>
      <c r="XO3" t="s">
        <v>95</v>
      </c>
      <c r="XQ3">
        <v>10.42332482337952</v>
      </c>
      <c r="XR3">
        <v>13</v>
      </c>
      <c r="XS3" s="3"/>
      <c r="XT3">
        <f t="shared" ref="XT3:XT16" si="165">XX3 - XX2</f>
        <v>38</v>
      </c>
      <c r="XU3" t="s">
        <v>96</v>
      </c>
      <c r="XW3">
        <v>8.858034610748291</v>
      </c>
      <c r="XX3">
        <v>38</v>
      </c>
      <c r="XY3" s="2"/>
      <c r="XZ3">
        <f t="shared" ref="XZ3:XZ19" si="166">YD3 - YD2</f>
        <v>60</v>
      </c>
      <c r="YA3" t="s">
        <v>97</v>
      </c>
      <c r="YC3">
        <v>14.4227352142334</v>
      </c>
      <c r="YD3">
        <v>60</v>
      </c>
      <c r="YE3" s="3"/>
      <c r="YF3">
        <f t="shared" ref="YF3:YF18" si="167">YJ3 - YJ2</f>
        <v>42</v>
      </c>
      <c r="YG3" t="s">
        <v>98</v>
      </c>
      <c r="YI3">
        <v>9.3459198474884033</v>
      </c>
      <c r="YJ3">
        <v>42</v>
      </c>
      <c r="YK3" s="2"/>
      <c r="YL3">
        <f t="shared" ref="YL3:YL16" si="168">YP3 - YP2</f>
        <v>0</v>
      </c>
      <c r="YO3">
        <v>13.65075516700745</v>
      </c>
      <c r="YP3">
        <v>0</v>
      </c>
      <c r="YQ3" s="3"/>
      <c r="YR3">
        <f t="shared" ref="YR3:YR15" si="169">YV3 - YV2</f>
        <v>30</v>
      </c>
      <c r="YS3" t="s">
        <v>99</v>
      </c>
      <c r="YU3">
        <v>3.724682092666626</v>
      </c>
      <c r="YV3">
        <v>30</v>
      </c>
      <c r="YW3" s="2"/>
      <c r="YX3">
        <f t="shared" ref="YX3:YX17" si="170">ZB3 - ZB2</f>
        <v>0</v>
      </c>
      <c r="ZA3">
        <v>10.427843332290649</v>
      </c>
      <c r="ZB3">
        <v>0</v>
      </c>
      <c r="ZC3" s="3"/>
      <c r="ZD3">
        <f t="shared" ref="ZD3:ZD17" si="171">ZH3 - ZH2</f>
        <v>9</v>
      </c>
      <c r="ZE3" t="s">
        <v>100</v>
      </c>
      <c r="ZG3">
        <v>1.560737609863281</v>
      </c>
      <c r="ZH3">
        <v>9</v>
      </c>
      <c r="ZI3" s="2"/>
      <c r="ZJ3">
        <f t="shared" ref="ZJ3:ZJ18" si="172">ZN3 - ZN2</f>
        <v>0</v>
      </c>
      <c r="ZM3">
        <v>10.421129941940309</v>
      </c>
      <c r="ZN3">
        <v>0</v>
      </c>
      <c r="ZO3" s="3"/>
      <c r="ZP3">
        <f t="shared" ref="ZP3:ZP17" si="173">ZT3 - ZT2</f>
        <v>6</v>
      </c>
      <c r="ZQ3" t="s">
        <v>101</v>
      </c>
      <c r="ZS3">
        <v>1.180294513702393</v>
      </c>
      <c r="ZT3">
        <v>6</v>
      </c>
      <c r="ZU3" s="2"/>
      <c r="ZV3">
        <f t="shared" ref="ZV3:ZV19" si="174">ZZ3 - ZZ2</f>
        <v>0</v>
      </c>
      <c r="ZY3">
        <v>26.755267143249512</v>
      </c>
      <c r="ZZ3">
        <v>0</v>
      </c>
      <c r="AAA3" s="3"/>
      <c r="AAB3">
        <f t="shared" ref="AAB3:AAB18" si="175">AAF3 - AAF2</f>
        <v>28</v>
      </c>
      <c r="AAC3" t="s">
        <v>102</v>
      </c>
      <c r="AAE3">
        <v>5.8299808502197266</v>
      </c>
      <c r="AAF3">
        <v>28</v>
      </c>
      <c r="AAG3" s="2"/>
      <c r="AAH3">
        <f t="shared" ref="AAH3:AAH17" si="176">AAL3 - AAL2</f>
        <v>22</v>
      </c>
      <c r="AAI3" t="s">
        <v>103</v>
      </c>
      <c r="AAK3">
        <v>10.975874900817869</v>
      </c>
      <c r="AAL3">
        <v>22</v>
      </c>
      <c r="AAM3" s="3"/>
      <c r="AAN3">
        <f t="shared" ref="AAN3:AAN16" si="177">AAR3 - AAR2</f>
        <v>63</v>
      </c>
      <c r="AAO3" t="s">
        <v>104</v>
      </c>
      <c r="AAQ3">
        <v>16.661716461181641</v>
      </c>
      <c r="AAR3">
        <v>63</v>
      </c>
      <c r="AAS3" s="2"/>
      <c r="AAT3">
        <f t="shared" ref="AAT3:AAT15" si="178">AAX3 - AAX2</f>
        <v>0</v>
      </c>
      <c r="AAW3">
        <v>12.325919151306151</v>
      </c>
      <c r="AAX3">
        <v>0</v>
      </c>
      <c r="AAY3" s="3"/>
      <c r="AAZ3">
        <f t="shared" ref="AAZ3:AAZ15" si="179">ABD3 - ABD2</f>
        <v>32</v>
      </c>
      <c r="ABA3" t="s">
        <v>105</v>
      </c>
      <c r="ABC3">
        <v>3.736742496490479</v>
      </c>
      <c r="ABD3">
        <v>32</v>
      </c>
      <c r="ABE3" s="2"/>
      <c r="ABF3">
        <f t="shared" ref="ABF3:ABF20" si="180">ABJ3 - ABJ2</f>
        <v>9</v>
      </c>
      <c r="ABG3" t="s">
        <v>106</v>
      </c>
      <c r="ABI3">
        <v>1.7309656143188481</v>
      </c>
      <c r="ABJ3">
        <v>9</v>
      </c>
      <c r="ABK3" s="6"/>
      <c r="ABL3">
        <f t="shared" ref="ABL3:ABL20" si="181">ABP3 - ABP2</f>
        <v>28</v>
      </c>
      <c r="ABM3" t="s">
        <v>107</v>
      </c>
      <c r="ABO3">
        <v>13.36655759811401</v>
      </c>
      <c r="ABP3">
        <v>28</v>
      </c>
      <c r="ABQ3" s="2"/>
    </row>
    <row r="4" spans="1:745" x14ac:dyDescent="0.25">
      <c r="A4">
        <v>2</v>
      </c>
      <c r="B4">
        <f t="shared" si="58"/>
        <v>26</v>
      </c>
      <c r="C4" t="s">
        <v>108</v>
      </c>
      <c r="D4" t="s">
        <v>109</v>
      </c>
      <c r="E4">
        <v>7.8290402889251709</v>
      </c>
      <c r="F4">
        <v>54</v>
      </c>
      <c r="G4" s="1"/>
      <c r="H4">
        <f t="shared" si="59"/>
        <v>76</v>
      </c>
      <c r="I4" t="s">
        <v>110</v>
      </c>
      <c r="J4" t="s">
        <v>111</v>
      </c>
      <c r="K4">
        <v>162.42830586433411</v>
      </c>
      <c r="L4">
        <v>114</v>
      </c>
      <c r="M4" s="2"/>
      <c r="N4">
        <f t="shared" si="60"/>
        <v>30</v>
      </c>
      <c r="O4" t="s">
        <v>112</v>
      </c>
      <c r="P4" t="s">
        <v>113</v>
      </c>
      <c r="Q4">
        <v>11.63248872756958</v>
      </c>
      <c r="R4">
        <v>54</v>
      </c>
      <c r="S4" s="3"/>
      <c r="T4">
        <f t="shared" si="61"/>
        <v>92</v>
      </c>
      <c r="U4" t="s">
        <v>114</v>
      </c>
      <c r="V4" t="s">
        <v>115</v>
      </c>
      <c r="W4">
        <v>89.895091533660889</v>
      </c>
      <c r="X4">
        <v>112</v>
      </c>
      <c r="Y4" s="2"/>
      <c r="Z4">
        <f t="shared" si="62"/>
        <v>82</v>
      </c>
      <c r="AA4" t="s">
        <v>116</v>
      </c>
      <c r="AB4" t="s">
        <v>117</v>
      </c>
      <c r="AC4">
        <v>23.79109692573547</v>
      </c>
      <c r="AD4">
        <v>104</v>
      </c>
      <c r="AE4" s="3"/>
      <c r="AF4">
        <f t="shared" si="63"/>
        <v>10</v>
      </c>
      <c r="AG4" t="s">
        <v>118</v>
      </c>
      <c r="AH4" t="s">
        <v>119</v>
      </c>
      <c r="AI4">
        <v>35.966375350952148</v>
      </c>
      <c r="AJ4">
        <v>34</v>
      </c>
      <c r="AK4" s="2"/>
      <c r="AL4">
        <f t="shared" si="64"/>
        <v>26</v>
      </c>
      <c r="AM4" t="s">
        <v>120</v>
      </c>
      <c r="AN4" t="s">
        <v>121</v>
      </c>
      <c r="AO4">
        <v>5.2453250885009766</v>
      </c>
      <c r="AP4">
        <v>100</v>
      </c>
      <c r="AQ4" s="3"/>
      <c r="AR4">
        <f t="shared" si="65"/>
        <v>28</v>
      </c>
      <c r="AS4" t="s">
        <v>122</v>
      </c>
      <c r="AT4" t="s">
        <v>123</v>
      </c>
      <c r="AU4">
        <v>23.187836885452271</v>
      </c>
      <c r="AV4">
        <v>45</v>
      </c>
      <c r="AW4" s="2"/>
      <c r="AX4">
        <f t="shared" si="66"/>
        <v>36</v>
      </c>
      <c r="AY4" t="s">
        <v>124</v>
      </c>
      <c r="AZ4" t="s">
        <v>125</v>
      </c>
      <c r="BA4">
        <v>9.1424236297607422</v>
      </c>
      <c r="BB4">
        <v>56</v>
      </c>
      <c r="BC4" s="3"/>
      <c r="BD4">
        <f t="shared" si="67"/>
        <v>27</v>
      </c>
      <c r="BE4" t="s">
        <v>126</v>
      </c>
      <c r="BF4" t="s">
        <v>127</v>
      </c>
      <c r="BG4">
        <v>21.233905553817749</v>
      </c>
      <c r="BH4">
        <v>51</v>
      </c>
      <c r="BI4" s="2"/>
      <c r="BJ4">
        <f t="shared" si="68"/>
        <v>42</v>
      </c>
      <c r="BK4" t="s">
        <v>128</v>
      </c>
      <c r="BL4" t="s">
        <v>129</v>
      </c>
      <c r="BM4">
        <v>6.9579448699951172</v>
      </c>
      <c r="BN4">
        <v>110</v>
      </c>
      <c r="BO4" s="3"/>
      <c r="BP4">
        <f t="shared" si="69"/>
        <v>130</v>
      </c>
      <c r="BQ4" t="s">
        <v>130</v>
      </c>
      <c r="BR4" t="s">
        <v>131</v>
      </c>
      <c r="BS4">
        <v>40.675698041915886</v>
      </c>
      <c r="BT4">
        <v>165</v>
      </c>
      <c r="BU4" s="2"/>
      <c r="BV4">
        <f t="shared" si="70"/>
        <v>26</v>
      </c>
      <c r="BW4" t="s">
        <v>132</v>
      </c>
      <c r="BX4" t="s">
        <v>133</v>
      </c>
      <c r="BY4">
        <v>10.223129749298099</v>
      </c>
      <c r="BZ4">
        <v>36</v>
      </c>
      <c r="CA4" s="3"/>
      <c r="CB4">
        <f t="shared" si="71"/>
        <v>56</v>
      </c>
      <c r="CC4" t="s">
        <v>134</v>
      </c>
      <c r="CD4" t="s">
        <v>135</v>
      </c>
      <c r="CE4">
        <v>14.04516291618347</v>
      </c>
      <c r="CF4">
        <v>86</v>
      </c>
      <c r="CG4" s="2"/>
      <c r="CH4">
        <f t="shared" si="72"/>
        <v>26</v>
      </c>
      <c r="CI4" t="s">
        <v>136</v>
      </c>
      <c r="CJ4" t="s">
        <v>137</v>
      </c>
      <c r="CK4">
        <v>7.5370919704437256</v>
      </c>
      <c r="CL4">
        <v>54</v>
      </c>
      <c r="CM4" s="3"/>
      <c r="CN4">
        <f t="shared" si="73"/>
        <v>6</v>
      </c>
      <c r="CO4" t="s">
        <v>138</v>
      </c>
      <c r="CP4" t="s">
        <v>139</v>
      </c>
      <c r="CQ4">
        <v>26.126247644424438</v>
      </c>
      <c r="CR4">
        <v>6</v>
      </c>
      <c r="CS4" s="2"/>
      <c r="CT4">
        <f t="shared" si="74"/>
        <v>29</v>
      </c>
      <c r="CU4" t="s">
        <v>140</v>
      </c>
      <c r="CV4" t="s">
        <v>141</v>
      </c>
      <c r="CW4">
        <v>4.3157005310058594</v>
      </c>
      <c r="CX4">
        <v>47</v>
      </c>
      <c r="CY4" s="3"/>
      <c r="CZ4">
        <f t="shared" si="75"/>
        <v>39</v>
      </c>
      <c r="DA4" t="s">
        <v>142</v>
      </c>
      <c r="DB4" t="s">
        <v>143</v>
      </c>
      <c r="DC4">
        <v>10.98046040534973</v>
      </c>
      <c r="DD4">
        <v>87</v>
      </c>
      <c r="DE4" s="2"/>
      <c r="DF4">
        <f t="shared" si="76"/>
        <v>44</v>
      </c>
      <c r="DG4" t="s">
        <v>144</v>
      </c>
      <c r="DH4" t="s">
        <v>145</v>
      </c>
      <c r="DI4">
        <v>6.452681303024292</v>
      </c>
      <c r="DJ4">
        <v>106</v>
      </c>
      <c r="DK4" s="3"/>
      <c r="DL4">
        <f t="shared" si="77"/>
        <v>24</v>
      </c>
      <c r="DM4" t="s">
        <v>146</v>
      </c>
      <c r="DN4" t="s">
        <v>147</v>
      </c>
      <c r="DO4">
        <v>18.272665977478031</v>
      </c>
      <c r="DP4">
        <v>66</v>
      </c>
      <c r="DQ4" s="2"/>
      <c r="DR4">
        <f t="shared" si="78"/>
        <v>84</v>
      </c>
      <c r="DS4" t="s">
        <v>148</v>
      </c>
      <c r="DT4" t="s">
        <v>149</v>
      </c>
      <c r="DU4">
        <v>29.98961520195007</v>
      </c>
      <c r="DV4">
        <v>110</v>
      </c>
      <c r="DW4" s="3"/>
      <c r="DX4">
        <f t="shared" si="79"/>
        <v>25</v>
      </c>
      <c r="DY4" t="s">
        <v>150</v>
      </c>
      <c r="DZ4" t="s">
        <v>151</v>
      </c>
      <c r="EA4">
        <v>38.579626798629761</v>
      </c>
      <c r="EB4">
        <v>59</v>
      </c>
      <c r="EC4" s="2"/>
      <c r="ED4">
        <f t="shared" si="80"/>
        <v>30</v>
      </c>
      <c r="EE4" t="s">
        <v>152</v>
      </c>
      <c r="EF4" t="s">
        <v>153</v>
      </c>
      <c r="EG4">
        <v>22.844303846359249</v>
      </c>
      <c r="EH4">
        <v>56</v>
      </c>
      <c r="EI4" s="3"/>
      <c r="EJ4">
        <f t="shared" si="81"/>
        <v>0</v>
      </c>
      <c r="EL4" t="s">
        <v>154</v>
      </c>
      <c r="EM4">
        <v>102.1315922737122</v>
      </c>
      <c r="EN4">
        <v>33</v>
      </c>
      <c r="EO4" s="2"/>
      <c r="EP4">
        <f t="shared" si="82"/>
        <v>61</v>
      </c>
      <c r="EQ4" t="s">
        <v>155</v>
      </c>
      <c r="ER4" t="s">
        <v>156</v>
      </c>
      <c r="ES4">
        <v>22.84882020950317</v>
      </c>
      <c r="ET4">
        <v>117</v>
      </c>
      <c r="EU4" s="3"/>
      <c r="EV4">
        <f t="shared" si="83"/>
        <v>72</v>
      </c>
      <c r="EW4" t="s">
        <v>157</v>
      </c>
      <c r="EX4" t="s">
        <v>158</v>
      </c>
      <c r="EY4">
        <v>23.172544479370121</v>
      </c>
      <c r="EZ4">
        <v>100</v>
      </c>
      <c r="FA4" s="2"/>
      <c r="FB4">
        <f t="shared" si="84"/>
        <v>40</v>
      </c>
      <c r="FC4" t="s">
        <v>159</v>
      </c>
      <c r="FD4" t="s">
        <v>160</v>
      </c>
      <c r="FE4">
        <v>3.904330968856812</v>
      </c>
      <c r="FF4">
        <v>50</v>
      </c>
      <c r="FG4" s="3"/>
      <c r="FH4">
        <f t="shared" si="85"/>
        <v>24</v>
      </c>
      <c r="FI4" t="s">
        <v>161</v>
      </c>
      <c r="FJ4" t="s">
        <v>162</v>
      </c>
      <c r="FK4">
        <v>15.14927649497986</v>
      </c>
      <c r="FL4">
        <v>50</v>
      </c>
      <c r="FM4" s="2"/>
      <c r="FN4">
        <f t="shared" si="86"/>
        <v>32</v>
      </c>
      <c r="FO4" t="s">
        <v>163</v>
      </c>
      <c r="FP4" t="s">
        <v>164</v>
      </c>
      <c r="FQ4">
        <v>5.8553555011749268</v>
      </c>
      <c r="FR4">
        <v>45</v>
      </c>
      <c r="FS4" s="3"/>
      <c r="FT4">
        <f t="shared" si="87"/>
        <v>6</v>
      </c>
      <c r="FU4" t="s">
        <v>165</v>
      </c>
      <c r="FV4" t="s">
        <v>166</v>
      </c>
      <c r="FW4">
        <v>13.20679068565369</v>
      </c>
      <c r="FX4">
        <v>23</v>
      </c>
      <c r="FY4" s="2"/>
      <c r="FZ4">
        <f t="shared" si="88"/>
        <v>36</v>
      </c>
      <c r="GA4" t="s">
        <v>167</v>
      </c>
      <c r="GB4" t="s">
        <v>168</v>
      </c>
      <c r="GC4">
        <v>6.0395321846008301</v>
      </c>
      <c r="GD4">
        <v>48</v>
      </c>
      <c r="GE4" s="3"/>
      <c r="GF4">
        <f t="shared" si="89"/>
        <v>61</v>
      </c>
      <c r="GG4" t="s">
        <v>169</v>
      </c>
      <c r="GH4" t="s">
        <v>170</v>
      </c>
      <c r="GI4">
        <v>26.480555057525631</v>
      </c>
      <c r="GJ4">
        <v>101</v>
      </c>
      <c r="GK4" s="2"/>
      <c r="GL4">
        <f t="shared" si="90"/>
        <v>38</v>
      </c>
      <c r="GM4" t="s">
        <v>171</v>
      </c>
      <c r="GN4" t="s">
        <v>172</v>
      </c>
      <c r="GO4">
        <v>8.2158331871032715</v>
      </c>
      <c r="GP4">
        <v>64</v>
      </c>
      <c r="GQ4" s="3"/>
      <c r="GR4">
        <f t="shared" si="91"/>
        <v>34</v>
      </c>
      <c r="GS4" t="s">
        <v>173</v>
      </c>
      <c r="GT4" t="s">
        <v>174</v>
      </c>
      <c r="GU4">
        <v>12.24826097488403</v>
      </c>
      <c r="GV4">
        <v>64</v>
      </c>
      <c r="GW4" s="2"/>
      <c r="GX4">
        <f t="shared" si="92"/>
        <v>13</v>
      </c>
      <c r="GY4" t="s">
        <v>95</v>
      </c>
      <c r="GZ4" t="s">
        <v>175</v>
      </c>
      <c r="HA4">
        <v>2.3870918750762939</v>
      </c>
      <c r="HB4">
        <v>37</v>
      </c>
      <c r="HC4" s="3"/>
      <c r="HD4">
        <f t="shared" si="93"/>
        <v>22</v>
      </c>
      <c r="HE4" t="s">
        <v>176</v>
      </c>
      <c r="HF4" t="s">
        <v>177</v>
      </c>
      <c r="HG4">
        <v>16.088226318359379</v>
      </c>
      <c r="HH4">
        <v>66</v>
      </c>
      <c r="HI4" s="2"/>
      <c r="HJ4">
        <f t="shared" si="94"/>
        <v>24</v>
      </c>
      <c r="HK4" t="s">
        <v>178</v>
      </c>
      <c r="HL4" t="s">
        <v>179</v>
      </c>
      <c r="HM4">
        <v>4.232978343963623</v>
      </c>
      <c r="HN4">
        <v>36</v>
      </c>
      <c r="HO4" s="3"/>
      <c r="HP4">
        <f t="shared" si="95"/>
        <v>82</v>
      </c>
      <c r="HQ4" t="s">
        <v>180</v>
      </c>
      <c r="HR4" t="s">
        <v>181</v>
      </c>
      <c r="HS4">
        <v>33.808213949203491</v>
      </c>
      <c r="HT4">
        <v>82</v>
      </c>
      <c r="HU4" s="2"/>
      <c r="HV4">
        <f t="shared" si="96"/>
        <v>20</v>
      </c>
      <c r="HW4" t="s">
        <v>182</v>
      </c>
      <c r="HX4" t="s">
        <v>183</v>
      </c>
      <c r="HY4">
        <v>3.6153335571289058</v>
      </c>
      <c r="HZ4">
        <v>31</v>
      </c>
      <c r="IA4" s="3"/>
      <c r="IB4">
        <f t="shared" si="97"/>
        <v>13</v>
      </c>
      <c r="IC4" t="s">
        <v>184</v>
      </c>
      <c r="ID4" t="s">
        <v>185</v>
      </c>
      <c r="IE4">
        <v>16.59788799285889</v>
      </c>
      <c r="IF4">
        <v>35</v>
      </c>
      <c r="IG4" s="2"/>
      <c r="IH4">
        <f t="shared" si="98"/>
        <v>36</v>
      </c>
      <c r="II4" t="s">
        <v>186</v>
      </c>
      <c r="IJ4" t="s">
        <v>187</v>
      </c>
      <c r="IK4">
        <v>4.2385520935058594</v>
      </c>
      <c r="IL4">
        <v>46</v>
      </c>
      <c r="IM4" s="3"/>
      <c r="IN4">
        <f t="shared" si="99"/>
        <v>51</v>
      </c>
      <c r="IO4" t="s">
        <v>188</v>
      </c>
      <c r="IP4" t="s">
        <v>189</v>
      </c>
      <c r="IQ4">
        <v>16.324261426925659</v>
      </c>
      <c r="IR4">
        <v>70</v>
      </c>
      <c r="IS4" s="2"/>
      <c r="IT4">
        <f t="shared" si="100"/>
        <v>27</v>
      </c>
      <c r="IU4" t="s">
        <v>190</v>
      </c>
      <c r="IV4" t="s">
        <v>191</v>
      </c>
      <c r="IW4">
        <v>8.6101181507110596</v>
      </c>
      <c r="IX4">
        <v>45</v>
      </c>
      <c r="IY4" s="3"/>
      <c r="IZ4">
        <f t="shared" si="101"/>
        <v>21</v>
      </c>
      <c r="JA4" t="s">
        <v>126</v>
      </c>
      <c r="JB4" t="s">
        <v>192</v>
      </c>
      <c r="JC4">
        <v>13.17052054405212</v>
      </c>
      <c r="JD4">
        <v>46</v>
      </c>
      <c r="JE4" s="2"/>
      <c r="JF4">
        <f t="shared" si="102"/>
        <v>34</v>
      </c>
      <c r="JG4" t="s">
        <v>193</v>
      </c>
      <c r="JH4" t="s">
        <v>194</v>
      </c>
      <c r="JI4">
        <v>18.76145958900452</v>
      </c>
      <c r="JJ4">
        <v>66</v>
      </c>
      <c r="JK4" s="3"/>
      <c r="JL4">
        <f t="shared" si="103"/>
        <v>43</v>
      </c>
      <c r="JM4" t="s">
        <v>195</v>
      </c>
      <c r="JN4" t="s">
        <v>196</v>
      </c>
      <c r="JO4">
        <v>33.716301441192627</v>
      </c>
      <c r="JP4">
        <v>79</v>
      </c>
      <c r="JQ4" s="2"/>
      <c r="JR4">
        <f t="shared" si="104"/>
        <v>40</v>
      </c>
      <c r="JS4" t="s">
        <v>197</v>
      </c>
      <c r="JT4" t="s">
        <v>198</v>
      </c>
      <c r="JU4">
        <v>13.06607985496521</v>
      </c>
      <c r="JV4">
        <v>96</v>
      </c>
      <c r="JW4" s="3"/>
      <c r="JX4">
        <f t="shared" si="105"/>
        <v>27</v>
      </c>
      <c r="JY4" t="s">
        <v>199</v>
      </c>
      <c r="JZ4" t="s">
        <v>200</v>
      </c>
      <c r="KA4">
        <v>15.70003390312195</v>
      </c>
      <c r="KB4">
        <v>71</v>
      </c>
      <c r="KC4" s="2"/>
      <c r="KD4">
        <f t="shared" si="106"/>
        <v>124</v>
      </c>
      <c r="KE4" t="s">
        <v>201</v>
      </c>
      <c r="KF4" t="s">
        <v>202</v>
      </c>
      <c r="KG4">
        <v>15.83146333694458</v>
      </c>
      <c r="KH4">
        <v>152</v>
      </c>
      <c r="KI4" s="3"/>
      <c r="KJ4">
        <f t="shared" si="107"/>
        <v>54</v>
      </c>
      <c r="KK4" t="s">
        <v>203</v>
      </c>
      <c r="KL4" t="s">
        <v>204</v>
      </c>
      <c r="KM4">
        <v>36.934715986251831</v>
      </c>
      <c r="KN4">
        <v>136</v>
      </c>
      <c r="KO4" s="2"/>
      <c r="KP4">
        <f t="shared" si="108"/>
        <v>14</v>
      </c>
      <c r="KQ4" t="s">
        <v>205</v>
      </c>
      <c r="KR4" t="s">
        <v>206</v>
      </c>
      <c r="KS4">
        <v>1.5184063911437991</v>
      </c>
      <c r="KT4">
        <v>22</v>
      </c>
      <c r="KU4" s="3"/>
      <c r="KV4">
        <f t="shared" si="109"/>
        <v>35</v>
      </c>
      <c r="KW4" t="s">
        <v>207</v>
      </c>
      <c r="KX4" t="s">
        <v>208</v>
      </c>
      <c r="KY4">
        <v>11.579731941223139</v>
      </c>
      <c r="KZ4">
        <v>59</v>
      </c>
      <c r="LA4" s="2"/>
      <c r="LB4">
        <f t="shared" si="110"/>
        <v>39</v>
      </c>
      <c r="LC4" t="s">
        <v>209</v>
      </c>
      <c r="LD4" t="s">
        <v>210</v>
      </c>
      <c r="LE4">
        <v>17.723353862762451</v>
      </c>
      <c r="LF4">
        <v>57</v>
      </c>
      <c r="LG4" s="3"/>
      <c r="LH4">
        <f t="shared" si="111"/>
        <v>23</v>
      </c>
      <c r="LI4" t="s">
        <v>211</v>
      </c>
      <c r="LJ4" t="s">
        <v>212</v>
      </c>
      <c r="LK4">
        <v>13.62559080123901</v>
      </c>
      <c r="LL4">
        <v>93</v>
      </c>
      <c r="LM4" s="2"/>
      <c r="LN4">
        <f t="shared" si="112"/>
        <v>108</v>
      </c>
      <c r="LO4" t="s">
        <v>213</v>
      </c>
      <c r="LP4" t="s">
        <v>214</v>
      </c>
      <c r="LQ4">
        <v>19.119399309158329</v>
      </c>
      <c r="LR4">
        <v>128</v>
      </c>
      <c r="LS4" s="3"/>
      <c r="LT4">
        <f t="shared" si="113"/>
        <v>28</v>
      </c>
      <c r="LU4" t="s">
        <v>36</v>
      </c>
      <c r="LV4" t="s">
        <v>215</v>
      </c>
      <c r="LW4">
        <v>29.646634101867679</v>
      </c>
      <c r="LX4">
        <v>62</v>
      </c>
      <c r="LY4" s="2"/>
      <c r="LZ4">
        <f t="shared" si="114"/>
        <v>46</v>
      </c>
      <c r="MA4" t="s">
        <v>216</v>
      </c>
      <c r="MB4" t="s">
        <v>217</v>
      </c>
      <c r="MC4">
        <v>5.6445066928863534</v>
      </c>
      <c r="MD4">
        <v>74</v>
      </c>
      <c r="ME4" s="3"/>
      <c r="MF4">
        <f t="shared" si="115"/>
        <v>18</v>
      </c>
      <c r="MG4" t="s">
        <v>218</v>
      </c>
      <c r="MH4" t="s">
        <v>219</v>
      </c>
      <c r="MI4">
        <v>13.86136031150818</v>
      </c>
      <c r="MJ4">
        <v>104</v>
      </c>
      <c r="MK4" s="2"/>
      <c r="ML4">
        <f t="shared" si="116"/>
        <v>21</v>
      </c>
      <c r="MM4" t="s">
        <v>220</v>
      </c>
      <c r="MN4" t="s">
        <v>221</v>
      </c>
      <c r="MO4">
        <v>4.7571074962615967</v>
      </c>
      <c r="MP4">
        <v>47</v>
      </c>
      <c r="MQ4" s="3"/>
      <c r="MR4">
        <f t="shared" si="117"/>
        <v>30</v>
      </c>
      <c r="MS4" t="s">
        <v>222</v>
      </c>
      <c r="MT4" t="s">
        <v>223</v>
      </c>
      <c r="MU4">
        <v>14.31347703933716</v>
      </c>
      <c r="MV4">
        <v>51</v>
      </c>
      <c r="MW4" s="2"/>
      <c r="MX4">
        <f t="shared" si="118"/>
        <v>70</v>
      </c>
      <c r="MY4" t="s">
        <v>224</v>
      </c>
      <c r="MZ4" t="s">
        <v>225</v>
      </c>
      <c r="NA4">
        <v>25.655296802520748</v>
      </c>
      <c r="NB4">
        <v>70</v>
      </c>
      <c r="NC4" s="3"/>
      <c r="ND4">
        <f t="shared" si="119"/>
        <v>26</v>
      </c>
      <c r="NE4" t="s">
        <v>226</v>
      </c>
      <c r="NF4" t="s">
        <v>227</v>
      </c>
      <c r="NG4">
        <v>5.6790773868560791</v>
      </c>
      <c r="NH4">
        <v>37</v>
      </c>
      <c r="NI4" s="2"/>
      <c r="NJ4">
        <f t="shared" si="120"/>
        <v>92</v>
      </c>
      <c r="NK4" t="s">
        <v>228</v>
      </c>
      <c r="NL4" t="s">
        <v>229</v>
      </c>
      <c r="NM4">
        <v>299.08161377906799</v>
      </c>
      <c r="NN4">
        <v>92</v>
      </c>
      <c r="NO4" s="3"/>
      <c r="NP4">
        <f t="shared" si="121"/>
        <v>28</v>
      </c>
      <c r="NQ4" t="s">
        <v>230</v>
      </c>
      <c r="NR4" t="s">
        <v>231</v>
      </c>
      <c r="NS4">
        <v>3.1411435604095459</v>
      </c>
      <c r="NT4">
        <v>46</v>
      </c>
      <c r="NU4" s="2"/>
      <c r="NV4">
        <f t="shared" si="122"/>
        <v>22</v>
      </c>
      <c r="NW4" t="s">
        <v>232</v>
      </c>
      <c r="NX4" t="s">
        <v>233</v>
      </c>
      <c r="NY4">
        <v>11.50933742523193</v>
      </c>
      <c r="NZ4">
        <v>22</v>
      </c>
      <c r="OA4" s="3"/>
      <c r="OB4">
        <f t="shared" si="123"/>
        <v>20</v>
      </c>
      <c r="OC4" t="s">
        <v>234</v>
      </c>
      <c r="OD4" t="s">
        <v>235</v>
      </c>
      <c r="OE4">
        <v>3.5970745086669922</v>
      </c>
      <c r="OF4">
        <v>34</v>
      </c>
      <c r="OG4" s="2"/>
      <c r="OH4">
        <f t="shared" si="124"/>
        <v>21</v>
      </c>
      <c r="OI4" t="s">
        <v>81</v>
      </c>
      <c r="OJ4" t="s">
        <v>236</v>
      </c>
      <c r="OK4">
        <v>10.488145589828489</v>
      </c>
      <c r="OL4">
        <v>91</v>
      </c>
      <c r="OM4" s="3"/>
      <c r="ON4">
        <f t="shared" si="125"/>
        <v>32</v>
      </c>
      <c r="OO4" t="s">
        <v>237</v>
      </c>
      <c r="OP4" t="s">
        <v>238</v>
      </c>
      <c r="OQ4">
        <v>3.9332747459411621</v>
      </c>
      <c r="OR4">
        <v>66</v>
      </c>
      <c r="OS4" s="2"/>
      <c r="OT4">
        <f t="shared" si="126"/>
        <v>11</v>
      </c>
      <c r="OU4" t="s">
        <v>239</v>
      </c>
      <c r="OV4" t="s">
        <v>240</v>
      </c>
      <c r="OW4">
        <v>56.967671871185303</v>
      </c>
      <c r="OX4">
        <v>21</v>
      </c>
      <c r="OY4" s="3"/>
      <c r="OZ4">
        <f t="shared" si="127"/>
        <v>21</v>
      </c>
      <c r="PA4" t="s">
        <v>241</v>
      </c>
      <c r="PB4" t="s">
        <v>242</v>
      </c>
      <c r="PC4">
        <v>5.7000026702880859</v>
      </c>
      <c r="PD4">
        <v>53</v>
      </c>
      <c r="PE4" s="2"/>
      <c r="PF4">
        <f t="shared" si="128"/>
        <v>76</v>
      </c>
      <c r="PG4" t="s">
        <v>243</v>
      </c>
      <c r="PH4" t="s">
        <v>244</v>
      </c>
      <c r="PI4">
        <v>97.540253877639771</v>
      </c>
      <c r="PJ4">
        <v>76</v>
      </c>
      <c r="PK4" s="3"/>
      <c r="PL4">
        <f t="shared" si="129"/>
        <v>46</v>
      </c>
      <c r="PM4" t="s">
        <v>245</v>
      </c>
      <c r="PN4" t="s">
        <v>246</v>
      </c>
      <c r="PO4">
        <v>7.4210164546966553</v>
      </c>
      <c r="PP4">
        <v>60</v>
      </c>
      <c r="PQ4" s="2"/>
      <c r="PR4">
        <f t="shared" si="130"/>
        <v>67</v>
      </c>
      <c r="PS4" t="s">
        <v>247</v>
      </c>
      <c r="PT4" t="s">
        <v>248</v>
      </c>
      <c r="PU4">
        <v>25.64076209068298</v>
      </c>
      <c r="PV4">
        <v>67</v>
      </c>
      <c r="PW4" s="3"/>
      <c r="PX4">
        <f t="shared" si="131"/>
        <v>66</v>
      </c>
      <c r="PY4" t="s">
        <v>249</v>
      </c>
      <c r="PZ4" t="s">
        <v>250</v>
      </c>
      <c r="QA4">
        <v>8.6009082794189453</v>
      </c>
      <c r="QB4">
        <v>96</v>
      </c>
      <c r="QC4" s="2"/>
      <c r="QD4">
        <f t="shared" si="132"/>
        <v>71</v>
      </c>
      <c r="QE4" t="s">
        <v>251</v>
      </c>
      <c r="QF4" t="s">
        <v>252</v>
      </c>
      <c r="QG4">
        <v>19.668754816055301</v>
      </c>
      <c r="QH4">
        <v>73</v>
      </c>
      <c r="QI4" s="3"/>
      <c r="QJ4">
        <f t="shared" si="133"/>
        <v>47</v>
      </c>
      <c r="QK4" t="s">
        <v>253</v>
      </c>
      <c r="QL4" t="s">
        <v>254</v>
      </c>
      <c r="QM4">
        <v>8.6287899017333984</v>
      </c>
      <c r="QN4">
        <v>63</v>
      </c>
      <c r="QO4" s="4"/>
      <c r="QP4">
        <f t="shared" si="134"/>
        <v>34</v>
      </c>
      <c r="QQ4" t="s">
        <v>255</v>
      </c>
      <c r="QR4" t="s">
        <v>256</v>
      </c>
      <c r="QS4">
        <v>19.030532121658329</v>
      </c>
      <c r="QT4">
        <v>66</v>
      </c>
      <c r="QU4" s="3"/>
      <c r="QV4">
        <f t="shared" si="135"/>
        <v>77</v>
      </c>
      <c r="QW4" t="s">
        <v>257</v>
      </c>
      <c r="QX4" t="s">
        <v>258</v>
      </c>
      <c r="QY4">
        <v>28.262078285217289</v>
      </c>
      <c r="QZ4">
        <v>111</v>
      </c>
      <c r="RA4" s="2"/>
      <c r="RB4">
        <f t="shared" si="136"/>
        <v>33</v>
      </c>
      <c r="RC4" t="s">
        <v>259</v>
      </c>
      <c r="RD4" t="s">
        <v>260</v>
      </c>
      <c r="RE4">
        <v>12.799310445785521</v>
      </c>
      <c r="RF4">
        <v>44</v>
      </c>
      <c r="RG4" s="3"/>
      <c r="RH4">
        <f t="shared" si="137"/>
        <v>15</v>
      </c>
      <c r="RI4" t="s">
        <v>261</v>
      </c>
      <c r="RJ4" t="s">
        <v>262</v>
      </c>
      <c r="RK4">
        <v>3.2778007984161381</v>
      </c>
      <c r="RL4">
        <v>57</v>
      </c>
      <c r="RM4" s="2"/>
      <c r="RN4">
        <f t="shared" si="138"/>
        <v>26</v>
      </c>
      <c r="RO4" t="s">
        <v>263</v>
      </c>
      <c r="RP4" t="s">
        <v>264</v>
      </c>
      <c r="RQ4">
        <v>14.1925642490387</v>
      </c>
      <c r="RR4">
        <v>46</v>
      </c>
      <c r="RS4" s="3"/>
      <c r="RT4">
        <f t="shared" si="139"/>
        <v>46</v>
      </c>
      <c r="RU4" t="s">
        <v>265</v>
      </c>
      <c r="RV4" t="s">
        <v>266</v>
      </c>
      <c r="RW4">
        <v>11.398993968963619</v>
      </c>
      <c r="RX4">
        <v>86</v>
      </c>
      <c r="RY4" s="2"/>
      <c r="RZ4">
        <f t="shared" si="140"/>
        <v>16</v>
      </c>
      <c r="SA4" t="s">
        <v>267</v>
      </c>
      <c r="SB4" t="s">
        <v>268</v>
      </c>
      <c r="SC4">
        <v>20.200242757797241</v>
      </c>
      <c r="SD4">
        <v>20</v>
      </c>
      <c r="SE4" s="3"/>
      <c r="SF4">
        <f t="shared" si="141"/>
        <v>32</v>
      </c>
      <c r="SG4" t="s">
        <v>269</v>
      </c>
      <c r="SH4" t="s">
        <v>270</v>
      </c>
      <c r="SI4">
        <v>7.4548885822296143</v>
      </c>
      <c r="SJ4">
        <v>44</v>
      </c>
      <c r="SK4" s="2"/>
      <c r="SL4">
        <f t="shared" si="142"/>
        <v>64</v>
      </c>
      <c r="SM4" t="s">
        <v>271</v>
      </c>
      <c r="SN4" t="s">
        <v>272</v>
      </c>
      <c r="SO4">
        <v>17.906355857849121</v>
      </c>
      <c r="SP4">
        <v>86</v>
      </c>
      <c r="SQ4" s="3"/>
      <c r="SR4">
        <f t="shared" si="143"/>
        <v>42</v>
      </c>
      <c r="SS4" t="s">
        <v>273</v>
      </c>
      <c r="ST4" t="s">
        <v>274</v>
      </c>
      <c r="SU4">
        <v>14.750894546508791</v>
      </c>
      <c r="SV4">
        <v>68</v>
      </c>
      <c r="SW4" s="2"/>
      <c r="SX4">
        <f t="shared" si="144"/>
        <v>64</v>
      </c>
      <c r="SY4" t="s">
        <v>275</v>
      </c>
      <c r="SZ4" t="s">
        <v>276</v>
      </c>
      <c r="TA4">
        <v>19.078060150146481</v>
      </c>
      <c r="TB4">
        <v>64</v>
      </c>
      <c r="TC4" s="3"/>
      <c r="TD4">
        <f t="shared" si="145"/>
        <v>29</v>
      </c>
      <c r="TE4" t="s">
        <v>277</v>
      </c>
      <c r="TF4" t="s">
        <v>278</v>
      </c>
      <c r="TG4">
        <v>3.5114469528198242</v>
      </c>
      <c r="TH4">
        <v>36</v>
      </c>
      <c r="TI4" s="2"/>
      <c r="TJ4">
        <f t="shared" si="146"/>
        <v>64</v>
      </c>
      <c r="TK4" t="s">
        <v>279</v>
      </c>
      <c r="TL4" t="s">
        <v>280</v>
      </c>
      <c r="TM4">
        <v>55.702252149581909</v>
      </c>
      <c r="TN4">
        <v>64</v>
      </c>
      <c r="TO4" s="3"/>
      <c r="TP4">
        <f t="shared" si="147"/>
        <v>44</v>
      </c>
      <c r="TQ4" t="s">
        <v>281</v>
      </c>
      <c r="TR4" t="s">
        <v>282</v>
      </c>
      <c r="TS4">
        <v>15.668116092681879</v>
      </c>
      <c r="TT4">
        <v>66</v>
      </c>
      <c r="TU4" s="2"/>
      <c r="TV4">
        <f t="shared" si="148"/>
        <v>30</v>
      </c>
      <c r="TW4" t="s">
        <v>283</v>
      </c>
      <c r="TX4" t="s">
        <v>284</v>
      </c>
      <c r="TY4">
        <v>10.92001104354858</v>
      </c>
      <c r="TZ4">
        <v>43</v>
      </c>
      <c r="UA4" s="3"/>
      <c r="UB4">
        <f t="shared" si="149"/>
        <v>34</v>
      </c>
      <c r="UC4" t="s">
        <v>285</v>
      </c>
      <c r="UD4" t="s">
        <v>286</v>
      </c>
      <c r="UE4">
        <v>4.4007637500762939</v>
      </c>
      <c r="UF4">
        <v>66</v>
      </c>
      <c r="UG4" s="2"/>
      <c r="UH4">
        <f t="shared" si="150"/>
        <v>24</v>
      </c>
      <c r="UI4" t="s">
        <v>287</v>
      </c>
      <c r="UJ4" t="s">
        <v>288</v>
      </c>
      <c r="UK4">
        <v>15.71253681182861</v>
      </c>
      <c r="UL4">
        <v>46</v>
      </c>
      <c r="UM4" s="3"/>
      <c r="UN4">
        <f t="shared" si="151"/>
        <v>32</v>
      </c>
      <c r="UO4" t="s">
        <v>289</v>
      </c>
      <c r="UP4" t="s">
        <v>290</v>
      </c>
      <c r="UQ4">
        <v>7.4440288543701172</v>
      </c>
      <c r="UR4">
        <v>104</v>
      </c>
      <c r="US4" s="2"/>
      <c r="UT4">
        <f t="shared" si="152"/>
        <v>0</v>
      </c>
      <c r="UV4" t="s">
        <v>291</v>
      </c>
      <c r="UW4">
        <v>16.172802448272709</v>
      </c>
      <c r="UX4">
        <v>0</v>
      </c>
      <c r="UY4" s="3"/>
      <c r="UZ4">
        <f t="shared" si="153"/>
        <v>20</v>
      </c>
      <c r="VA4" t="s">
        <v>292</v>
      </c>
      <c r="VB4" t="s">
        <v>293</v>
      </c>
      <c r="VC4">
        <v>12.768435001373289</v>
      </c>
      <c r="VD4">
        <v>48</v>
      </c>
      <c r="VE4" s="2"/>
      <c r="VF4">
        <f t="shared" si="154"/>
        <v>72</v>
      </c>
      <c r="VG4" t="s">
        <v>294</v>
      </c>
      <c r="VH4" t="s">
        <v>295</v>
      </c>
      <c r="VI4">
        <v>32.863164186477661</v>
      </c>
      <c r="VJ4">
        <v>96</v>
      </c>
      <c r="VK4" s="3"/>
      <c r="VL4">
        <f t="shared" si="155"/>
        <v>63</v>
      </c>
      <c r="VM4" t="s">
        <v>296</v>
      </c>
      <c r="VN4" t="s">
        <v>297</v>
      </c>
      <c r="VO4">
        <v>204.1712851524353</v>
      </c>
      <c r="VP4">
        <v>131</v>
      </c>
      <c r="VQ4" s="2"/>
      <c r="VR4">
        <f t="shared" si="156"/>
        <v>24</v>
      </c>
      <c r="VS4" t="s">
        <v>298</v>
      </c>
      <c r="VT4" t="s">
        <v>299</v>
      </c>
      <c r="VU4">
        <v>14.53788685798645</v>
      </c>
      <c r="VV4">
        <v>90</v>
      </c>
      <c r="VW4" s="3"/>
      <c r="VX4">
        <f t="shared" si="157"/>
        <v>68</v>
      </c>
      <c r="VY4" t="s">
        <v>300</v>
      </c>
      <c r="VZ4" t="s">
        <v>301</v>
      </c>
      <c r="WA4">
        <v>16.41014385223389</v>
      </c>
      <c r="WB4">
        <v>121</v>
      </c>
      <c r="WC4" s="2"/>
      <c r="WD4">
        <f t="shared" si="158"/>
        <v>72</v>
      </c>
      <c r="WE4" t="s">
        <v>302</v>
      </c>
      <c r="WF4" t="s">
        <v>303</v>
      </c>
      <c r="WG4">
        <v>29.813295602798458</v>
      </c>
      <c r="WH4">
        <v>72</v>
      </c>
      <c r="WI4" s="3"/>
      <c r="WJ4">
        <f t="shared" si="159"/>
        <v>72</v>
      </c>
      <c r="WK4" t="s">
        <v>304</v>
      </c>
      <c r="WL4" t="s">
        <v>305</v>
      </c>
      <c r="WM4">
        <v>12.60493755340576</v>
      </c>
      <c r="WN4">
        <v>140</v>
      </c>
      <c r="WO4" s="2"/>
      <c r="WP4">
        <f t="shared" si="160"/>
        <v>33</v>
      </c>
      <c r="WQ4" t="s">
        <v>306</v>
      </c>
      <c r="WR4" t="s">
        <v>307</v>
      </c>
      <c r="WS4">
        <v>21.741910219192501</v>
      </c>
      <c r="WT4">
        <v>51</v>
      </c>
      <c r="WU4" s="3"/>
      <c r="WV4">
        <f t="shared" si="161"/>
        <v>46</v>
      </c>
      <c r="WW4" t="s">
        <v>112</v>
      </c>
      <c r="WX4" t="s">
        <v>308</v>
      </c>
      <c r="WY4">
        <v>7.9784319400787354</v>
      </c>
      <c r="WZ4">
        <v>152</v>
      </c>
      <c r="XA4" s="2"/>
      <c r="XB4">
        <f t="shared" si="162"/>
        <v>27</v>
      </c>
      <c r="XC4" t="s">
        <v>309</v>
      </c>
      <c r="XD4" t="s">
        <v>310</v>
      </c>
      <c r="XE4">
        <v>12.816746711730961</v>
      </c>
      <c r="XF4">
        <v>37</v>
      </c>
      <c r="XG4" s="3"/>
      <c r="XH4">
        <f t="shared" si="163"/>
        <v>38</v>
      </c>
      <c r="XI4" t="s">
        <v>311</v>
      </c>
      <c r="XJ4" t="s">
        <v>312</v>
      </c>
      <c r="XK4">
        <v>4.149806022644043</v>
      </c>
      <c r="XL4">
        <v>51</v>
      </c>
      <c r="XM4" s="2"/>
      <c r="XN4">
        <f t="shared" si="164"/>
        <v>34</v>
      </c>
      <c r="XO4" t="s">
        <v>313</v>
      </c>
      <c r="XP4" t="s">
        <v>314</v>
      </c>
      <c r="XQ4">
        <v>13.48700213432312</v>
      </c>
      <c r="XR4">
        <v>47</v>
      </c>
      <c r="XS4" s="3"/>
      <c r="XT4">
        <f t="shared" si="165"/>
        <v>32</v>
      </c>
      <c r="XU4" t="s">
        <v>315</v>
      </c>
      <c r="XV4" t="s">
        <v>316</v>
      </c>
      <c r="XW4">
        <v>38.774563789367683</v>
      </c>
      <c r="XX4">
        <v>70</v>
      </c>
      <c r="XY4" s="2"/>
      <c r="XZ4">
        <f t="shared" si="166"/>
        <v>72</v>
      </c>
      <c r="YA4" t="s">
        <v>317</v>
      </c>
      <c r="YB4" t="s">
        <v>318</v>
      </c>
      <c r="YC4">
        <v>23.162956237792969</v>
      </c>
      <c r="YD4">
        <v>132</v>
      </c>
      <c r="YE4" s="3"/>
      <c r="YF4">
        <f t="shared" si="167"/>
        <v>54</v>
      </c>
      <c r="YG4" t="s">
        <v>319</v>
      </c>
      <c r="YH4" t="s">
        <v>320</v>
      </c>
      <c r="YI4">
        <v>84.842623710632324</v>
      </c>
      <c r="YJ4">
        <v>96</v>
      </c>
      <c r="YK4" s="2"/>
      <c r="YL4">
        <f t="shared" si="168"/>
        <v>55</v>
      </c>
      <c r="YM4" t="s">
        <v>321</v>
      </c>
      <c r="YN4" t="s">
        <v>322</v>
      </c>
      <c r="YO4">
        <v>26.53010892868042</v>
      </c>
      <c r="YP4">
        <v>55</v>
      </c>
      <c r="YQ4" s="3"/>
      <c r="YR4">
        <f t="shared" si="169"/>
        <v>112</v>
      </c>
      <c r="YS4" t="s">
        <v>323</v>
      </c>
      <c r="YT4" t="s">
        <v>324</v>
      </c>
      <c r="YU4">
        <v>253.59611225128171</v>
      </c>
      <c r="YV4">
        <v>142</v>
      </c>
      <c r="YW4" s="2"/>
      <c r="YX4">
        <f t="shared" si="170"/>
        <v>24</v>
      </c>
      <c r="YY4" t="s">
        <v>325</v>
      </c>
      <c r="YZ4" t="s">
        <v>326</v>
      </c>
      <c r="ZA4">
        <v>18.510877847671509</v>
      </c>
      <c r="ZB4">
        <v>24</v>
      </c>
      <c r="ZC4" s="3"/>
      <c r="ZD4">
        <f t="shared" si="171"/>
        <v>21</v>
      </c>
      <c r="ZE4" t="s">
        <v>327</v>
      </c>
      <c r="ZF4" t="s">
        <v>328</v>
      </c>
      <c r="ZG4">
        <v>2.4041285514831539</v>
      </c>
      <c r="ZH4">
        <v>30</v>
      </c>
      <c r="ZI4" s="2"/>
      <c r="ZJ4">
        <f t="shared" si="172"/>
        <v>12</v>
      </c>
      <c r="ZK4" t="s">
        <v>329</v>
      </c>
      <c r="ZL4" t="s">
        <v>330</v>
      </c>
      <c r="ZM4">
        <v>17.798313856124881</v>
      </c>
      <c r="ZN4">
        <v>12</v>
      </c>
      <c r="ZO4" s="3"/>
      <c r="ZP4">
        <f t="shared" si="173"/>
        <v>18</v>
      </c>
      <c r="ZQ4" t="s">
        <v>331</v>
      </c>
      <c r="ZR4" t="s">
        <v>332</v>
      </c>
      <c r="ZS4">
        <v>1.561339378356934</v>
      </c>
      <c r="ZT4">
        <v>24</v>
      </c>
      <c r="ZU4" s="2"/>
      <c r="ZV4">
        <f t="shared" si="174"/>
        <v>124</v>
      </c>
      <c r="ZW4" t="s">
        <v>333</v>
      </c>
      <c r="ZX4" t="s">
        <v>334</v>
      </c>
      <c r="ZY4">
        <v>206.59404611587519</v>
      </c>
      <c r="ZZ4">
        <v>124</v>
      </c>
      <c r="AAA4" s="3"/>
      <c r="AAB4">
        <f t="shared" si="175"/>
        <v>37</v>
      </c>
      <c r="AAC4" t="s">
        <v>335</v>
      </c>
      <c r="AAD4" t="s">
        <v>336</v>
      </c>
      <c r="AAE4">
        <v>6.8180084228515616</v>
      </c>
      <c r="AAF4">
        <v>65</v>
      </c>
      <c r="AAG4" s="2"/>
      <c r="AAH4">
        <f t="shared" si="176"/>
        <v>50</v>
      </c>
      <c r="AAI4" t="s">
        <v>337</v>
      </c>
      <c r="AAJ4" t="s">
        <v>338</v>
      </c>
      <c r="AAK4">
        <v>18.804146528244019</v>
      </c>
      <c r="AAL4">
        <v>72</v>
      </c>
      <c r="AAM4" s="3"/>
      <c r="AAN4">
        <f t="shared" si="177"/>
        <v>82</v>
      </c>
      <c r="AAO4" t="s">
        <v>339</v>
      </c>
      <c r="AAP4" t="s">
        <v>340</v>
      </c>
      <c r="AAQ4">
        <v>83.029010057449341</v>
      </c>
      <c r="AAR4">
        <v>145</v>
      </c>
      <c r="AAS4" s="2"/>
      <c r="AAT4">
        <f t="shared" si="178"/>
        <v>112</v>
      </c>
      <c r="AAU4" t="s">
        <v>341</v>
      </c>
      <c r="AAV4" t="s">
        <v>342</v>
      </c>
      <c r="AAW4">
        <v>127.20096659660339</v>
      </c>
      <c r="AAX4">
        <v>112</v>
      </c>
      <c r="AAY4" s="3"/>
      <c r="AAZ4">
        <f t="shared" si="179"/>
        <v>20</v>
      </c>
      <c r="ABA4" t="s">
        <v>343</v>
      </c>
      <c r="ABB4" t="s">
        <v>344</v>
      </c>
      <c r="ABC4">
        <v>4.6908187866210938</v>
      </c>
      <c r="ABD4">
        <v>52</v>
      </c>
      <c r="ABE4" s="2"/>
      <c r="ABF4">
        <f t="shared" si="180"/>
        <v>38</v>
      </c>
      <c r="ABG4" t="s">
        <v>345</v>
      </c>
      <c r="ABH4" t="s">
        <v>346</v>
      </c>
      <c r="ABI4">
        <v>13.05775022506714</v>
      </c>
      <c r="ABJ4">
        <v>47</v>
      </c>
      <c r="ABK4" s="6"/>
      <c r="ABL4">
        <f t="shared" si="181"/>
        <v>69</v>
      </c>
      <c r="ABM4" t="s">
        <v>347</v>
      </c>
      <c r="ABN4" t="s">
        <v>348</v>
      </c>
      <c r="ABO4">
        <v>29.033822774887081</v>
      </c>
      <c r="ABP4">
        <v>97</v>
      </c>
      <c r="ABQ4" s="2"/>
    </row>
    <row r="5" spans="1:745" x14ac:dyDescent="0.25">
      <c r="A5">
        <v>3</v>
      </c>
      <c r="B5">
        <f t="shared" si="58"/>
        <v>44</v>
      </c>
      <c r="C5" t="s">
        <v>349</v>
      </c>
      <c r="D5" t="s">
        <v>350</v>
      </c>
      <c r="E5">
        <v>10.38416600227356</v>
      </c>
      <c r="F5">
        <v>98</v>
      </c>
      <c r="G5" s="1"/>
      <c r="H5">
        <f t="shared" si="59"/>
        <v>18</v>
      </c>
      <c r="I5" t="s">
        <v>351</v>
      </c>
      <c r="J5" t="s">
        <v>352</v>
      </c>
      <c r="K5">
        <v>35.154186010360718</v>
      </c>
      <c r="L5">
        <v>132</v>
      </c>
      <c r="M5" s="2"/>
      <c r="N5">
        <f t="shared" si="60"/>
        <v>48</v>
      </c>
      <c r="O5" t="s">
        <v>353</v>
      </c>
      <c r="P5" t="s">
        <v>354</v>
      </c>
      <c r="Q5">
        <v>17.751832962036129</v>
      </c>
      <c r="R5">
        <v>102</v>
      </c>
      <c r="S5" s="3"/>
      <c r="T5">
        <f t="shared" si="61"/>
        <v>57</v>
      </c>
      <c r="U5" t="s">
        <v>355</v>
      </c>
      <c r="V5" t="s">
        <v>356</v>
      </c>
      <c r="W5">
        <v>24.889726161956791</v>
      </c>
      <c r="X5">
        <v>169</v>
      </c>
      <c r="Y5" s="2"/>
      <c r="Z5">
        <f t="shared" si="62"/>
        <v>26</v>
      </c>
      <c r="AA5" t="s">
        <v>357</v>
      </c>
      <c r="AB5" t="s">
        <v>358</v>
      </c>
      <c r="AC5">
        <v>5.6971116065979004</v>
      </c>
      <c r="AD5">
        <v>130</v>
      </c>
      <c r="AE5" s="3"/>
      <c r="AF5">
        <f t="shared" si="63"/>
        <v>72</v>
      </c>
      <c r="AG5" t="s">
        <v>359</v>
      </c>
      <c r="AH5" t="s">
        <v>360</v>
      </c>
      <c r="AI5">
        <v>244.3156290054321</v>
      </c>
      <c r="AJ5">
        <v>106</v>
      </c>
      <c r="AK5" s="2"/>
      <c r="AL5">
        <f t="shared" si="64"/>
        <v>18</v>
      </c>
      <c r="AM5" t="s">
        <v>220</v>
      </c>
      <c r="AN5" t="s">
        <v>361</v>
      </c>
      <c r="AO5">
        <v>10.747587919235229</v>
      </c>
      <c r="AP5">
        <v>118</v>
      </c>
      <c r="AQ5" s="3"/>
      <c r="AR5">
        <f t="shared" si="65"/>
        <v>13</v>
      </c>
      <c r="AS5" t="s">
        <v>362</v>
      </c>
      <c r="AT5" t="s">
        <v>363</v>
      </c>
      <c r="AU5">
        <v>126.19855761528019</v>
      </c>
      <c r="AV5">
        <v>58</v>
      </c>
      <c r="AW5" s="2"/>
      <c r="AX5">
        <f t="shared" si="66"/>
        <v>36</v>
      </c>
      <c r="AY5" t="s">
        <v>364</v>
      </c>
      <c r="AZ5" t="s">
        <v>365</v>
      </c>
      <c r="BA5">
        <v>7.6191415786743164</v>
      </c>
      <c r="BB5">
        <v>92</v>
      </c>
      <c r="BC5" s="3"/>
      <c r="BD5">
        <f t="shared" si="67"/>
        <v>72</v>
      </c>
      <c r="BE5" t="s">
        <v>366</v>
      </c>
      <c r="BF5" t="s">
        <v>367</v>
      </c>
      <c r="BG5">
        <v>54.246463298797607</v>
      </c>
      <c r="BH5">
        <v>123</v>
      </c>
      <c r="BI5" s="2"/>
      <c r="BJ5">
        <f t="shared" si="68"/>
        <v>40</v>
      </c>
      <c r="BK5" t="s">
        <v>368</v>
      </c>
      <c r="BL5" t="s">
        <v>369</v>
      </c>
      <c r="BM5">
        <v>11.236853361129761</v>
      </c>
      <c r="BN5">
        <v>150</v>
      </c>
      <c r="BO5" s="3"/>
      <c r="BP5">
        <f t="shared" si="69"/>
        <v>0</v>
      </c>
      <c r="BR5" t="s">
        <v>370</v>
      </c>
      <c r="BS5">
        <v>80.304204940795898</v>
      </c>
      <c r="BT5">
        <v>165</v>
      </c>
      <c r="BU5" s="2"/>
      <c r="BV5">
        <f t="shared" si="70"/>
        <v>79</v>
      </c>
      <c r="BW5" t="s">
        <v>371</v>
      </c>
      <c r="BX5" t="s">
        <v>372</v>
      </c>
      <c r="BY5">
        <v>46.257048606872559</v>
      </c>
      <c r="BZ5">
        <v>115</v>
      </c>
      <c r="CA5" s="3"/>
      <c r="CB5">
        <f t="shared" si="71"/>
        <v>42</v>
      </c>
      <c r="CC5" t="s">
        <v>373</v>
      </c>
      <c r="CD5" t="s">
        <v>374</v>
      </c>
      <c r="CE5">
        <v>28.108962059021</v>
      </c>
      <c r="CF5">
        <v>128</v>
      </c>
      <c r="CG5" s="2"/>
      <c r="CH5">
        <f t="shared" si="72"/>
        <v>36</v>
      </c>
      <c r="CI5" t="s">
        <v>375</v>
      </c>
      <c r="CJ5" t="s">
        <v>376</v>
      </c>
      <c r="CK5">
        <v>5.7217056751251221</v>
      </c>
      <c r="CL5">
        <v>90</v>
      </c>
      <c r="CM5" s="3"/>
      <c r="CN5">
        <f t="shared" si="73"/>
        <v>80</v>
      </c>
      <c r="CO5" t="s">
        <v>377</v>
      </c>
      <c r="CP5" t="s">
        <v>378</v>
      </c>
      <c r="CQ5">
        <v>22.314834833145142</v>
      </c>
      <c r="CR5">
        <v>86</v>
      </c>
      <c r="CS5" s="2"/>
      <c r="CT5">
        <f t="shared" si="74"/>
        <v>31</v>
      </c>
      <c r="CU5" t="s">
        <v>379</v>
      </c>
      <c r="CV5" t="s">
        <v>380</v>
      </c>
      <c r="CW5">
        <v>8.0306589603424072</v>
      </c>
      <c r="CX5">
        <v>78</v>
      </c>
      <c r="CY5" s="3"/>
      <c r="CZ5">
        <f t="shared" si="75"/>
        <v>85</v>
      </c>
      <c r="DA5" t="s">
        <v>381</v>
      </c>
      <c r="DB5" t="s">
        <v>382</v>
      </c>
      <c r="DC5">
        <v>64.453622817993164</v>
      </c>
      <c r="DD5">
        <v>172</v>
      </c>
      <c r="DE5" s="2"/>
      <c r="DF5">
        <f t="shared" si="76"/>
        <v>45</v>
      </c>
      <c r="DG5" t="s">
        <v>383</v>
      </c>
      <c r="DH5" t="s">
        <v>384</v>
      </c>
      <c r="DI5">
        <v>18.060215950012211</v>
      </c>
      <c r="DJ5">
        <v>151</v>
      </c>
      <c r="DK5" s="3"/>
      <c r="DL5">
        <f t="shared" si="77"/>
        <v>57</v>
      </c>
      <c r="DM5" t="s">
        <v>385</v>
      </c>
      <c r="DN5" t="s">
        <v>386</v>
      </c>
      <c r="DO5">
        <v>33.221126556396477</v>
      </c>
      <c r="DP5">
        <v>123</v>
      </c>
      <c r="DQ5" s="2"/>
      <c r="DR5">
        <f t="shared" si="78"/>
        <v>38</v>
      </c>
      <c r="DS5" t="s">
        <v>387</v>
      </c>
      <c r="DT5" t="s">
        <v>388</v>
      </c>
      <c r="DU5">
        <v>6.2886316776275626</v>
      </c>
      <c r="DV5">
        <v>148</v>
      </c>
      <c r="DW5" s="3"/>
      <c r="DX5">
        <f t="shared" si="79"/>
        <v>29</v>
      </c>
      <c r="DY5" t="s">
        <v>389</v>
      </c>
      <c r="DZ5" t="s">
        <v>390</v>
      </c>
      <c r="EA5">
        <v>41.881516218185418</v>
      </c>
      <c r="EB5">
        <v>88</v>
      </c>
      <c r="EC5" s="2"/>
      <c r="ED5">
        <f t="shared" si="80"/>
        <v>37</v>
      </c>
      <c r="EE5" t="s">
        <v>391</v>
      </c>
      <c r="EF5" t="s">
        <v>392</v>
      </c>
      <c r="EG5">
        <v>11.947849273681641</v>
      </c>
      <c r="EH5">
        <v>93</v>
      </c>
      <c r="EI5" s="3"/>
      <c r="EJ5">
        <f t="shared" si="81"/>
        <v>157</v>
      </c>
      <c r="EK5" t="s">
        <v>393</v>
      </c>
      <c r="EL5" t="s">
        <v>394</v>
      </c>
      <c r="EM5">
        <v>173.72872853279111</v>
      </c>
      <c r="EN5">
        <v>190</v>
      </c>
      <c r="EO5" s="2"/>
      <c r="EP5">
        <f t="shared" si="82"/>
        <v>66</v>
      </c>
      <c r="EQ5" t="s">
        <v>395</v>
      </c>
      <c r="ER5" t="s">
        <v>396</v>
      </c>
      <c r="ES5">
        <v>29.915394067764279</v>
      </c>
      <c r="ET5">
        <v>183</v>
      </c>
      <c r="EU5" s="3"/>
      <c r="EV5">
        <f t="shared" si="83"/>
        <v>40</v>
      </c>
      <c r="EW5" t="s">
        <v>397</v>
      </c>
      <c r="EX5" t="s">
        <v>398</v>
      </c>
      <c r="EY5">
        <v>26.776285648345951</v>
      </c>
      <c r="EZ5">
        <v>140</v>
      </c>
      <c r="FA5" s="2"/>
      <c r="FB5">
        <f t="shared" si="84"/>
        <v>36</v>
      </c>
      <c r="FC5" t="s">
        <v>399</v>
      </c>
      <c r="FD5" t="s">
        <v>400</v>
      </c>
      <c r="FE5">
        <v>9.5419788360595703</v>
      </c>
      <c r="FF5">
        <v>86</v>
      </c>
      <c r="FG5" s="3"/>
      <c r="FH5">
        <f t="shared" si="85"/>
        <v>58</v>
      </c>
      <c r="FI5" t="s">
        <v>401</v>
      </c>
      <c r="FJ5" t="s">
        <v>402</v>
      </c>
      <c r="FK5">
        <v>38.564049482345581</v>
      </c>
      <c r="FL5">
        <v>108</v>
      </c>
      <c r="FM5" s="2"/>
      <c r="FN5">
        <f t="shared" si="86"/>
        <v>31</v>
      </c>
      <c r="FO5" t="s">
        <v>403</v>
      </c>
      <c r="FP5" t="s">
        <v>404</v>
      </c>
      <c r="FQ5">
        <v>30.80838060379028</v>
      </c>
      <c r="FR5">
        <v>76</v>
      </c>
      <c r="FS5" s="3"/>
      <c r="FT5">
        <f t="shared" si="87"/>
        <v>30</v>
      </c>
      <c r="FU5" t="s">
        <v>405</v>
      </c>
      <c r="FV5" t="s">
        <v>406</v>
      </c>
      <c r="FW5">
        <v>20.27034425735474</v>
      </c>
      <c r="FX5">
        <v>53</v>
      </c>
      <c r="FY5" s="2"/>
      <c r="FZ5">
        <f t="shared" si="88"/>
        <v>48</v>
      </c>
      <c r="GA5" t="s">
        <v>407</v>
      </c>
      <c r="GB5" t="s">
        <v>408</v>
      </c>
      <c r="GC5">
        <v>7.2153897285461426</v>
      </c>
      <c r="GD5">
        <v>96</v>
      </c>
      <c r="GE5" s="3"/>
      <c r="GF5">
        <f t="shared" si="89"/>
        <v>25</v>
      </c>
      <c r="GG5" t="s">
        <v>409</v>
      </c>
      <c r="GH5" t="s">
        <v>410</v>
      </c>
      <c r="GI5">
        <v>12.87031531333923</v>
      </c>
      <c r="GJ5">
        <v>126</v>
      </c>
      <c r="GK5" s="2"/>
      <c r="GL5">
        <f t="shared" si="90"/>
        <v>48</v>
      </c>
      <c r="GM5" t="s">
        <v>411</v>
      </c>
      <c r="GN5" t="s">
        <v>412</v>
      </c>
      <c r="GO5">
        <v>8.1644833087921143</v>
      </c>
      <c r="GP5">
        <v>112</v>
      </c>
      <c r="GQ5" s="3"/>
      <c r="GR5">
        <f t="shared" si="91"/>
        <v>33</v>
      </c>
      <c r="GS5" t="s">
        <v>413</v>
      </c>
      <c r="GT5" t="s">
        <v>414</v>
      </c>
      <c r="GU5">
        <v>13.64464330673218</v>
      </c>
      <c r="GV5">
        <v>97</v>
      </c>
      <c r="GW5" s="2"/>
      <c r="GX5">
        <f t="shared" si="92"/>
        <v>39</v>
      </c>
      <c r="GY5" t="s">
        <v>415</v>
      </c>
      <c r="GZ5" t="s">
        <v>416</v>
      </c>
      <c r="HA5">
        <v>5.7235198020935059</v>
      </c>
      <c r="HB5">
        <v>76</v>
      </c>
      <c r="HC5" s="3"/>
      <c r="HD5">
        <f t="shared" si="93"/>
        <v>19</v>
      </c>
      <c r="HE5" t="s">
        <v>417</v>
      </c>
      <c r="HF5" t="s">
        <v>418</v>
      </c>
      <c r="HG5">
        <v>25.77767896652222</v>
      </c>
      <c r="HH5">
        <v>85</v>
      </c>
      <c r="HI5" s="2"/>
      <c r="HJ5">
        <f t="shared" si="94"/>
        <v>34</v>
      </c>
      <c r="HK5" t="s">
        <v>419</v>
      </c>
      <c r="HL5" t="s">
        <v>420</v>
      </c>
      <c r="HM5">
        <v>8.146970272064209</v>
      </c>
      <c r="HN5">
        <v>70</v>
      </c>
      <c r="HO5" s="3"/>
      <c r="HP5">
        <f t="shared" si="95"/>
        <v>38</v>
      </c>
      <c r="HQ5" t="s">
        <v>421</v>
      </c>
      <c r="HR5" t="s">
        <v>422</v>
      </c>
      <c r="HS5">
        <v>18.960770606994629</v>
      </c>
      <c r="HT5">
        <v>120</v>
      </c>
      <c r="HU5" s="2"/>
      <c r="HV5">
        <f t="shared" si="96"/>
        <v>27</v>
      </c>
      <c r="HW5" t="s">
        <v>423</v>
      </c>
      <c r="HX5" t="s">
        <v>424</v>
      </c>
      <c r="HY5">
        <v>3.2944915294647221</v>
      </c>
      <c r="HZ5">
        <v>58</v>
      </c>
      <c r="IA5" s="3"/>
      <c r="IB5">
        <f t="shared" si="97"/>
        <v>33</v>
      </c>
      <c r="IC5" t="s">
        <v>425</v>
      </c>
      <c r="ID5" t="s">
        <v>426</v>
      </c>
      <c r="IE5">
        <v>24.166298389434811</v>
      </c>
      <c r="IF5">
        <v>68</v>
      </c>
      <c r="IG5" s="2"/>
      <c r="IH5">
        <f t="shared" si="98"/>
        <v>22</v>
      </c>
      <c r="II5" t="s">
        <v>427</v>
      </c>
      <c r="IJ5" t="s">
        <v>428</v>
      </c>
      <c r="IK5">
        <v>6.4660327434539786</v>
      </c>
      <c r="IL5">
        <v>68</v>
      </c>
      <c r="IM5" s="3"/>
      <c r="IN5">
        <f t="shared" si="99"/>
        <v>34</v>
      </c>
      <c r="IO5" t="s">
        <v>429</v>
      </c>
      <c r="IP5" t="s">
        <v>430</v>
      </c>
      <c r="IQ5">
        <v>28.459546566009521</v>
      </c>
      <c r="IR5">
        <v>104</v>
      </c>
      <c r="IS5" s="2"/>
      <c r="IT5">
        <f t="shared" si="100"/>
        <v>34</v>
      </c>
      <c r="IU5" t="s">
        <v>431</v>
      </c>
      <c r="IV5" t="s">
        <v>432</v>
      </c>
      <c r="IW5">
        <v>15.084443330764771</v>
      </c>
      <c r="IX5">
        <v>79</v>
      </c>
      <c r="IY5" s="3"/>
      <c r="IZ5">
        <f t="shared" si="101"/>
        <v>25</v>
      </c>
      <c r="JA5" t="s">
        <v>433</v>
      </c>
      <c r="JB5" t="s">
        <v>434</v>
      </c>
      <c r="JC5">
        <v>12.553674936294559</v>
      </c>
      <c r="JD5">
        <v>71</v>
      </c>
      <c r="JE5" s="2"/>
      <c r="JF5">
        <f t="shared" si="102"/>
        <v>77</v>
      </c>
      <c r="JG5" t="s">
        <v>435</v>
      </c>
      <c r="JH5" t="s">
        <v>436</v>
      </c>
      <c r="JI5">
        <v>202.0787410736084</v>
      </c>
      <c r="JJ5">
        <v>143</v>
      </c>
      <c r="JK5" s="3"/>
      <c r="JL5">
        <f t="shared" si="103"/>
        <v>16</v>
      </c>
      <c r="JM5" t="s">
        <v>437</v>
      </c>
      <c r="JN5" t="s">
        <v>438</v>
      </c>
      <c r="JO5">
        <v>26.80659294128418</v>
      </c>
      <c r="JP5">
        <v>95</v>
      </c>
      <c r="JQ5" s="2"/>
      <c r="JR5">
        <f t="shared" si="104"/>
        <v>30</v>
      </c>
      <c r="JS5" t="s">
        <v>439</v>
      </c>
      <c r="JT5" t="s">
        <v>440</v>
      </c>
      <c r="JU5">
        <v>18.951103448867801</v>
      </c>
      <c r="JV5">
        <v>126</v>
      </c>
      <c r="JW5" s="3"/>
      <c r="JX5">
        <f t="shared" si="105"/>
        <v>70</v>
      </c>
      <c r="JY5" t="s">
        <v>441</v>
      </c>
      <c r="JZ5" t="s">
        <v>442</v>
      </c>
      <c r="KA5">
        <v>20.411020278930661</v>
      </c>
      <c r="KB5">
        <v>141</v>
      </c>
      <c r="KC5" s="2"/>
      <c r="KD5">
        <f t="shared" si="106"/>
        <v>18</v>
      </c>
      <c r="KE5" t="s">
        <v>443</v>
      </c>
      <c r="KF5" t="s">
        <v>444</v>
      </c>
      <c r="KG5">
        <v>3.4206464290618901</v>
      </c>
      <c r="KH5">
        <v>170</v>
      </c>
      <c r="KI5" s="3"/>
      <c r="KJ5">
        <f t="shared" si="107"/>
        <v>32</v>
      </c>
      <c r="KK5" t="s">
        <v>445</v>
      </c>
      <c r="KL5" t="s">
        <v>446</v>
      </c>
      <c r="KM5">
        <v>95.049245119094849</v>
      </c>
      <c r="KN5">
        <v>168</v>
      </c>
      <c r="KO5" s="2"/>
      <c r="KP5">
        <f t="shared" si="108"/>
        <v>28</v>
      </c>
      <c r="KQ5" t="s">
        <v>447</v>
      </c>
      <c r="KR5" t="s">
        <v>448</v>
      </c>
      <c r="KS5">
        <v>2.5688331127166748</v>
      </c>
      <c r="KT5">
        <v>50</v>
      </c>
      <c r="KU5" s="3"/>
      <c r="KV5">
        <f t="shared" si="109"/>
        <v>28</v>
      </c>
      <c r="KW5" t="s">
        <v>449</v>
      </c>
      <c r="KX5" t="s">
        <v>450</v>
      </c>
      <c r="KY5">
        <v>11.096919775009161</v>
      </c>
      <c r="KZ5">
        <v>87</v>
      </c>
      <c r="LA5" s="2"/>
      <c r="LB5">
        <f t="shared" si="110"/>
        <v>76</v>
      </c>
      <c r="LC5" t="s">
        <v>451</v>
      </c>
      <c r="LD5" t="s">
        <v>452</v>
      </c>
      <c r="LE5">
        <v>10.853348731994631</v>
      </c>
      <c r="LF5">
        <v>133</v>
      </c>
      <c r="LG5" s="3"/>
      <c r="LH5">
        <f t="shared" si="111"/>
        <v>78</v>
      </c>
      <c r="LI5" t="s">
        <v>453</v>
      </c>
      <c r="LJ5" t="s">
        <v>454</v>
      </c>
      <c r="LK5">
        <v>24.24227499961853</v>
      </c>
      <c r="LL5">
        <v>171</v>
      </c>
      <c r="LM5" s="2"/>
      <c r="LN5">
        <f t="shared" si="112"/>
        <v>37</v>
      </c>
      <c r="LO5" t="s">
        <v>455</v>
      </c>
      <c r="LP5" t="s">
        <v>456</v>
      </c>
      <c r="LQ5">
        <v>14.41003203392029</v>
      </c>
      <c r="LR5">
        <v>165</v>
      </c>
      <c r="LS5" s="3"/>
      <c r="LT5">
        <f t="shared" si="113"/>
        <v>13</v>
      </c>
      <c r="LU5" t="s">
        <v>457</v>
      </c>
      <c r="LV5" t="s">
        <v>458</v>
      </c>
      <c r="LW5">
        <v>35.459748029708862</v>
      </c>
      <c r="LX5">
        <v>75</v>
      </c>
      <c r="LY5" s="2"/>
      <c r="LZ5">
        <f t="shared" si="114"/>
        <v>30</v>
      </c>
      <c r="MA5" t="s">
        <v>459</v>
      </c>
      <c r="MB5" t="s">
        <v>460</v>
      </c>
      <c r="MC5">
        <v>7.6903431415557861</v>
      </c>
      <c r="MD5">
        <v>104</v>
      </c>
      <c r="ME5" s="3"/>
      <c r="MF5">
        <f t="shared" si="115"/>
        <v>68</v>
      </c>
      <c r="MG5" t="s">
        <v>461</v>
      </c>
      <c r="MH5" t="s">
        <v>462</v>
      </c>
      <c r="MI5">
        <v>35.527095317840583</v>
      </c>
      <c r="MJ5">
        <v>172</v>
      </c>
      <c r="MK5" s="2"/>
      <c r="ML5">
        <f t="shared" si="116"/>
        <v>28</v>
      </c>
      <c r="MM5" t="s">
        <v>463</v>
      </c>
      <c r="MN5" t="s">
        <v>464</v>
      </c>
      <c r="MO5">
        <v>4.4515140056610107</v>
      </c>
      <c r="MP5">
        <v>75</v>
      </c>
      <c r="MQ5" s="3"/>
      <c r="MR5">
        <f t="shared" si="117"/>
        <v>78</v>
      </c>
      <c r="MS5" t="s">
        <v>465</v>
      </c>
      <c r="MT5" t="s">
        <v>466</v>
      </c>
      <c r="MU5">
        <v>112.30825090408329</v>
      </c>
      <c r="MV5">
        <v>129</v>
      </c>
      <c r="MW5" s="2"/>
      <c r="MX5">
        <f t="shared" si="118"/>
        <v>30</v>
      </c>
      <c r="MY5" t="s">
        <v>467</v>
      </c>
      <c r="MZ5" t="s">
        <v>468</v>
      </c>
      <c r="NA5">
        <v>13.222790956497191</v>
      </c>
      <c r="NB5">
        <v>100</v>
      </c>
      <c r="NC5" s="3"/>
      <c r="ND5">
        <f t="shared" si="119"/>
        <v>24</v>
      </c>
      <c r="NE5" t="s">
        <v>469</v>
      </c>
      <c r="NF5" t="s">
        <v>470</v>
      </c>
      <c r="NG5">
        <v>5.0815541744232178</v>
      </c>
      <c r="NH5">
        <v>61</v>
      </c>
      <c r="NI5" s="2"/>
      <c r="NJ5">
        <f t="shared" si="120"/>
        <v>28</v>
      </c>
      <c r="NK5" t="s">
        <v>471</v>
      </c>
      <c r="NL5" t="s">
        <v>472</v>
      </c>
      <c r="NM5">
        <v>18.634866237640381</v>
      </c>
      <c r="NN5">
        <v>120</v>
      </c>
      <c r="NO5" s="3"/>
      <c r="NP5">
        <f t="shared" si="121"/>
        <v>21</v>
      </c>
      <c r="NQ5" t="s">
        <v>473</v>
      </c>
      <c r="NR5" t="s">
        <v>474</v>
      </c>
      <c r="NS5">
        <v>3.4519062042236328</v>
      </c>
      <c r="NT5">
        <v>67</v>
      </c>
      <c r="NU5" s="2"/>
      <c r="NV5">
        <f t="shared" si="122"/>
        <v>29</v>
      </c>
      <c r="NW5" t="s">
        <v>475</v>
      </c>
      <c r="NX5" t="s">
        <v>476</v>
      </c>
      <c r="NY5">
        <v>25.290352582931519</v>
      </c>
      <c r="NZ5">
        <v>51</v>
      </c>
      <c r="OA5" s="3"/>
      <c r="OB5">
        <f t="shared" si="123"/>
        <v>27</v>
      </c>
      <c r="OC5" t="s">
        <v>477</v>
      </c>
      <c r="OD5" t="s">
        <v>478</v>
      </c>
      <c r="OE5">
        <v>10.62297344207764</v>
      </c>
      <c r="OF5">
        <v>61</v>
      </c>
      <c r="OG5" s="2"/>
      <c r="OH5">
        <f t="shared" si="124"/>
        <v>15</v>
      </c>
      <c r="OI5" t="s">
        <v>479</v>
      </c>
      <c r="OJ5" t="s">
        <v>480</v>
      </c>
      <c r="OK5">
        <v>10.80300188064575</v>
      </c>
      <c r="OL5">
        <v>106</v>
      </c>
      <c r="OM5" s="3"/>
      <c r="ON5">
        <f t="shared" si="125"/>
        <v>36</v>
      </c>
      <c r="OO5" t="s">
        <v>481</v>
      </c>
      <c r="OP5" t="s">
        <v>482</v>
      </c>
      <c r="OQ5">
        <v>8.8163049221038818</v>
      </c>
      <c r="OR5">
        <v>102</v>
      </c>
      <c r="OS5" s="2"/>
      <c r="OT5">
        <f t="shared" si="126"/>
        <v>48</v>
      </c>
      <c r="OU5" t="s">
        <v>483</v>
      </c>
      <c r="OV5" t="s">
        <v>484</v>
      </c>
      <c r="OW5">
        <v>106.6589148044586</v>
      </c>
      <c r="OX5">
        <v>69</v>
      </c>
      <c r="OY5" s="3"/>
      <c r="OZ5">
        <f t="shared" si="127"/>
        <v>34</v>
      </c>
      <c r="PA5" t="s">
        <v>485</v>
      </c>
      <c r="PB5" t="s">
        <v>486</v>
      </c>
      <c r="PC5">
        <v>16.80225229263306</v>
      </c>
      <c r="PD5">
        <v>87</v>
      </c>
      <c r="PE5" s="2"/>
      <c r="PF5">
        <f t="shared" si="128"/>
        <v>38</v>
      </c>
      <c r="PG5" t="s">
        <v>487</v>
      </c>
      <c r="PH5" t="s">
        <v>488</v>
      </c>
      <c r="PI5">
        <v>16.885486841201779</v>
      </c>
      <c r="PJ5">
        <v>114</v>
      </c>
      <c r="PK5" s="3"/>
      <c r="PL5">
        <f t="shared" si="129"/>
        <v>24</v>
      </c>
      <c r="PM5" t="s">
        <v>489</v>
      </c>
      <c r="PN5" t="s">
        <v>490</v>
      </c>
      <c r="PO5">
        <v>7.2504575252532959</v>
      </c>
      <c r="PP5">
        <v>84</v>
      </c>
      <c r="PQ5" s="2"/>
      <c r="PR5">
        <f t="shared" si="130"/>
        <v>96</v>
      </c>
      <c r="PS5" t="s">
        <v>491</v>
      </c>
      <c r="PT5" t="s">
        <v>492</v>
      </c>
      <c r="PU5">
        <v>16.28951454162598</v>
      </c>
      <c r="PV5">
        <v>163</v>
      </c>
      <c r="PW5" s="3"/>
      <c r="PX5">
        <f t="shared" si="131"/>
        <v>30</v>
      </c>
      <c r="PY5" t="s">
        <v>493</v>
      </c>
      <c r="PZ5" t="s">
        <v>494</v>
      </c>
      <c r="QA5">
        <v>5.2100424766540527</v>
      </c>
      <c r="QB5">
        <v>126</v>
      </c>
      <c r="QC5" s="2"/>
      <c r="QD5">
        <f t="shared" si="132"/>
        <v>40</v>
      </c>
      <c r="QE5" t="s">
        <v>495</v>
      </c>
      <c r="QF5" t="s">
        <v>496</v>
      </c>
      <c r="QG5">
        <v>19.835590362548832</v>
      </c>
      <c r="QH5">
        <v>113</v>
      </c>
      <c r="QI5" s="3"/>
      <c r="QJ5">
        <f t="shared" si="133"/>
        <v>39</v>
      </c>
      <c r="QK5" t="s">
        <v>497</v>
      </c>
      <c r="QL5" t="s">
        <v>498</v>
      </c>
      <c r="QM5">
        <v>14.98682761192322</v>
      </c>
      <c r="QN5">
        <v>102</v>
      </c>
      <c r="QO5" s="4"/>
      <c r="QP5">
        <f t="shared" si="134"/>
        <v>38</v>
      </c>
      <c r="QQ5" t="s">
        <v>499</v>
      </c>
      <c r="QR5" t="s">
        <v>500</v>
      </c>
      <c r="QS5">
        <v>22.529812335968021</v>
      </c>
      <c r="QT5">
        <v>104</v>
      </c>
      <c r="QU5" s="3"/>
      <c r="QV5">
        <f t="shared" si="135"/>
        <v>29</v>
      </c>
      <c r="QW5" t="s">
        <v>501</v>
      </c>
      <c r="QX5" t="s">
        <v>502</v>
      </c>
      <c r="QY5">
        <v>15.399347066879271</v>
      </c>
      <c r="QZ5">
        <v>140</v>
      </c>
      <c r="RA5" s="2"/>
      <c r="RB5">
        <f t="shared" si="136"/>
        <v>70</v>
      </c>
      <c r="RC5" t="s">
        <v>503</v>
      </c>
      <c r="RD5" t="s">
        <v>504</v>
      </c>
      <c r="RE5">
        <v>30.923243761062619</v>
      </c>
      <c r="RF5">
        <v>114</v>
      </c>
      <c r="RG5" s="3"/>
      <c r="RH5">
        <f t="shared" si="137"/>
        <v>15</v>
      </c>
      <c r="RI5" t="s">
        <v>505</v>
      </c>
      <c r="RJ5" t="s">
        <v>506</v>
      </c>
      <c r="RK5">
        <v>3.6946578025817871</v>
      </c>
      <c r="RL5">
        <v>72</v>
      </c>
      <c r="RM5" s="2"/>
      <c r="RN5">
        <f t="shared" si="138"/>
        <v>78</v>
      </c>
      <c r="RO5" t="s">
        <v>507</v>
      </c>
      <c r="RP5" t="s">
        <v>508</v>
      </c>
      <c r="RQ5">
        <v>38.638651847839363</v>
      </c>
      <c r="RR5">
        <v>124</v>
      </c>
      <c r="RS5" s="3"/>
      <c r="RT5">
        <f t="shared" si="139"/>
        <v>48</v>
      </c>
      <c r="RU5" t="s">
        <v>509</v>
      </c>
      <c r="RV5" t="s">
        <v>510</v>
      </c>
      <c r="RW5">
        <v>9.8001246452331543</v>
      </c>
      <c r="RX5">
        <v>134</v>
      </c>
      <c r="RY5" s="2"/>
      <c r="RZ5">
        <f t="shared" si="140"/>
        <v>52</v>
      </c>
      <c r="SA5" t="s">
        <v>511</v>
      </c>
      <c r="SB5" t="s">
        <v>512</v>
      </c>
      <c r="SC5">
        <v>23.092519998550419</v>
      </c>
      <c r="SD5">
        <v>72</v>
      </c>
      <c r="SE5" s="3"/>
      <c r="SF5">
        <f t="shared" si="141"/>
        <v>42</v>
      </c>
      <c r="SG5" t="s">
        <v>513</v>
      </c>
      <c r="SH5" t="s">
        <v>514</v>
      </c>
      <c r="SI5">
        <v>11.089289426803591</v>
      </c>
      <c r="SJ5">
        <v>86</v>
      </c>
      <c r="SK5" s="2"/>
      <c r="SL5">
        <f t="shared" si="142"/>
        <v>84</v>
      </c>
      <c r="SM5" t="s">
        <v>515</v>
      </c>
      <c r="SN5" t="s">
        <v>516</v>
      </c>
      <c r="SO5">
        <v>23.92379903793335</v>
      </c>
      <c r="SP5">
        <v>170</v>
      </c>
      <c r="SQ5" s="3"/>
      <c r="SR5">
        <f t="shared" si="143"/>
        <v>39</v>
      </c>
      <c r="SS5" t="s">
        <v>517</v>
      </c>
      <c r="ST5" t="s">
        <v>518</v>
      </c>
      <c r="SU5">
        <v>7.2998936176300049</v>
      </c>
      <c r="SV5">
        <v>107</v>
      </c>
      <c r="SW5" s="2"/>
      <c r="SX5">
        <f t="shared" si="144"/>
        <v>27</v>
      </c>
      <c r="SY5" t="s">
        <v>519</v>
      </c>
      <c r="SZ5" t="s">
        <v>520</v>
      </c>
      <c r="TA5">
        <v>10.615277528762819</v>
      </c>
      <c r="TB5">
        <v>91</v>
      </c>
      <c r="TC5" s="3"/>
      <c r="TD5">
        <f t="shared" si="145"/>
        <v>26</v>
      </c>
      <c r="TE5" t="s">
        <v>521</v>
      </c>
      <c r="TF5" t="s">
        <v>522</v>
      </c>
      <c r="TG5">
        <v>4.491549015045166</v>
      </c>
      <c r="TH5">
        <v>62</v>
      </c>
      <c r="TI5" s="2"/>
      <c r="TJ5">
        <f t="shared" si="146"/>
        <v>48</v>
      </c>
      <c r="TK5" t="s">
        <v>523</v>
      </c>
      <c r="TL5" t="s">
        <v>524</v>
      </c>
      <c r="TM5">
        <v>29.96462965011597</v>
      </c>
      <c r="TN5">
        <v>112</v>
      </c>
      <c r="TO5" s="3"/>
      <c r="TP5">
        <f t="shared" si="147"/>
        <v>32</v>
      </c>
      <c r="TQ5" t="s">
        <v>525</v>
      </c>
      <c r="TR5" t="s">
        <v>526</v>
      </c>
      <c r="TS5">
        <v>20.491013288497921</v>
      </c>
      <c r="TT5">
        <v>98</v>
      </c>
      <c r="TU5" s="2"/>
      <c r="TV5">
        <f t="shared" si="148"/>
        <v>52</v>
      </c>
      <c r="TW5" t="s">
        <v>527</v>
      </c>
      <c r="TX5" t="s">
        <v>528</v>
      </c>
      <c r="TY5">
        <v>23.247596025466919</v>
      </c>
      <c r="TZ5">
        <v>95</v>
      </c>
      <c r="UA5" s="3"/>
      <c r="UB5">
        <f t="shared" si="149"/>
        <v>36</v>
      </c>
      <c r="UC5" t="s">
        <v>529</v>
      </c>
      <c r="UD5" t="s">
        <v>530</v>
      </c>
      <c r="UE5">
        <v>15.546692132949831</v>
      </c>
      <c r="UF5">
        <v>102</v>
      </c>
      <c r="UG5" s="2"/>
      <c r="UH5">
        <f t="shared" si="150"/>
        <v>32</v>
      </c>
      <c r="UI5" t="s">
        <v>531</v>
      </c>
      <c r="UJ5" t="s">
        <v>532</v>
      </c>
      <c r="UK5">
        <v>20.322393178939819</v>
      </c>
      <c r="UL5">
        <v>78</v>
      </c>
      <c r="UM5" s="3"/>
      <c r="UN5">
        <f t="shared" si="151"/>
        <v>22</v>
      </c>
      <c r="UO5" t="s">
        <v>533</v>
      </c>
      <c r="UP5" t="s">
        <v>534</v>
      </c>
      <c r="UQ5">
        <v>7.7825925350189209</v>
      </c>
      <c r="UR5">
        <v>126</v>
      </c>
      <c r="US5" s="2"/>
      <c r="UT5">
        <f t="shared" si="152"/>
        <v>130</v>
      </c>
      <c r="UU5" t="s">
        <v>535</v>
      </c>
      <c r="UV5" t="s">
        <v>536</v>
      </c>
      <c r="UW5">
        <v>46.066109895706177</v>
      </c>
      <c r="UX5">
        <v>130</v>
      </c>
      <c r="UY5" s="3"/>
      <c r="UZ5">
        <f t="shared" si="153"/>
        <v>57</v>
      </c>
      <c r="VA5" t="s">
        <v>537</v>
      </c>
      <c r="VB5" t="s">
        <v>538</v>
      </c>
      <c r="VC5">
        <v>22.221395015716549</v>
      </c>
      <c r="VD5">
        <v>105</v>
      </c>
      <c r="VE5" s="2"/>
      <c r="VF5">
        <f t="shared" si="154"/>
        <v>40</v>
      </c>
      <c r="VG5" t="s">
        <v>539</v>
      </c>
      <c r="VH5" t="s">
        <v>540</v>
      </c>
      <c r="VI5">
        <v>19.833967924118038</v>
      </c>
      <c r="VJ5">
        <v>136</v>
      </c>
      <c r="VK5" s="3"/>
      <c r="VL5">
        <f t="shared" si="155"/>
        <v>31</v>
      </c>
      <c r="VM5" t="s">
        <v>541</v>
      </c>
      <c r="VN5" t="s">
        <v>542</v>
      </c>
      <c r="VO5">
        <v>9.3138320446014404</v>
      </c>
      <c r="VP5">
        <v>162</v>
      </c>
      <c r="VQ5" s="2"/>
      <c r="VR5">
        <f t="shared" si="156"/>
        <v>30</v>
      </c>
      <c r="VS5" t="s">
        <v>543</v>
      </c>
      <c r="VT5" t="s">
        <v>544</v>
      </c>
      <c r="VU5">
        <v>15.55577683448792</v>
      </c>
      <c r="VV5">
        <v>120</v>
      </c>
      <c r="VW5" s="3"/>
      <c r="VX5">
        <f t="shared" si="157"/>
        <v>66</v>
      </c>
      <c r="VY5" t="s">
        <v>545</v>
      </c>
      <c r="VZ5" t="s">
        <v>546</v>
      </c>
      <c r="WA5">
        <v>39.932177782058723</v>
      </c>
      <c r="WB5">
        <v>187</v>
      </c>
      <c r="WC5" s="2"/>
      <c r="WD5">
        <f t="shared" si="158"/>
        <v>34</v>
      </c>
      <c r="WE5" t="s">
        <v>547</v>
      </c>
      <c r="WF5" t="s">
        <v>548</v>
      </c>
      <c r="WG5">
        <v>21.241074800491329</v>
      </c>
      <c r="WH5">
        <v>106</v>
      </c>
      <c r="WI5" s="3"/>
      <c r="WJ5">
        <f t="shared" si="159"/>
        <v>36</v>
      </c>
      <c r="WK5" t="s">
        <v>549</v>
      </c>
      <c r="WL5" t="s">
        <v>550</v>
      </c>
      <c r="WM5">
        <v>6.9001960754394531</v>
      </c>
      <c r="WN5">
        <v>176</v>
      </c>
      <c r="WO5" s="2"/>
      <c r="WP5">
        <f t="shared" si="160"/>
        <v>16</v>
      </c>
      <c r="WQ5" t="s">
        <v>551</v>
      </c>
      <c r="WR5" t="s">
        <v>552</v>
      </c>
      <c r="WS5">
        <v>15.52672100067139</v>
      </c>
      <c r="WT5">
        <v>67</v>
      </c>
      <c r="WU5" s="3"/>
      <c r="WV5">
        <f t="shared" si="161"/>
        <v>31</v>
      </c>
      <c r="WW5" t="s">
        <v>553</v>
      </c>
      <c r="WX5" t="s">
        <v>554</v>
      </c>
      <c r="WY5">
        <v>22.49836540222168</v>
      </c>
      <c r="WZ5">
        <v>183</v>
      </c>
      <c r="XA5" s="2"/>
      <c r="XB5">
        <f t="shared" si="162"/>
        <v>130</v>
      </c>
      <c r="XC5" t="s">
        <v>555</v>
      </c>
      <c r="XD5" t="s">
        <v>556</v>
      </c>
      <c r="XE5">
        <v>88.799082040786743</v>
      </c>
      <c r="XF5">
        <v>167</v>
      </c>
      <c r="XG5" s="3"/>
      <c r="XH5">
        <f t="shared" si="163"/>
        <v>42</v>
      </c>
      <c r="XI5" t="s">
        <v>557</v>
      </c>
      <c r="XJ5" t="s">
        <v>558</v>
      </c>
      <c r="XK5">
        <v>16.45208835601807</v>
      </c>
      <c r="XL5">
        <v>93</v>
      </c>
      <c r="XM5" s="2"/>
      <c r="XN5">
        <f t="shared" si="164"/>
        <v>52</v>
      </c>
      <c r="XO5" t="s">
        <v>559</v>
      </c>
      <c r="XP5" t="s">
        <v>560</v>
      </c>
      <c r="XQ5">
        <v>27.77055644989014</v>
      </c>
      <c r="XR5">
        <v>99</v>
      </c>
      <c r="XS5" s="3"/>
      <c r="XT5">
        <f t="shared" si="165"/>
        <v>24</v>
      </c>
      <c r="XU5" t="s">
        <v>561</v>
      </c>
      <c r="XV5" t="s">
        <v>562</v>
      </c>
      <c r="XW5">
        <v>3.093871116638184</v>
      </c>
      <c r="XX5">
        <v>94</v>
      </c>
      <c r="XY5" s="2"/>
      <c r="XZ5">
        <f t="shared" si="166"/>
        <v>70</v>
      </c>
      <c r="YA5" t="s">
        <v>563</v>
      </c>
      <c r="YB5" t="s">
        <v>564</v>
      </c>
      <c r="YC5">
        <v>34.780425548553467</v>
      </c>
      <c r="YD5">
        <v>202</v>
      </c>
      <c r="YE5" s="3"/>
      <c r="YF5">
        <f t="shared" si="167"/>
        <v>36</v>
      </c>
      <c r="YG5" t="s">
        <v>565</v>
      </c>
      <c r="YH5" t="s">
        <v>566</v>
      </c>
      <c r="YI5">
        <v>9.2911853790283203</v>
      </c>
      <c r="YJ5">
        <v>132</v>
      </c>
      <c r="YK5" s="2"/>
      <c r="YL5">
        <f t="shared" si="168"/>
        <v>26</v>
      </c>
      <c r="YM5" t="s">
        <v>567</v>
      </c>
      <c r="YN5" t="s">
        <v>568</v>
      </c>
      <c r="YO5">
        <v>11.35617828369141</v>
      </c>
      <c r="YP5">
        <v>81</v>
      </c>
      <c r="YQ5" s="3"/>
      <c r="YR5">
        <f t="shared" si="169"/>
        <v>58</v>
      </c>
      <c r="YS5" t="s">
        <v>569</v>
      </c>
      <c r="YT5" t="s">
        <v>570</v>
      </c>
      <c r="YU5">
        <v>10.045077323913571</v>
      </c>
      <c r="YV5">
        <v>200</v>
      </c>
      <c r="YW5" s="2"/>
      <c r="YX5">
        <f t="shared" si="170"/>
        <v>0</v>
      </c>
      <c r="YZ5" t="s">
        <v>571</v>
      </c>
      <c r="ZA5">
        <v>23.318273782730099</v>
      </c>
      <c r="ZB5">
        <v>24</v>
      </c>
      <c r="ZC5" s="3"/>
      <c r="ZD5">
        <f t="shared" si="171"/>
        <v>72</v>
      </c>
      <c r="ZE5" t="s">
        <v>572</v>
      </c>
      <c r="ZF5" t="s">
        <v>573</v>
      </c>
      <c r="ZG5">
        <v>5.9565625190734863</v>
      </c>
      <c r="ZH5">
        <v>102</v>
      </c>
      <c r="ZI5" s="2"/>
      <c r="ZJ5">
        <f t="shared" si="172"/>
        <v>80</v>
      </c>
      <c r="ZK5" t="s">
        <v>574</v>
      </c>
      <c r="ZL5" t="s">
        <v>575</v>
      </c>
      <c r="ZM5">
        <v>29.848731517791752</v>
      </c>
      <c r="ZN5">
        <v>92</v>
      </c>
      <c r="ZO5" s="3"/>
      <c r="ZP5">
        <f t="shared" si="173"/>
        <v>72</v>
      </c>
      <c r="ZQ5" t="s">
        <v>576</v>
      </c>
      <c r="ZR5" t="s">
        <v>577</v>
      </c>
      <c r="ZS5">
        <v>12.46215343475342</v>
      </c>
      <c r="ZT5">
        <v>96</v>
      </c>
      <c r="ZU5" s="2"/>
      <c r="ZV5">
        <f t="shared" si="174"/>
        <v>11</v>
      </c>
      <c r="ZW5" t="s">
        <v>578</v>
      </c>
      <c r="ZX5" t="s">
        <v>579</v>
      </c>
      <c r="ZY5">
        <v>23.501672506332401</v>
      </c>
      <c r="ZZ5">
        <v>135</v>
      </c>
      <c r="AAA5" s="3"/>
      <c r="AAB5">
        <f t="shared" si="175"/>
        <v>32</v>
      </c>
      <c r="AAC5" t="s">
        <v>580</v>
      </c>
      <c r="AAD5" t="s">
        <v>581</v>
      </c>
      <c r="AAE5">
        <v>8.7343869209289551</v>
      </c>
      <c r="AAF5">
        <v>97</v>
      </c>
      <c r="AAG5" s="2"/>
      <c r="AAH5">
        <f t="shared" si="176"/>
        <v>36</v>
      </c>
      <c r="AAI5" t="s">
        <v>582</v>
      </c>
      <c r="AAJ5" t="s">
        <v>583</v>
      </c>
      <c r="AAK5">
        <v>23.00483345985413</v>
      </c>
      <c r="AAL5">
        <v>108</v>
      </c>
      <c r="AAM5" s="3"/>
      <c r="AAN5">
        <f t="shared" si="177"/>
        <v>19</v>
      </c>
      <c r="AAO5" t="s">
        <v>584</v>
      </c>
      <c r="AAP5" t="s">
        <v>585</v>
      </c>
      <c r="AAQ5">
        <v>3.698721170425415</v>
      </c>
      <c r="AAR5">
        <v>164</v>
      </c>
      <c r="AAS5" s="2"/>
      <c r="AAT5">
        <f t="shared" si="178"/>
        <v>62</v>
      </c>
      <c r="AAU5" t="s">
        <v>586</v>
      </c>
      <c r="AAV5" t="s">
        <v>587</v>
      </c>
      <c r="AAW5">
        <v>20.661063194274899</v>
      </c>
      <c r="AAX5">
        <v>174</v>
      </c>
      <c r="AAY5" s="3"/>
      <c r="AAZ5">
        <f t="shared" si="179"/>
        <v>116</v>
      </c>
      <c r="ABA5" t="s">
        <v>588</v>
      </c>
      <c r="ABB5" t="s">
        <v>589</v>
      </c>
      <c r="ABC5">
        <v>40.398016452789307</v>
      </c>
      <c r="ABD5">
        <v>168</v>
      </c>
      <c r="ABE5" s="2"/>
      <c r="ABF5">
        <f t="shared" si="180"/>
        <v>47</v>
      </c>
      <c r="ABG5" t="s">
        <v>590</v>
      </c>
      <c r="ABH5" t="s">
        <v>591</v>
      </c>
      <c r="ABI5">
        <v>6.1371238231658944</v>
      </c>
      <c r="ABJ5">
        <v>94</v>
      </c>
      <c r="ABK5" s="6"/>
      <c r="ABL5">
        <f t="shared" si="181"/>
        <v>94</v>
      </c>
      <c r="ABM5" t="s">
        <v>592</v>
      </c>
      <c r="ABN5" t="s">
        <v>593</v>
      </c>
      <c r="ABO5">
        <v>235.8081040382385</v>
      </c>
      <c r="ABP5">
        <v>191</v>
      </c>
      <c r="ABQ5" s="2"/>
    </row>
    <row r="6" spans="1:745" x14ac:dyDescent="0.25">
      <c r="A6">
        <v>4</v>
      </c>
      <c r="B6">
        <f t="shared" si="58"/>
        <v>42</v>
      </c>
      <c r="C6" t="s">
        <v>594</v>
      </c>
      <c r="D6" t="s">
        <v>595</v>
      </c>
      <c r="E6">
        <v>17.185934543609619</v>
      </c>
      <c r="F6">
        <v>140</v>
      </c>
      <c r="G6" s="1"/>
      <c r="H6">
        <f t="shared" si="59"/>
        <v>64</v>
      </c>
      <c r="I6" t="s">
        <v>596</v>
      </c>
      <c r="J6" t="s">
        <v>597</v>
      </c>
      <c r="K6">
        <v>31.10831522941589</v>
      </c>
      <c r="L6">
        <v>196</v>
      </c>
      <c r="M6" s="2"/>
      <c r="N6">
        <f t="shared" si="60"/>
        <v>72</v>
      </c>
      <c r="O6" t="s">
        <v>598</v>
      </c>
      <c r="P6" t="s">
        <v>599</v>
      </c>
      <c r="Q6">
        <v>38.196397304534912</v>
      </c>
      <c r="R6">
        <v>174</v>
      </c>
      <c r="S6" s="3"/>
      <c r="T6">
        <f t="shared" si="61"/>
        <v>30</v>
      </c>
      <c r="U6" t="s">
        <v>600</v>
      </c>
      <c r="V6" t="s">
        <v>601</v>
      </c>
      <c r="W6">
        <v>17.57778882980347</v>
      </c>
      <c r="X6">
        <v>199</v>
      </c>
      <c r="Y6" s="2"/>
      <c r="Z6">
        <f t="shared" si="62"/>
        <v>29</v>
      </c>
      <c r="AA6" t="s">
        <v>362</v>
      </c>
      <c r="AB6" t="s">
        <v>602</v>
      </c>
      <c r="AC6">
        <v>11.131669521331791</v>
      </c>
      <c r="AD6">
        <v>159</v>
      </c>
      <c r="AE6" s="3"/>
      <c r="AF6">
        <f t="shared" si="63"/>
        <v>42</v>
      </c>
      <c r="AG6" t="s">
        <v>603</v>
      </c>
      <c r="AH6" t="s">
        <v>604</v>
      </c>
      <c r="AI6">
        <v>17.576545715332031</v>
      </c>
      <c r="AJ6">
        <v>148</v>
      </c>
      <c r="AK6" s="2"/>
      <c r="AL6">
        <f t="shared" si="64"/>
        <v>29</v>
      </c>
      <c r="AM6" t="s">
        <v>605</v>
      </c>
      <c r="AN6" t="s">
        <v>606</v>
      </c>
      <c r="AO6">
        <v>8.4658005237579346</v>
      </c>
      <c r="AP6">
        <v>147</v>
      </c>
      <c r="AQ6" s="3"/>
      <c r="AR6">
        <f t="shared" si="65"/>
        <v>64</v>
      </c>
      <c r="AS6" t="s">
        <v>607</v>
      </c>
      <c r="AT6" t="s">
        <v>608</v>
      </c>
      <c r="AU6">
        <v>213.06891489028931</v>
      </c>
      <c r="AV6">
        <v>122</v>
      </c>
      <c r="AW6" s="2"/>
      <c r="AX6">
        <f t="shared" si="66"/>
        <v>40</v>
      </c>
      <c r="AY6" t="s">
        <v>609</v>
      </c>
      <c r="AZ6" t="s">
        <v>610</v>
      </c>
      <c r="BA6">
        <v>19.755873918533329</v>
      </c>
      <c r="BB6">
        <v>132</v>
      </c>
      <c r="BC6" s="3"/>
      <c r="BD6">
        <f t="shared" si="67"/>
        <v>36</v>
      </c>
      <c r="BE6" t="s">
        <v>611</v>
      </c>
      <c r="BF6" t="s">
        <v>612</v>
      </c>
      <c r="BG6">
        <v>28.025516033172611</v>
      </c>
      <c r="BH6">
        <v>159</v>
      </c>
      <c r="BI6" s="2"/>
      <c r="BJ6">
        <f t="shared" si="68"/>
        <v>32</v>
      </c>
      <c r="BK6" t="s">
        <v>547</v>
      </c>
      <c r="BL6" t="s">
        <v>613</v>
      </c>
      <c r="BM6">
        <v>22.598403453826901</v>
      </c>
      <c r="BN6">
        <v>182</v>
      </c>
      <c r="BO6" s="3"/>
      <c r="BP6">
        <f t="shared" si="69"/>
        <v>0</v>
      </c>
      <c r="BR6" t="s">
        <v>614</v>
      </c>
      <c r="BS6">
        <v>106.9173309803009</v>
      </c>
      <c r="BT6">
        <v>165</v>
      </c>
      <c r="BU6" s="2"/>
      <c r="BV6">
        <f t="shared" si="70"/>
        <v>64</v>
      </c>
      <c r="BW6" t="s">
        <v>615</v>
      </c>
      <c r="BX6" t="s">
        <v>616</v>
      </c>
      <c r="BY6">
        <v>26.812637329101559</v>
      </c>
      <c r="BZ6">
        <v>179</v>
      </c>
      <c r="CA6" s="3"/>
      <c r="CB6">
        <f t="shared" si="71"/>
        <v>63</v>
      </c>
      <c r="CC6" t="s">
        <v>617</v>
      </c>
      <c r="CD6" t="s">
        <v>618</v>
      </c>
      <c r="CE6">
        <v>46.400006771087646</v>
      </c>
      <c r="CF6">
        <v>191</v>
      </c>
      <c r="CG6" s="2"/>
      <c r="CH6">
        <f t="shared" si="72"/>
        <v>19</v>
      </c>
      <c r="CI6" t="s">
        <v>619</v>
      </c>
      <c r="CJ6" t="s">
        <v>620</v>
      </c>
      <c r="CK6">
        <v>3.0669903755187988</v>
      </c>
      <c r="CL6">
        <v>109</v>
      </c>
      <c r="CM6" s="3"/>
      <c r="CN6">
        <f t="shared" si="73"/>
        <v>44</v>
      </c>
      <c r="CO6" t="s">
        <v>621</v>
      </c>
      <c r="CP6" t="s">
        <v>622</v>
      </c>
      <c r="CQ6">
        <v>26.460889101028439</v>
      </c>
      <c r="CR6">
        <v>130</v>
      </c>
      <c r="CS6" s="2"/>
      <c r="CT6">
        <f t="shared" si="74"/>
        <v>33</v>
      </c>
      <c r="CU6" t="s">
        <v>623</v>
      </c>
      <c r="CV6" t="s">
        <v>624</v>
      </c>
      <c r="CW6">
        <v>18.915008306503299</v>
      </c>
      <c r="CX6">
        <v>111</v>
      </c>
      <c r="CY6" s="3"/>
      <c r="CZ6">
        <f t="shared" si="75"/>
        <v>28</v>
      </c>
      <c r="DA6" t="s">
        <v>625</v>
      </c>
      <c r="DB6" t="s">
        <v>626</v>
      </c>
      <c r="DC6">
        <v>16.77512359619141</v>
      </c>
      <c r="DD6">
        <v>200</v>
      </c>
      <c r="DE6" s="2"/>
      <c r="DF6">
        <f t="shared" si="76"/>
        <v>26</v>
      </c>
      <c r="DG6" t="s">
        <v>627</v>
      </c>
      <c r="DH6" t="s">
        <v>628</v>
      </c>
      <c r="DI6">
        <v>6.0697665214538574</v>
      </c>
      <c r="DJ6">
        <v>177</v>
      </c>
      <c r="DK6" s="3"/>
      <c r="DL6">
        <f t="shared" si="77"/>
        <v>56</v>
      </c>
      <c r="DM6" t="s">
        <v>629</v>
      </c>
      <c r="DN6" t="s">
        <v>630</v>
      </c>
      <c r="DO6">
        <v>33.309166193008423</v>
      </c>
      <c r="DP6">
        <v>179</v>
      </c>
      <c r="DQ6" s="2"/>
      <c r="DR6">
        <f t="shared" si="78"/>
        <v>45</v>
      </c>
      <c r="DS6" t="s">
        <v>631</v>
      </c>
      <c r="DT6" t="s">
        <v>632</v>
      </c>
      <c r="DU6">
        <v>19.228916168212891</v>
      </c>
      <c r="DV6">
        <v>193</v>
      </c>
      <c r="DW6" s="3"/>
      <c r="DX6">
        <f t="shared" si="79"/>
        <v>63</v>
      </c>
      <c r="DY6" t="s">
        <v>633</v>
      </c>
      <c r="DZ6" t="s">
        <v>634</v>
      </c>
      <c r="EA6">
        <v>49.73621654510498</v>
      </c>
      <c r="EB6">
        <v>151</v>
      </c>
      <c r="EC6" s="2"/>
      <c r="ED6">
        <f t="shared" si="80"/>
        <v>68</v>
      </c>
      <c r="EE6" t="s">
        <v>635</v>
      </c>
      <c r="EF6" t="s">
        <v>636</v>
      </c>
      <c r="EG6">
        <v>21.62012147903442</v>
      </c>
      <c r="EH6">
        <v>161</v>
      </c>
      <c r="EI6" s="3"/>
      <c r="EJ6">
        <f t="shared" si="81"/>
        <v>77</v>
      </c>
      <c r="EK6" t="s">
        <v>637</v>
      </c>
      <c r="EL6" t="s">
        <v>638</v>
      </c>
      <c r="EM6">
        <v>140.61563730239871</v>
      </c>
      <c r="EN6">
        <v>267</v>
      </c>
      <c r="EO6" s="2"/>
      <c r="EP6">
        <f t="shared" si="82"/>
        <v>46</v>
      </c>
      <c r="EQ6" t="s">
        <v>639</v>
      </c>
      <c r="ER6" t="s">
        <v>640</v>
      </c>
      <c r="ES6">
        <v>52.778907775878913</v>
      </c>
      <c r="ET6">
        <v>229</v>
      </c>
      <c r="EU6" s="3"/>
      <c r="EV6">
        <f t="shared" si="83"/>
        <v>67</v>
      </c>
      <c r="EW6" t="s">
        <v>641</v>
      </c>
      <c r="EX6" t="s">
        <v>642</v>
      </c>
      <c r="EY6">
        <v>48.217471122741699</v>
      </c>
      <c r="EZ6">
        <v>207</v>
      </c>
      <c r="FA6" s="2"/>
      <c r="FB6">
        <f t="shared" si="84"/>
        <v>55</v>
      </c>
      <c r="FC6" t="s">
        <v>643</v>
      </c>
      <c r="FD6" t="s">
        <v>644</v>
      </c>
      <c r="FE6">
        <v>7.5793545246124268</v>
      </c>
      <c r="FF6">
        <v>141</v>
      </c>
      <c r="FG6" s="3"/>
      <c r="FH6">
        <f t="shared" si="85"/>
        <v>22</v>
      </c>
      <c r="FI6" t="s">
        <v>645</v>
      </c>
      <c r="FJ6" t="s">
        <v>646</v>
      </c>
      <c r="FK6">
        <v>17.080693006515499</v>
      </c>
      <c r="FL6">
        <v>130</v>
      </c>
      <c r="FM6" s="2"/>
      <c r="FN6">
        <f t="shared" si="86"/>
        <v>16</v>
      </c>
      <c r="FO6" t="s">
        <v>647</v>
      </c>
      <c r="FP6" t="s">
        <v>648</v>
      </c>
      <c r="FQ6">
        <v>2.2705259323120122</v>
      </c>
      <c r="FR6">
        <v>92</v>
      </c>
      <c r="FS6" s="3"/>
      <c r="FT6">
        <f t="shared" si="87"/>
        <v>59</v>
      </c>
      <c r="FU6" t="s">
        <v>649</v>
      </c>
      <c r="FV6" t="s">
        <v>650</v>
      </c>
      <c r="FW6">
        <v>25.235011339187619</v>
      </c>
      <c r="FX6">
        <v>112</v>
      </c>
      <c r="FY6" s="2"/>
      <c r="FZ6">
        <f t="shared" si="88"/>
        <v>24</v>
      </c>
      <c r="GA6" t="s">
        <v>651</v>
      </c>
      <c r="GB6" t="s">
        <v>652</v>
      </c>
      <c r="GC6">
        <v>5.9985570907592773</v>
      </c>
      <c r="GD6">
        <v>120</v>
      </c>
      <c r="GE6" s="3"/>
      <c r="GF6">
        <f t="shared" si="89"/>
        <v>40</v>
      </c>
      <c r="GG6" t="s">
        <v>653</v>
      </c>
      <c r="GH6" t="s">
        <v>654</v>
      </c>
      <c r="GI6">
        <v>39.070351600646973</v>
      </c>
      <c r="GJ6">
        <v>166</v>
      </c>
      <c r="GK6" s="2"/>
      <c r="GL6">
        <f t="shared" si="90"/>
        <v>40</v>
      </c>
      <c r="GM6" t="s">
        <v>655</v>
      </c>
      <c r="GN6" t="s">
        <v>656</v>
      </c>
      <c r="GO6">
        <v>7.1350786685943604</v>
      </c>
      <c r="GP6">
        <v>152</v>
      </c>
      <c r="GQ6" s="3"/>
      <c r="GR6">
        <f t="shared" si="91"/>
        <v>68</v>
      </c>
      <c r="GS6" t="s">
        <v>657</v>
      </c>
      <c r="GT6" t="s">
        <v>658</v>
      </c>
      <c r="GU6">
        <v>24.130842924118038</v>
      </c>
      <c r="GV6">
        <v>165</v>
      </c>
      <c r="GW6" s="2"/>
      <c r="GX6">
        <f t="shared" si="92"/>
        <v>24</v>
      </c>
      <c r="GY6" t="s">
        <v>659</v>
      </c>
      <c r="GZ6" t="s">
        <v>660</v>
      </c>
      <c r="HA6">
        <v>5.8085188865661621</v>
      </c>
      <c r="HB6">
        <v>100</v>
      </c>
      <c r="HC6" s="3"/>
      <c r="HD6">
        <f t="shared" si="93"/>
        <v>62</v>
      </c>
      <c r="HE6" t="s">
        <v>661</v>
      </c>
      <c r="HF6" t="s">
        <v>662</v>
      </c>
      <c r="HG6">
        <v>35.066420555114753</v>
      </c>
      <c r="HH6">
        <v>147</v>
      </c>
      <c r="HI6" s="2"/>
      <c r="HJ6">
        <f t="shared" si="94"/>
        <v>54</v>
      </c>
      <c r="HK6" t="s">
        <v>663</v>
      </c>
      <c r="HL6" t="s">
        <v>664</v>
      </c>
      <c r="HM6">
        <v>18.38605618476868</v>
      </c>
      <c r="HN6">
        <v>124</v>
      </c>
      <c r="HO6" s="3"/>
      <c r="HP6">
        <f t="shared" si="95"/>
        <v>33</v>
      </c>
      <c r="HQ6" t="s">
        <v>9</v>
      </c>
      <c r="HR6" t="s">
        <v>665</v>
      </c>
      <c r="HS6">
        <v>14.392593383789061</v>
      </c>
      <c r="HT6">
        <v>153</v>
      </c>
      <c r="HU6" s="2"/>
      <c r="HV6">
        <f t="shared" si="96"/>
        <v>30</v>
      </c>
      <c r="HW6" t="s">
        <v>666</v>
      </c>
      <c r="HX6" t="s">
        <v>667</v>
      </c>
      <c r="HY6">
        <v>3.8025956153869629</v>
      </c>
      <c r="HZ6">
        <v>88</v>
      </c>
      <c r="IA6" s="3"/>
      <c r="IB6">
        <f t="shared" si="97"/>
        <v>21</v>
      </c>
      <c r="IC6" t="s">
        <v>668</v>
      </c>
      <c r="ID6" t="s">
        <v>669</v>
      </c>
      <c r="IE6">
        <v>19.0463981628418</v>
      </c>
      <c r="IF6">
        <v>89</v>
      </c>
      <c r="IG6" s="2"/>
      <c r="IH6">
        <f t="shared" si="98"/>
        <v>109</v>
      </c>
      <c r="II6" t="s">
        <v>670</v>
      </c>
      <c r="IJ6" t="s">
        <v>671</v>
      </c>
      <c r="IK6">
        <v>81.780056476593018</v>
      </c>
      <c r="IL6">
        <v>177</v>
      </c>
      <c r="IM6" s="3"/>
      <c r="IN6">
        <f t="shared" si="99"/>
        <v>29</v>
      </c>
      <c r="IO6" t="s">
        <v>672</v>
      </c>
      <c r="IP6" t="s">
        <v>673</v>
      </c>
      <c r="IQ6">
        <v>21.569864273071289</v>
      </c>
      <c r="IR6">
        <v>133</v>
      </c>
      <c r="IS6" s="2"/>
      <c r="IT6">
        <f t="shared" si="100"/>
        <v>57</v>
      </c>
      <c r="IU6" t="s">
        <v>674</v>
      </c>
      <c r="IV6" t="s">
        <v>675</v>
      </c>
      <c r="IW6">
        <v>25.281177759170529</v>
      </c>
      <c r="IX6">
        <v>136</v>
      </c>
      <c r="IY6" s="3"/>
      <c r="IZ6">
        <f t="shared" si="101"/>
        <v>0</v>
      </c>
      <c r="JB6" t="s">
        <v>676</v>
      </c>
      <c r="JC6">
        <v>21.033734321594238</v>
      </c>
      <c r="JD6">
        <v>71</v>
      </c>
      <c r="JE6" s="2"/>
      <c r="JF6">
        <f t="shared" si="102"/>
        <v>33</v>
      </c>
      <c r="JG6" t="s">
        <v>677</v>
      </c>
      <c r="JH6" t="s">
        <v>678</v>
      </c>
      <c r="JI6">
        <v>25.142538547515869</v>
      </c>
      <c r="JJ6">
        <v>176</v>
      </c>
      <c r="JK6" s="3"/>
      <c r="JL6">
        <f t="shared" si="103"/>
        <v>72</v>
      </c>
      <c r="JM6" t="s">
        <v>679</v>
      </c>
      <c r="JN6" t="s">
        <v>680</v>
      </c>
      <c r="JO6">
        <v>27.852320194244381</v>
      </c>
      <c r="JP6">
        <v>167</v>
      </c>
      <c r="JQ6" s="2"/>
      <c r="JR6">
        <f t="shared" si="104"/>
        <v>48</v>
      </c>
      <c r="JS6" t="s">
        <v>681</v>
      </c>
      <c r="JT6" t="s">
        <v>682</v>
      </c>
      <c r="JU6">
        <v>14.055009841918951</v>
      </c>
      <c r="JV6">
        <v>174</v>
      </c>
      <c r="JW6" s="3"/>
      <c r="JX6">
        <f t="shared" si="105"/>
        <v>36</v>
      </c>
      <c r="JY6" t="s">
        <v>683</v>
      </c>
      <c r="JZ6" t="s">
        <v>684</v>
      </c>
      <c r="KA6">
        <v>15.48733568191528</v>
      </c>
      <c r="KB6">
        <v>177</v>
      </c>
      <c r="KC6" s="2"/>
      <c r="KD6">
        <f t="shared" si="106"/>
        <v>22</v>
      </c>
      <c r="KE6" t="s">
        <v>685</v>
      </c>
      <c r="KF6" t="s">
        <v>686</v>
      </c>
      <c r="KG6">
        <v>4.026761531829834</v>
      </c>
      <c r="KH6">
        <v>192</v>
      </c>
      <c r="KI6" s="3"/>
      <c r="KJ6">
        <f t="shared" si="107"/>
        <v>20</v>
      </c>
      <c r="KK6" t="s">
        <v>687</v>
      </c>
      <c r="KL6" t="s">
        <v>688</v>
      </c>
      <c r="KM6">
        <v>202.87969851493841</v>
      </c>
      <c r="KN6">
        <v>188</v>
      </c>
      <c r="KO6" s="2"/>
      <c r="KP6">
        <f t="shared" si="108"/>
        <v>57</v>
      </c>
      <c r="KQ6" t="s">
        <v>689</v>
      </c>
      <c r="KR6" t="s">
        <v>690</v>
      </c>
      <c r="KS6">
        <v>8.4002718925476074</v>
      </c>
      <c r="KT6">
        <v>107</v>
      </c>
      <c r="KU6" s="3"/>
      <c r="KV6">
        <f t="shared" si="109"/>
        <v>23</v>
      </c>
      <c r="KW6" t="s">
        <v>691</v>
      </c>
      <c r="KX6" t="s">
        <v>692</v>
      </c>
      <c r="KY6">
        <v>11.77871918678284</v>
      </c>
      <c r="KZ6">
        <v>110</v>
      </c>
      <c r="LA6" s="2"/>
      <c r="LB6">
        <f t="shared" si="110"/>
        <v>27</v>
      </c>
      <c r="LC6" t="s">
        <v>693</v>
      </c>
      <c r="LD6" t="s">
        <v>694</v>
      </c>
      <c r="LE6">
        <v>8.870856761932373</v>
      </c>
      <c r="LF6">
        <v>160</v>
      </c>
      <c r="LG6" s="3"/>
      <c r="LH6">
        <f t="shared" si="111"/>
        <v>39</v>
      </c>
      <c r="LI6" t="s">
        <v>695</v>
      </c>
      <c r="LJ6" t="s">
        <v>696</v>
      </c>
      <c r="LK6">
        <v>27.287750005722049</v>
      </c>
      <c r="LL6">
        <v>210</v>
      </c>
      <c r="LM6" s="2"/>
      <c r="LN6">
        <f t="shared" si="112"/>
        <v>71</v>
      </c>
      <c r="LO6" t="s">
        <v>697</v>
      </c>
      <c r="LP6" t="s">
        <v>698</v>
      </c>
      <c r="LQ6">
        <v>169.83005857467651</v>
      </c>
      <c r="LR6">
        <v>236</v>
      </c>
      <c r="LS6" s="3"/>
      <c r="LT6">
        <f t="shared" si="113"/>
        <v>72</v>
      </c>
      <c r="LU6" t="s">
        <v>699</v>
      </c>
      <c r="LV6" t="s">
        <v>700</v>
      </c>
      <c r="LW6">
        <v>48.46647047996521</v>
      </c>
      <c r="LX6">
        <v>147</v>
      </c>
      <c r="LY6" s="2"/>
      <c r="LZ6">
        <f t="shared" si="114"/>
        <v>31</v>
      </c>
      <c r="MA6" t="s">
        <v>701</v>
      </c>
      <c r="MB6" t="s">
        <v>702</v>
      </c>
      <c r="MC6">
        <v>14.38355326652527</v>
      </c>
      <c r="MD6">
        <v>135</v>
      </c>
      <c r="ME6" s="3"/>
      <c r="MF6">
        <f t="shared" si="115"/>
        <v>44</v>
      </c>
      <c r="MG6" t="s">
        <v>703</v>
      </c>
      <c r="MH6" t="s">
        <v>704</v>
      </c>
      <c r="MI6">
        <v>25.662344217300419</v>
      </c>
      <c r="MJ6">
        <v>216</v>
      </c>
      <c r="MK6" s="2"/>
      <c r="ML6">
        <f t="shared" si="116"/>
        <v>33</v>
      </c>
      <c r="MM6" t="s">
        <v>705</v>
      </c>
      <c r="MN6" t="s">
        <v>706</v>
      </c>
      <c r="MO6">
        <v>6.4318697452545166</v>
      </c>
      <c r="MP6">
        <v>108</v>
      </c>
      <c r="MQ6" s="3"/>
      <c r="MR6">
        <f t="shared" si="117"/>
        <v>34</v>
      </c>
      <c r="MS6" t="s">
        <v>707</v>
      </c>
      <c r="MT6" t="s">
        <v>708</v>
      </c>
      <c r="MU6">
        <v>14.041301488876339</v>
      </c>
      <c r="MV6">
        <v>163</v>
      </c>
      <c r="MW6" s="2"/>
      <c r="MX6">
        <f t="shared" si="118"/>
        <v>78</v>
      </c>
      <c r="MY6" t="s">
        <v>709</v>
      </c>
      <c r="MZ6" t="s">
        <v>710</v>
      </c>
      <c r="NA6">
        <v>109.436074256897</v>
      </c>
      <c r="NB6">
        <v>178</v>
      </c>
      <c r="NC6" s="3"/>
      <c r="ND6">
        <f t="shared" si="119"/>
        <v>27</v>
      </c>
      <c r="NE6" t="s">
        <v>711</v>
      </c>
      <c r="NF6" t="s">
        <v>712</v>
      </c>
      <c r="NG6">
        <v>6.4598817825317383</v>
      </c>
      <c r="NH6">
        <v>88</v>
      </c>
      <c r="NI6" s="2"/>
      <c r="NJ6">
        <f t="shared" si="120"/>
        <v>55</v>
      </c>
      <c r="NK6" t="s">
        <v>713</v>
      </c>
      <c r="NL6" t="s">
        <v>714</v>
      </c>
      <c r="NM6">
        <v>42.035865068435669</v>
      </c>
      <c r="NN6">
        <v>175</v>
      </c>
      <c r="NO6" s="3"/>
      <c r="NP6">
        <f t="shared" si="121"/>
        <v>15</v>
      </c>
      <c r="NQ6" t="s">
        <v>715</v>
      </c>
      <c r="NR6" t="s">
        <v>716</v>
      </c>
      <c r="NS6">
        <v>3.881986141204834</v>
      </c>
      <c r="NT6">
        <v>82</v>
      </c>
      <c r="NU6" s="2"/>
      <c r="NV6">
        <f t="shared" si="122"/>
        <v>54</v>
      </c>
      <c r="NW6" t="s">
        <v>717</v>
      </c>
      <c r="NX6" t="s">
        <v>718</v>
      </c>
      <c r="NY6">
        <v>28.431404829025269</v>
      </c>
      <c r="NZ6">
        <v>105</v>
      </c>
      <c r="OA6" s="3"/>
      <c r="OB6">
        <f t="shared" si="123"/>
        <v>26</v>
      </c>
      <c r="OC6" t="s">
        <v>719</v>
      </c>
      <c r="OD6" t="s">
        <v>720</v>
      </c>
      <c r="OE6">
        <v>11.13713359832764</v>
      </c>
      <c r="OF6">
        <v>87</v>
      </c>
      <c r="OG6" s="2"/>
      <c r="OH6">
        <f t="shared" si="124"/>
        <v>13</v>
      </c>
      <c r="OI6" t="s">
        <v>721</v>
      </c>
      <c r="OJ6" t="s">
        <v>722</v>
      </c>
      <c r="OK6">
        <v>24.047901630401611</v>
      </c>
      <c r="OL6">
        <v>119</v>
      </c>
      <c r="OM6" s="3"/>
      <c r="ON6">
        <f t="shared" si="125"/>
        <v>19</v>
      </c>
      <c r="OO6" t="s">
        <v>723</v>
      </c>
      <c r="OP6" t="s">
        <v>724</v>
      </c>
      <c r="OQ6">
        <v>2.7116818428039551</v>
      </c>
      <c r="OR6">
        <v>121</v>
      </c>
      <c r="OS6" s="2"/>
      <c r="OT6">
        <f t="shared" si="126"/>
        <v>66</v>
      </c>
      <c r="OU6" t="s">
        <v>725</v>
      </c>
      <c r="OV6" t="s">
        <v>726</v>
      </c>
      <c r="OW6">
        <v>225.06779098510739</v>
      </c>
      <c r="OX6">
        <v>135</v>
      </c>
      <c r="OY6" s="3"/>
      <c r="OZ6">
        <f t="shared" si="127"/>
        <v>26</v>
      </c>
      <c r="PA6" t="s">
        <v>727</v>
      </c>
      <c r="PB6" t="s">
        <v>728</v>
      </c>
      <c r="PC6">
        <v>15.188763856887819</v>
      </c>
      <c r="PD6">
        <v>113</v>
      </c>
      <c r="PE6" s="2"/>
      <c r="PF6">
        <f t="shared" si="128"/>
        <v>56</v>
      </c>
      <c r="PG6" t="s">
        <v>729</v>
      </c>
      <c r="PH6" t="s">
        <v>730</v>
      </c>
      <c r="PI6">
        <v>24.486240386962891</v>
      </c>
      <c r="PJ6">
        <v>170</v>
      </c>
      <c r="PK6" s="3"/>
      <c r="PL6">
        <f t="shared" si="129"/>
        <v>82</v>
      </c>
      <c r="PM6" t="s">
        <v>731</v>
      </c>
      <c r="PN6" t="s">
        <v>732</v>
      </c>
      <c r="PO6">
        <v>35.156845331192017</v>
      </c>
      <c r="PP6">
        <v>166</v>
      </c>
      <c r="PQ6" s="2"/>
      <c r="PR6">
        <f t="shared" si="130"/>
        <v>46</v>
      </c>
      <c r="PS6" t="s">
        <v>733</v>
      </c>
      <c r="PT6" t="s">
        <v>734</v>
      </c>
      <c r="PU6">
        <v>28.32242226600647</v>
      </c>
      <c r="PV6">
        <v>209</v>
      </c>
      <c r="PW6" s="3"/>
      <c r="PX6">
        <f t="shared" si="131"/>
        <v>45</v>
      </c>
      <c r="PY6" t="s">
        <v>735</v>
      </c>
      <c r="PZ6" t="s">
        <v>736</v>
      </c>
      <c r="QA6">
        <v>11.92615103721619</v>
      </c>
      <c r="QB6">
        <v>171</v>
      </c>
      <c r="QC6" s="2"/>
      <c r="QD6">
        <f t="shared" si="132"/>
        <v>14</v>
      </c>
      <c r="QE6" t="s">
        <v>737</v>
      </c>
      <c r="QF6" t="s">
        <v>738</v>
      </c>
      <c r="QG6">
        <v>118.6186382770538</v>
      </c>
      <c r="QH6">
        <v>127</v>
      </c>
      <c r="QI6" s="3"/>
      <c r="QJ6">
        <f t="shared" si="133"/>
        <v>28</v>
      </c>
      <c r="QK6" t="s">
        <v>739</v>
      </c>
      <c r="QL6" t="s">
        <v>740</v>
      </c>
      <c r="QM6">
        <v>21.974878549575809</v>
      </c>
      <c r="QN6">
        <v>130</v>
      </c>
      <c r="QO6" s="4"/>
      <c r="QP6">
        <f t="shared" si="134"/>
        <v>0</v>
      </c>
      <c r="QR6" t="s">
        <v>741</v>
      </c>
      <c r="QS6">
        <v>19.32895040512085</v>
      </c>
      <c r="QT6">
        <v>104</v>
      </c>
      <c r="QU6" s="3"/>
      <c r="QV6">
        <f t="shared" si="135"/>
        <v>27</v>
      </c>
      <c r="QW6" t="s">
        <v>742</v>
      </c>
      <c r="QX6" t="s">
        <v>743</v>
      </c>
      <c r="QY6">
        <v>17.178649663925171</v>
      </c>
      <c r="QZ6">
        <v>167</v>
      </c>
      <c r="RA6" s="2"/>
      <c r="RB6">
        <f t="shared" si="136"/>
        <v>94</v>
      </c>
      <c r="RC6" t="s">
        <v>744</v>
      </c>
      <c r="RD6" t="s">
        <v>745</v>
      </c>
      <c r="RE6">
        <v>114.78830051422121</v>
      </c>
      <c r="RF6">
        <v>208</v>
      </c>
      <c r="RG6" s="3"/>
      <c r="RH6">
        <f t="shared" si="137"/>
        <v>31</v>
      </c>
      <c r="RI6" t="s">
        <v>746</v>
      </c>
      <c r="RJ6" t="s">
        <v>747</v>
      </c>
      <c r="RK6">
        <v>11.21507596969604</v>
      </c>
      <c r="RL6">
        <v>103</v>
      </c>
      <c r="RM6" s="2"/>
      <c r="RN6">
        <f t="shared" si="138"/>
        <v>41</v>
      </c>
      <c r="RO6" t="s">
        <v>94</v>
      </c>
      <c r="RP6" t="s">
        <v>748</v>
      </c>
      <c r="RQ6">
        <v>16.784192800521851</v>
      </c>
      <c r="RR6">
        <v>165</v>
      </c>
      <c r="RS6" s="3"/>
      <c r="RT6">
        <f t="shared" si="139"/>
        <v>41</v>
      </c>
      <c r="RU6" t="s">
        <v>749</v>
      </c>
      <c r="RV6" t="s">
        <v>750</v>
      </c>
      <c r="RW6">
        <v>21.77562952041626</v>
      </c>
      <c r="RX6">
        <v>175</v>
      </c>
      <c r="RY6" s="2"/>
      <c r="RZ6">
        <f t="shared" si="140"/>
        <v>74</v>
      </c>
      <c r="SA6" t="s">
        <v>751</v>
      </c>
      <c r="SB6" t="s">
        <v>752</v>
      </c>
      <c r="SC6">
        <v>174.75024247169489</v>
      </c>
      <c r="SD6">
        <v>146</v>
      </c>
      <c r="SE6" s="3"/>
      <c r="SF6">
        <f t="shared" si="141"/>
        <v>51</v>
      </c>
      <c r="SG6" t="s">
        <v>753</v>
      </c>
      <c r="SH6" t="s">
        <v>754</v>
      </c>
      <c r="SI6">
        <v>11.21043276786804</v>
      </c>
      <c r="SJ6">
        <v>137</v>
      </c>
      <c r="SK6" s="2"/>
      <c r="SL6">
        <f t="shared" si="142"/>
        <v>36</v>
      </c>
      <c r="SM6" t="s">
        <v>755</v>
      </c>
      <c r="SN6" t="s">
        <v>756</v>
      </c>
      <c r="SO6">
        <v>20.898246288299561</v>
      </c>
      <c r="SP6">
        <v>206</v>
      </c>
      <c r="SQ6" s="3"/>
      <c r="SR6">
        <f t="shared" si="143"/>
        <v>26</v>
      </c>
      <c r="SS6" t="s">
        <v>757</v>
      </c>
      <c r="ST6" t="s">
        <v>758</v>
      </c>
      <c r="SU6">
        <v>12.838112354278559</v>
      </c>
      <c r="SV6">
        <v>133</v>
      </c>
      <c r="SW6" s="2"/>
      <c r="SX6">
        <f t="shared" si="144"/>
        <v>15</v>
      </c>
      <c r="SY6" t="s">
        <v>759</v>
      </c>
      <c r="SZ6" t="s">
        <v>760</v>
      </c>
      <c r="TA6">
        <v>11.36383056640625</v>
      </c>
      <c r="TB6">
        <v>106</v>
      </c>
      <c r="TC6" s="3"/>
      <c r="TD6">
        <f t="shared" si="145"/>
        <v>24</v>
      </c>
      <c r="TE6" t="s">
        <v>761</v>
      </c>
      <c r="TF6" t="s">
        <v>762</v>
      </c>
      <c r="TG6">
        <v>6.5558512210845947</v>
      </c>
      <c r="TH6">
        <v>86</v>
      </c>
      <c r="TI6" s="2"/>
      <c r="TJ6">
        <f t="shared" si="146"/>
        <v>84</v>
      </c>
      <c r="TK6" t="s">
        <v>763</v>
      </c>
      <c r="TL6" t="s">
        <v>764</v>
      </c>
      <c r="TM6">
        <v>28.026940107345581</v>
      </c>
      <c r="TN6">
        <v>196</v>
      </c>
      <c r="TO6" s="3"/>
      <c r="TP6">
        <f t="shared" si="147"/>
        <v>34</v>
      </c>
      <c r="TQ6" t="s">
        <v>765</v>
      </c>
      <c r="TR6" t="s">
        <v>766</v>
      </c>
      <c r="TS6">
        <v>5.746769905090332</v>
      </c>
      <c r="TT6">
        <v>132</v>
      </c>
      <c r="TU6" s="2"/>
      <c r="TV6">
        <f t="shared" si="148"/>
        <v>39</v>
      </c>
      <c r="TW6" t="s">
        <v>767</v>
      </c>
      <c r="TX6" t="s">
        <v>768</v>
      </c>
      <c r="TY6">
        <v>15.32801342010498</v>
      </c>
      <c r="TZ6">
        <v>134</v>
      </c>
      <c r="UA6" s="3"/>
      <c r="UB6">
        <f t="shared" si="149"/>
        <v>36</v>
      </c>
      <c r="UC6" t="s">
        <v>769</v>
      </c>
      <c r="UD6" t="s">
        <v>770</v>
      </c>
      <c r="UE6">
        <v>21.764392375946041</v>
      </c>
      <c r="UF6">
        <v>138</v>
      </c>
      <c r="UG6" s="2"/>
      <c r="UH6">
        <f t="shared" si="150"/>
        <v>21</v>
      </c>
      <c r="UI6" t="s">
        <v>771</v>
      </c>
      <c r="UJ6" t="s">
        <v>772</v>
      </c>
      <c r="UK6">
        <v>21.640904903411869</v>
      </c>
      <c r="UL6">
        <v>99</v>
      </c>
      <c r="UM6" s="3"/>
      <c r="UN6">
        <f t="shared" si="151"/>
        <v>35</v>
      </c>
      <c r="UO6" t="s">
        <v>773</v>
      </c>
      <c r="UP6" t="s">
        <v>774</v>
      </c>
      <c r="UQ6">
        <v>7.8442120552062988</v>
      </c>
      <c r="UR6">
        <v>161</v>
      </c>
      <c r="US6" s="2"/>
      <c r="UT6">
        <f t="shared" si="152"/>
        <v>72</v>
      </c>
      <c r="UU6" t="s">
        <v>775</v>
      </c>
      <c r="UV6" t="s">
        <v>776</v>
      </c>
      <c r="UW6">
        <v>24.92265796661377</v>
      </c>
      <c r="UX6">
        <v>202</v>
      </c>
      <c r="UY6" s="3"/>
      <c r="UZ6">
        <f t="shared" si="153"/>
        <v>23</v>
      </c>
      <c r="VA6" t="s">
        <v>409</v>
      </c>
      <c r="VB6" t="s">
        <v>777</v>
      </c>
      <c r="VC6">
        <v>3.8768212795257568</v>
      </c>
      <c r="VD6">
        <v>128</v>
      </c>
      <c r="VE6" s="2"/>
      <c r="VF6">
        <f t="shared" si="154"/>
        <v>31</v>
      </c>
      <c r="VG6" t="s">
        <v>778</v>
      </c>
      <c r="VH6" t="s">
        <v>779</v>
      </c>
      <c r="VI6">
        <v>15.407125949859619</v>
      </c>
      <c r="VJ6">
        <v>167</v>
      </c>
      <c r="VK6" s="3"/>
      <c r="VL6">
        <f t="shared" si="155"/>
        <v>41</v>
      </c>
      <c r="VM6" t="s">
        <v>780</v>
      </c>
      <c r="VN6" t="s">
        <v>781</v>
      </c>
      <c r="VO6">
        <v>16.51412296295166</v>
      </c>
      <c r="VP6">
        <v>203</v>
      </c>
      <c r="VQ6" s="2"/>
      <c r="VR6">
        <f t="shared" si="156"/>
        <v>25</v>
      </c>
      <c r="VS6" t="s">
        <v>782</v>
      </c>
      <c r="VT6" t="s">
        <v>783</v>
      </c>
      <c r="VU6">
        <v>14.023934841156009</v>
      </c>
      <c r="VV6">
        <v>145</v>
      </c>
      <c r="VW6" s="3"/>
      <c r="VX6">
        <f t="shared" si="157"/>
        <v>42</v>
      </c>
      <c r="VY6" t="s">
        <v>784</v>
      </c>
      <c r="VZ6" t="s">
        <v>785</v>
      </c>
      <c r="WA6">
        <v>10.38967132568359</v>
      </c>
      <c r="WB6">
        <v>229</v>
      </c>
      <c r="WC6" s="2"/>
      <c r="WD6">
        <f t="shared" si="158"/>
        <v>16</v>
      </c>
      <c r="WE6" t="s">
        <v>786</v>
      </c>
      <c r="WF6" t="s">
        <v>787</v>
      </c>
      <c r="WG6">
        <v>16.944136619567871</v>
      </c>
      <c r="WH6">
        <v>122</v>
      </c>
      <c r="WI6" s="3"/>
      <c r="WJ6">
        <f t="shared" si="159"/>
        <v>34</v>
      </c>
      <c r="WK6" t="s">
        <v>788</v>
      </c>
      <c r="WL6" t="s">
        <v>789</v>
      </c>
      <c r="WM6">
        <v>16.377443790435791</v>
      </c>
      <c r="WN6">
        <v>210</v>
      </c>
      <c r="WO6" s="2"/>
      <c r="WP6">
        <f t="shared" si="160"/>
        <v>21</v>
      </c>
      <c r="WQ6" t="s">
        <v>790</v>
      </c>
      <c r="WR6" t="s">
        <v>791</v>
      </c>
      <c r="WS6">
        <v>20.295840501785278</v>
      </c>
      <c r="WT6">
        <v>88</v>
      </c>
      <c r="WU6" s="3"/>
      <c r="WV6">
        <f t="shared" si="161"/>
        <v>36</v>
      </c>
      <c r="WW6" t="s">
        <v>792</v>
      </c>
      <c r="WX6" t="s">
        <v>793</v>
      </c>
      <c r="WY6">
        <v>16.917464256286621</v>
      </c>
      <c r="WZ6">
        <v>219</v>
      </c>
      <c r="XA6" s="2"/>
      <c r="XB6">
        <f t="shared" si="162"/>
        <v>28</v>
      </c>
      <c r="XC6" t="s">
        <v>794</v>
      </c>
      <c r="XD6" t="s">
        <v>795</v>
      </c>
      <c r="XE6">
        <v>16.541632652282711</v>
      </c>
      <c r="XF6">
        <v>195</v>
      </c>
      <c r="XG6" s="3"/>
      <c r="XH6">
        <f t="shared" si="163"/>
        <v>21</v>
      </c>
      <c r="XI6" t="s">
        <v>796</v>
      </c>
      <c r="XJ6" t="s">
        <v>797</v>
      </c>
      <c r="XK6">
        <v>4.0027310848236084</v>
      </c>
      <c r="XL6">
        <v>114</v>
      </c>
      <c r="XM6" s="2"/>
      <c r="XN6">
        <f t="shared" si="164"/>
        <v>21</v>
      </c>
      <c r="XO6" t="s">
        <v>798</v>
      </c>
      <c r="XP6" t="s">
        <v>799</v>
      </c>
      <c r="XQ6">
        <v>21.871006965637211</v>
      </c>
      <c r="XR6">
        <v>120</v>
      </c>
      <c r="XS6" s="3"/>
      <c r="XT6">
        <f t="shared" si="165"/>
        <v>33</v>
      </c>
      <c r="XU6" t="s">
        <v>800</v>
      </c>
      <c r="XV6" t="s">
        <v>801</v>
      </c>
      <c r="XW6">
        <v>6.0518231391906738</v>
      </c>
      <c r="XX6">
        <v>127</v>
      </c>
      <c r="XY6" s="2"/>
      <c r="XZ6">
        <f t="shared" si="166"/>
        <v>18</v>
      </c>
      <c r="YA6" t="s">
        <v>802</v>
      </c>
      <c r="YB6" t="s">
        <v>803</v>
      </c>
      <c r="YC6">
        <v>19.92634224891663</v>
      </c>
      <c r="YD6">
        <v>220</v>
      </c>
      <c r="YE6" s="3"/>
      <c r="YF6">
        <f t="shared" si="167"/>
        <v>36</v>
      </c>
      <c r="YG6" t="s">
        <v>804</v>
      </c>
      <c r="YH6" t="s">
        <v>805</v>
      </c>
      <c r="YI6">
        <v>7.1853904724121094</v>
      </c>
      <c r="YJ6">
        <v>168</v>
      </c>
      <c r="YK6" s="2"/>
      <c r="YL6">
        <f t="shared" si="168"/>
        <v>48</v>
      </c>
      <c r="YM6" t="s">
        <v>806</v>
      </c>
      <c r="YN6" t="s">
        <v>807</v>
      </c>
      <c r="YO6">
        <v>13.168680191040041</v>
      </c>
      <c r="YP6">
        <v>129</v>
      </c>
      <c r="YQ6" s="3"/>
      <c r="YR6">
        <f t="shared" si="169"/>
        <v>36</v>
      </c>
      <c r="YS6" t="s">
        <v>808</v>
      </c>
      <c r="YT6" t="s">
        <v>809</v>
      </c>
      <c r="YU6">
        <v>53.395416736602783</v>
      </c>
      <c r="YV6">
        <v>236</v>
      </c>
      <c r="YW6" s="2"/>
      <c r="YX6">
        <f t="shared" si="170"/>
        <v>157</v>
      </c>
      <c r="YY6" t="s">
        <v>810</v>
      </c>
      <c r="YZ6" t="s">
        <v>811</v>
      </c>
      <c r="ZA6">
        <v>31.813835620880131</v>
      </c>
      <c r="ZB6">
        <v>181</v>
      </c>
      <c r="ZC6" s="3"/>
      <c r="ZD6">
        <f t="shared" si="171"/>
        <v>50</v>
      </c>
      <c r="ZE6" t="s">
        <v>812</v>
      </c>
      <c r="ZF6" t="s">
        <v>813</v>
      </c>
      <c r="ZG6">
        <v>9.8944764137268066</v>
      </c>
      <c r="ZH6">
        <v>152</v>
      </c>
      <c r="ZI6" s="2"/>
      <c r="ZJ6">
        <f t="shared" si="172"/>
        <v>15</v>
      </c>
      <c r="ZK6" t="s">
        <v>746</v>
      </c>
      <c r="ZL6" t="s">
        <v>814</v>
      </c>
      <c r="ZM6">
        <v>14.701726198196409</v>
      </c>
      <c r="ZN6">
        <v>107</v>
      </c>
      <c r="ZO6" s="3"/>
      <c r="ZP6">
        <f t="shared" si="173"/>
        <v>34</v>
      </c>
      <c r="ZQ6" t="s">
        <v>815</v>
      </c>
      <c r="ZR6" t="s">
        <v>816</v>
      </c>
      <c r="ZS6">
        <v>10.36385655403137</v>
      </c>
      <c r="ZT6">
        <v>130</v>
      </c>
      <c r="ZU6" s="2"/>
      <c r="ZV6">
        <f t="shared" si="174"/>
        <v>48</v>
      </c>
      <c r="ZW6" t="s">
        <v>487</v>
      </c>
      <c r="ZX6" t="s">
        <v>817</v>
      </c>
      <c r="ZY6">
        <v>22.589202642440799</v>
      </c>
      <c r="ZZ6">
        <v>183</v>
      </c>
      <c r="AAA6" s="3"/>
      <c r="AAB6">
        <f t="shared" si="175"/>
        <v>33</v>
      </c>
      <c r="AAC6" t="s">
        <v>818</v>
      </c>
      <c r="AAD6" t="s">
        <v>819</v>
      </c>
      <c r="AAE6">
        <v>17.0044219493866</v>
      </c>
      <c r="AAF6">
        <v>130</v>
      </c>
      <c r="AAG6" s="2"/>
      <c r="AAH6">
        <f t="shared" si="176"/>
        <v>30</v>
      </c>
      <c r="AAI6" t="s">
        <v>820</v>
      </c>
      <c r="AAJ6" t="s">
        <v>821</v>
      </c>
      <c r="AAK6">
        <v>15.35945725440979</v>
      </c>
      <c r="AAL6">
        <v>138</v>
      </c>
      <c r="AAM6" s="3"/>
      <c r="AAN6">
        <f t="shared" si="177"/>
        <v>27</v>
      </c>
      <c r="AAO6" t="s">
        <v>822</v>
      </c>
      <c r="AAP6" t="s">
        <v>823</v>
      </c>
      <c r="AAQ6">
        <v>8.0006923675537109</v>
      </c>
      <c r="AAR6">
        <v>191</v>
      </c>
      <c r="AAS6" s="2"/>
      <c r="AAT6">
        <f t="shared" si="178"/>
        <v>38</v>
      </c>
      <c r="AAU6" t="s">
        <v>824</v>
      </c>
      <c r="AAV6" t="s">
        <v>825</v>
      </c>
      <c r="AAW6">
        <v>18.132563352584839</v>
      </c>
      <c r="AAX6">
        <v>212</v>
      </c>
      <c r="AAY6" s="3"/>
      <c r="AAZ6">
        <f t="shared" si="179"/>
        <v>50</v>
      </c>
      <c r="ABA6" t="s">
        <v>826</v>
      </c>
      <c r="ABB6" t="s">
        <v>827</v>
      </c>
      <c r="ABC6">
        <v>17.537660837173458</v>
      </c>
      <c r="ABD6">
        <v>218</v>
      </c>
      <c r="ABE6" s="2"/>
      <c r="ABF6">
        <f t="shared" si="180"/>
        <v>29</v>
      </c>
      <c r="ABG6" t="s">
        <v>828</v>
      </c>
      <c r="ABH6" t="s">
        <v>829</v>
      </c>
      <c r="ABI6">
        <v>12.715147018432621</v>
      </c>
      <c r="ABJ6">
        <v>123</v>
      </c>
      <c r="ABK6" s="6"/>
      <c r="ABL6">
        <f t="shared" si="181"/>
        <v>39</v>
      </c>
      <c r="ABM6" t="s">
        <v>830</v>
      </c>
      <c r="ABN6" t="s">
        <v>831</v>
      </c>
      <c r="ABO6">
        <v>18.203626394271851</v>
      </c>
      <c r="ABP6">
        <v>230</v>
      </c>
      <c r="ABQ6" s="2"/>
    </row>
    <row r="7" spans="1:745" x14ac:dyDescent="0.25">
      <c r="A7">
        <v>5</v>
      </c>
      <c r="B7">
        <f t="shared" si="58"/>
        <v>66</v>
      </c>
      <c r="C7" t="s">
        <v>832</v>
      </c>
      <c r="D7" t="s">
        <v>833</v>
      </c>
      <c r="E7">
        <v>29.931144714355469</v>
      </c>
      <c r="F7">
        <v>206</v>
      </c>
      <c r="G7" s="1"/>
      <c r="H7">
        <f t="shared" si="59"/>
        <v>34</v>
      </c>
      <c r="I7" t="s">
        <v>834</v>
      </c>
      <c r="J7" t="s">
        <v>835</v>
      </c>
      <c r="K7">
        <v>35.508830308914177</v>
      </c>
      <c r="L7">
        <v>230</v>
      </c>
      <c r="M7" s="2"/>
      <c r="N7">
        <f t="shared" si="60"/>
        <v>28</v>
      </c>
      <c r="O7" t="s">
        <v>836</v>
      </c>
      <c r="P7" t="s">
        <v>837</v>
      </c>
      <c r="Q7">
        <v>16.82085490226746</v>
      </c>
      <c r="R7">
        <v>202</v>
      </c>
      <c r="S7" s="3"/>
      <c r="T7">
        <f t="shared" si="61"/>
        <v>36</v>
      </c>
      <c r="U7" t="s">
        <v>838</v>
      </c>
      <c r="V7" t="s">
        <v>839</v>
      </c>
      <c r="W7">
        <v>20.37873649597168</v>
      </c>
      <c r="X7">
        <v>235</v>
      </c>
      <c r="Y7" s="2"/>
      <c r="Z7">
        <f t="shared" si="62"/>
        <v>27</v>
      </c>
      <c r="AA7" t="s">
        <v>840</v>
      </c>
      <c r="AB7" t="s">
        <v>841</v>
      </c>
      <c r="AC7">
        <v>9.077228307723999</v>
      </c>
      <c r="AD7">
        <v>186</v>
      </c>
      <c r="AE7" s="3"/>
      <c r="AF7">
        <f t="shared" si="63"/>
        <v>13</v>
      </c>
      <c r="AG7" t="s">
        <v>842</v>
      </c>
      <c r="AH7" t="s">
        <v>843</v>
      </c>
      <c r="AI7">
        <v>21.379844188690189</v>
      </c>
      <c r="AJ7">
        <v>161</v>
      </c>
      <c r="AK7" s="2"/>
      <c r="AL7">
        <f t="shared" si="64"/>
        <v>49</v>
      </c>
      <c r="AM7" t="s">
        <v>844</v>
      </c>
      <c r="AN7" t="s">
        <v>845</v>
      </c>
      <c r="AO7">
        <v>18.388459920883179</v>
      </c>
      <c r="AP7">
        <v>196</v>
      </c>
      <c r="AQ7" s="3"/>
      <c r="AR7">
        <f t="shared" si="65"/>
        <v>36</v>
      </c>
      <c r="AS7" t="s">
        <v>846</v>
      </c>
      <c r="AT7" t="s">
        <v>847</v>
      </c>
      <c r="AU7">
        <v>19.115694999694821</v>
      </c>
      <c r="AV7">
        <v>158</v>
      </c>
      <c r="AW7" s="2"/>
      <c r="AX7">
        <f t="shared" si="66"/>
        <v>32</v>
      </c>
      <c r="AY7" t="s">
        <v>848</v>
      </c>
      <c r="AZ7" t="s">
        <v>849</v>
      </c>
      <c r="BA7">
        <v>7.4302999973297119</v>
      </c>
      <c r="BB7">
        <v>164</v>
      </c>
      <c r="BC7" s="3"/>
      <c r="BD7">
        <f t="shared" si="67"/>
        <v>8</v>
      </c>
      <c r="BE7" t="s">
        <v>850</v>
      </c>
      <c r="BF7" t="s">
        <v>851</v>
      </c>
      <c r="BG7">
        <v>55.056304693222053</v>
      </c>
      <c r="BH7">
        <v>167</v>
      </c>
      <c r="BI7" s="2"/>
      <c r="BJ7">
        <f t="shared" si="68"/>
        <v>54</v>
      </c>
      <c r="BK7" t="s">
        <v>852</v>
      </c>
      <c r="BL7" t="s">
        <v>853</v>
      </c>
      <c r="BM7">
        <v>20.240059614181519</v>
      </c>
      <c r="BN7">
        <v>236</v>
      </c>
      <c r="BO7" s="3"/>
      <c r="BP7">
        <f t="shared" si="69"/>
        <v>88</v>
      </c>
      <c r="BQ7" t="s">
        <v>854</v>
      </c>
      <c r="BR7" t="s">
        <v>855</v>
      </c>
      <c r="BS7">
        <v>463.15815162658691</v>
      </c>
      <c r="BT7">
        <v>253</v>
      </c>
      <c r="BU7" s="2"/>
      <c r="BV7">
        <f t="shared" si="70"/>
        <v>47</v>
      </c>
      <c r="BW7" t="s">
        <v>856</v>
      </c>
      <c r="BX7" t="s">
        <v>857</v>
      </c>
      <c r="BY7">
        <v>132.0227196216583</v>
      </c>
      <c r="BZ7">
        <v>226</v>
      </c>
      <c r="CA7" s="3"/>
      <c r="CB7">
        <f t="shared" si="71"/>
        <v>40</v>
      </c>
      <c r="CC7" t="s">
        <v>858</v>
      </c>
      <c r="CD7" t="s">
        <v>859</v>
      </c>
      <c r="CE7">
        <v>23.472849369049069</v>
      </c>
      <c r="CF7">
        <v>231</v>
      </c>
      <c r="CG7" s="2"/>
      <c r="CH7">
        <f t="shared" si="72"/>
        <v>29</v>
      </c>
      <c r="CI7" t="s">
        <v>18</v>
      </c>
      <c r="CJ7" t="s">
        <v>860</v>
      </c>
      <c r="CK7">
        <v>7.1275606155395508</v>
      </c>
      <c r="CL7">
        <v>138</v>
      </c>
      <c r="CM7" s="3"/>
      <c r="CN7">
        <f t="shared" si="73"/>
        <v>47</v>
      </c>
      <c r="CO7" t="s">
        <v>861</v>
      </c>
      <c r="CP7" t="s">
        <v>862</v>
      </c>
      <c r="CQ7">
        <v>13.46674919128418</v>
      </c>
      <c r="CR7">
        <v>177</v>
      </c>
      <c r="CS7" s="2"/>
      <c r="CT7">
        <f t="shared" si="74"/>
        <v>25</v>
      </c>
      <c r="CU7" t="s">
        <v>863</v>
      </c>
      <c r="CV7" t="s">
        <v>864</v>
      </c>
      <c r="CW7">
        <v>10.82406425476074</v>
      </c>
      <c r="CX7">
        <v>136</v>
      </c>
      <c r="CY7" s="3"/>
      <c r="CZ7">
        <f t="shared" si="75"/>
        <v>39</v>
      </c>
      <c r="DA7" t="s">
        <v>865</v>
      </c>
      <c r="DB7" t="s">
        <v>866</v>
      </c>
      <c r="DC7">
        <v>27.913055419921879</v>
      </c>
      <c r="DD7">
        <v>239</v>
      </c>
      <c r="DE7" s="2"/>
      <c r="DF7">
        <f t="shared" si="76"/>
        <v>19</v>
      </c>
      <c r="DG7" t="s">
        <v>230</v>
      </c>
      <c r="DH7" t="s">
        <v>867</v>
      </c>
      <c r="DI7">
        <v>4.7234885692596444</v>
      </c>
      <c r="DJ7">
        <v>196</v>
      </c>
      <c r="DK7" s="3"/>
      <c r="DL7">
        <f t="shared" si="77"/>
        <v>10</v>
      </c>
      <c r="DM7" t="s">
        <v>868</v>
      </c>
      <c r="DN7" t="s">
        <v>869</v>
      </c>
      <c r="DO7">
        <v>30.334120273590091</v>
      </c>
      <c r="DP7">
        <v>189</v>
      </c>
      <c r="DQ7" s="2"/>
      <c r="DR7">
        <f t="shared" si="78"/>
        <v>24</v>
      </c>
      <c r="DS7" t="s">
        <v>870</v>
      </c>
      <c r="DT7" t="s">
        <v>871</v>
      </c>
      <c r="DU7">
        <v>5.5281872749328613</v>
      </c>
      <c r="DV7">
        <v>217</v>
      </c>
      <c r="DW7" s="3"/>
      <c r="DX7">
        <f t="shared" si="79"/>
        <v>35</v>
      </c>
      <c r="DY7" t="s">
        <v>872</v>
      </c>
      <c r="DZ7" t="s">
        <v>873</v>
      </c>
      <c r="EA7">
        <v>18.873697757720951</v>
      </c>
      <c r="EB7">
        <v>186</v>
      </c>
      <c r="EC7" s="2"/>
      <c r="ED7">
        <f t="shared" si="80"/>
        <v>45</v>
      </c>
      <c r="EE7" t="s">
        <v>874</v>
      </c>
      <c r="EF7" t="s">
        <v>875</v>
      </c>
      <c r="EG7">
        <v>23.106929540634159</v>
      </c>
      <c r="EH7">
        <v>206</v>
      </c>
      <c r="EI7" s="3"/>
      <c r="EJ7">
        <f t="shared" si="81"/>
        <v>76</v>
      </c>
      <c r="EK7" t="s">
        <v>876</v>
      </c>
      <c r="EL7" t="s">
        <v>877</v>
      </c>
      <c r="EM7">
        <v>62.444116830825813</v>
      </c>
      <c r="EN7">
        <v>343</v>
      </c>
      <c r="EO7" s="2"/>
      <c r="EP7">
        <f t="shared" si="82"/>
        <v>48</v>
      </c>
      <c r="EQ7" t="s">
        <v>878</v>
      </c>
      <c r="ER7" t="s">
        <v>879</v>
      </c>
      <c r="ES7">
        <v>8.8710091114044189</v>
      </c>
      <c r="ET7">
        <v>277</v>
      </c>
      <c r="EU7" s="3"/>
      <c r="EV7">
        <f t="shared" si="83"/>
        <v>39</v>
      </c>
      <c r="EW7" t="s">
        <v>880</v>
      </c>
      <c r="EX7" t="s">
        <v>881</v>
      </c>
      <c r="EY7">
        <v>32.477453231811523</v>
      </c>
      <c r="EZ7">
        <v>246</v>
      </c>
      <c r="FA7" s="2"/>
      <c r="FB7">
        <f t="shared" si="84"/>
        <v>34</v>
      </c>
      <c r="FC7" t="s">
        <v>882</v>
      </c>
      <c r="FD7" t="s">
        <v>883</v>
      </c>
      <c r="FE7">
        <v>6.6809461116790771</v>
      </c>
      <c r="FF7">
        <v>175</v>
      </c>
      <c r="FG7" s="3"/>
      <c r="FH7">
        <f t="shared" si="85"/>
        <v>11</v>
      </c>
      <c r="FI7" t="s">
        <v>884</v>
      </c>
      <c r="FJ7" t="s">
        <v>885</v>
      </c>
      <c r="FK7">
        <v>24.47590279579163</v>
      </c>
      <c r="FL7">
        <v>141</v>
      </c>
      <c r="FM7" s="2"/>
      <c r="FN7">
        <f t="shared" si="86"/>
        <v>60</v>
      </c>
      <c r="FO7" t="s">
        <v>886</v>
      </c>
      <c r="FP7" t="s">
        <v>887</v>
      </c>
      <c r="FQ7">
        <v>5.5725600719451904</v>
      </c>
      <c r="FR7">
        <v>152</v>
      </c>
      <c r="FS7" s="3"/>
      <c r="FT7">
        <f t="shared" si="87"/>
        <v>41</v>
      </c>
      <c r="FU7" t="s">
        <v>888</v>
      </c>
      <c r="FV7" t="s">
        <v>889</v>
      </c>
      <c r="FW7">
        <v>16.309232711791989</v>
      </c>
      <c r="FX7">
        <v>153</v>
      </c>
      <c r="FY7" s="2"/>
      <c r="FZ7">
        <f t="shared" si="88"/>
        <v>78</v>
      </c>
      <c r="GA7" t="s">
        <v>890</v>
      </c>
      <c r="GB7" t="s">
        <v>891</v>
      </c>
      <c r="GC7">
        <v>8.7604820728302002</v>
      </c>
      <c r="GD7">
        <v>198</v>
      </c>
      <c r="GE7" s="3"/>
      <c r="GF7">
        <f t="shared" si="89"/>
        <v>48</v>
      </c>
      <c r="GG7" t="s">
        <v>892</v>
      </c>
      <c r="GH7" t="s">
        <v>893</v>
      </c>
      <c r="GI7">
        <v>23.45367860794067</v>
      </c>
      <c r="GJ7">
        <v>214</v>
      </c>
      <c r="GK7" s="2"/>
      <c r="GL7">
        <f t="shared" si="90"/>
        <v>41</v>
      </c>
      <c r="GM7" t="s">
        <v>894</v>
      </c>
      <c r="GN7" t="s">
        <v>895</v>
      </c>
      <c r="GO7">
        <v>63.237149000167847</v>
      </c>
      <c r="GP7">
        <v>193</v>
      </c>
      <c r="GQ7" s="3"/>
      <c r="GR7">
        <f t="shared" si="91"/>
        <v>39</v>
      </c>
      <c r="GS7" t="s">
        <v>896</v>
      </c>
      <c r="GT7" t="s">
        <v>897</v>
      </c>
      <c r="GU7">
        <v>16.87644720077515</v>
      </c>
      <c r="GV7">
        <v>204</v>
      </c>
      <c r="GW7" s="2"/>
      <c r="GX7">
        <f t="shared" si="92"/>
        <v>39</v>
      </c>
      <c r="GY7" t="s">
        <v>898</v>
      </c>
      <c r="GZ7" t="s">
        <v>899</v>
      </c>
      <c r="HA7">
        <v>9.3761470317840576</v>
      </c>
      <c r="HB7">
        <v>139</v>
      </c>
      <c r="HC7" s="3"/>
      <c r="HD7">
        <f t="shared" si="93"/>
        <v>36</v>
      </c>
      <c r="HE7" t="s">
        <v>900</v>
      </c>
      <c r="HF7" t="s">
        <v>901</v>
      </c>
      <c r="HG7">
        <v>27.176239728927609</v>
      </c>
      <c r="HH7">
        <v>183</v>
      </c>
      <c r="HI7" s="2"/>
      <c r="HJ7">
        <f t="shared" si="94"/>
        <v>24</v>
      </c>
      <c r="HK7" t="s">
        <v>902</v>
      </c>
      <c r="HL7" t="s">
        <v>903</v>
      </c>
      <c r="HM7">
        <v>7.491361141204834</v>
      </c>
      <c r="HN7">
        <v>148</v>
      </c>
      <c r="HO7" s="3"/>
      <c r="HP7">
        <f t="shared" si="95"/>
        <v>24</v>
      </c>
      <c r="HQ7" t="s">
        <v>144</v>
      </c>
      <c r="HR7" t="s">
        <v>904</v>
      </c>
      <c r="HS7">
        <v>62.105645895004272</v>
      </c>
      <c r="HT7">
        <v>177</v>
      </c>
      <c r="HU7" s="2"/>
      <c r="HV7">
        <f t="shared" si="96"/>
        <v>22</v>
      </c>
      <c r="HW7" t="s">
        <v>905</v>
      </c>
      <c r="HX7" t="s">
        <v>906</v>
      </c>
      <c r="HY7">
        <v>8.6543395519256592</v>
      </c>
      <c r="HZ7">
        <v>110</v>
      </c>
      <c r="IA7" s="3"/>
      <c r="IB7">
        <f t="shared" si="97"/>
        <v>61</v>
      </c>
      <c r="IC7" t="s">
        <v>907</v>
      </c>
      <c r="ID7" t="s">
        <v>908</v>
      </c>
      <c r="IE7">
        <v>16.307977437973019</v>
      </c>
      <c r="IF7">
        <v>150</v>
      </c>
      <c r="IG7" s="2"/>
      <c r="IH7">
        <f t="shared" si="98"/>
        <v>32</v>
      </c>
      <c r="II7" t="s">
        <v>909</v>
      </c>
      <c r="IJ7" t="s">
        <v>910</v>
      </c>
      <c r="IK7">
        <v>9.6227567195892334</v>
      </c>
      <c r="IL7">
        <v>209</v>
      </c>
      <c r="IM7" s="3"/>
      <c r="IN7">
        <f t="shared" si="99"/>
        <v>26</v>
      </c>
      <c r="IO7" t="s">
        <v>911</v>
      </c>
      <c r="IP7" t="s">
        <v>912</v>
      </c>
      <c r="IQ7">
        <v>20.417476654052731</v>
      </c>
      <c r="IR7">
        <v>159</v>
      </c>
      <c r="IS7" s="2"/>
      <c r="IT7">
        <f t="shared" si="100"/>
        <v>32</v>
      </c>
      <c r="IU7" t="s">
        <v>913</v>
      </c>
      <c r="IV7" t="s">
        <v>914</v>
      </c>
      <c r="IW7">
        <v>69.233255863189697</v>
      </c>
      <c r="IX7">
        <v>168</v>
      </c>
      <c r="IY7" s="3"/>
      <c r="IZ7">
        <f t="shared" si="101"/>
        <v>72</v>
      </c>
      <c r="JA7" t="s">
        <v>915</v>
      </c>
      <c r="JB7" t="s">
        <v>916</v>
      </c>
      <c r="JC7">
        <v>39.991835832595832</v>
      </c>
      <c r="JD7">
        <v>143</v>
      </c>
      <c r="JE7" s="2"/>
      <c r="JF7">
        <f t="shared" si="102"/>
        <v>27</v>
      </c>
      <c r="JG7" t="s">
        <v>917</v>
      </c>
      <c r="JH7" t="s">
        <v>918</v>
      </c>
      <c r="JI7">
        <v>8.9984345436096191</v>
      </c>
      <c r="JJ7">
        <v>203</v>
      </c>
      <c r="JK7" s="3"/>
      <c r="JL7">
        <f t="shared" si="103"/>
        <v>24</v>
      </c>
      <c r="JM7" t="s">
        <v>919</v>
      </c>
      <c r="JN7" t="s">
        <v>920</v>
      </c>
      <c r="JO7">
        <v>43.277225255966187</v>
      </c>
      <c r="JP7">
        <v>191</v>
      </c>
      <c r="JQ7" s="2"/>
      <c r="JR7">
        <f t="shared" si="104"/>
        <v>28</v>
      </c>
      <c r="JS7" t="s">
        <v>921</v>
      </c>
      <c r="JT7" t="s">
        <v>922</v>
      </c>
      <c r="JU7">
        <v>32.965592384338379</v>
      </c>
      <c r="JV7">
        <v>202</v>
      </c>
      <c r="JW7" s="3"/>
      <c r="JX7">
        <f t="shared" si="105"/>
        <v>27</v>
      </c>
      <c r="JY7" t="s">
        <v>923</v>
      </c>
      <c r="JZ7" t="s">
        <v>924</v>
      </c>
      <c r="KA7">
        <v>21.219249486923221</v>
      </c>
      <c r="KB7">
        <v>204</v>
      </c>
      <c r="KC7" s="2"/>
      <c r="KD7">
        <f t="shared" si="106"/>
        <v>32</v>
      </c>
      <c r="KE7" t="s">
        <v>925</v>
      </c>
      <c r="KF7" t="s">
        <v>926</v>
      </c>
      <c r="KG7">
        <v>9.223052978515625</v>
      </c>
      <c r="KH7">
        <v>224</v>
      </c>
      <c r="KI7" s="3"/>
      <c r="KJ7">
        <f t="shared" si="107"/>
        <v>0</v>
      </c>
      <c r="KL7" t="s">
        <v>927</v>
      </c>
      <c r="KM7">
        <v>183.4196860790253</v>
      </c>
      <c r="KN7">
        <v>188</v>
      </c>
      <c r="KO7" s="2"/>
      <c r="KP7">
        <f t="shared" si="108"/>
        <v>36</v>
      </c>
      <c r="KQ7" t="s">
        <v>928</v>
      </c>
      <c r="KR7" t="s">
        <v>929</v>
      </c>
      <c r="KS7">
        <v>74.846311807632446</v>
      </c>
      <c r="KT7">
        <v>143</v>
      </c>
      <c r="KU7" s="3"/>
      <c r="KV7">
        <f t="shared" si="109"/>
        <v>60</v>
      </c>
      <c r="KW7" t="s">
        <v>930</v>
      </c>
      <c r="KX7" t="s">
        <v>931</v>
      </c>
      <c r="KY7">
        <v>25.18396162986755</v>
      </c>
      <c r="KZ7">
        <v>170</v>
      </c>
      <c r="LA7" s="2"/>
      <c r="LB7">
        <f t="shared" si="110"/>
        <v>123</v>
      </c>
      <c r="LC7" t="s">
        <v>932</v>
      </c>
      <c r="LD7" t="s">
        <v>933</v>
      </c>
      <c r="LE7">
        <v>107.3428483009338</v>
      </c>
      <c r="LF7">
        <v>283</v>
      </c>
      <c r="LG7" s="3"/>
      <c r="LH7">
        <f t="shared" si="111"/>
        <v>15</v>
      </c>
      <c r="LI7" t="s">
        <v>934</v>
      </c>
      <c r="LJ7" t="s">
        <v>935</v>
      </c>
      <c r="LK7">
        <v>38.55035138130188</v>
      </c>
      <c r="LL7">
        <v>225</v>
      </c>
      <c r="LM7" s="2"/>
      <c r="LN7">
        <f t="shared" si="112"/>
        <v>42</v>
      </c>
      <c r="LO7" t="s">
        <v>936</v>
      </c>
      <c r="LP7" t="s">
        <v>937</v>
      </c>
      <c r="LQ7">
        <v>24.15934324264526</v>
      </c>
      <c r="LR7">
        <v>278</v>
      </c>
      <c r="LS7" s="3"/>
      <c r="LT7">
        <f t="shared" si="113"/>
        <v>60</v>
      </c>
      <c r="LU7" t="s">
        <v>938</v>
      </c>
      <c r="LV7" t="s">
        <v>939</v>
      </c>
      <c r="LW7">
        <v>45.861922740936279</v>
      </c>
      <c r="LX7">
        <v>207</v>
      </c>
      <c r="LY7" s="2"/>
      <c r="LZ7">
        <f t="shared" si="114"/>
        <v>36</v>
      </c>
      <c r="MA7" t="s">
        <v>940</v>
      </c>
      <c r="MB7" t="s">
        <v>941</v>
      </c>
      <c r="MC7">
        <v>20.366529703140259</v>
      </c>
      <c r="MD7">
        <v>171</v>
      </c>
      <c r="ME7" s="3"/>
      <c r="MF7">
        <f t="shared" si="115"/>
        <v>17</v>
      </c>
      <c r="MG7" t="s">
        <v>942</v>
      </c>
      <c r="MH7" t="s">
        <v>943</v>
      </c>
      <c r="MI7">
        <v>30.45715689659119</v>
      </c>
      <c r="MJ7">
        <v>233</v>
      </c>
      <c r="MK7" s="2"/>
      <c r="ML7">
        <f t="shared" si="116"/>
        <v>32</v>
      </c>
      <c r="MM7" t="s">
        <v>944</v>
      </c>
      <c r="MN7" t="s">
        <v>945</v>
      </c>
      <c r="MO7">
        <v>10.78623414039612</v>
      </c>
      <c r="MP7">
        <v>140</v>
      </c>
      <c r="MQ7" s="3"/>
      <c r="MR7">
        <f t="shared" si="117"/>
        <v>36</v>
      </c>
      <c r="MS7" t="s">
        <v>946</v>
      </c>
      <c r="MT7" t="s">
        <v>947</v>
      </c>
      <c r="MU7">
        <v>21.495020389556881</v>
      </c>
      <c r="MV7">
        <v>199</v>
      </c>
      <c r="MW7" s="2"/>
      <c r="MX7">
        <f t="shared" si="118"/>
        <v>13</v>
      </c>
      <c r="MY7" t="s">
        <v>173</v>
      </c>
      <c r="MZ7" t="s">
        <v>948</v>
      </c>
      <c r="NA7">
        <v>29.710275650024411</v>
      </c>
      <c r="NB7">
        <v>191</v>
      </c>
      <c r="NC7" s="3"/>
      <c r="ND7">
        <f t="shared" si="119"/>
        <v>50</v>
      </c>
      <c r="NE7" t="s">
        <v>949</v>
      </c>
      <c r="NF7" t="s">
        <v>950</v>
      </c>
      <c r="NG7">
        <v>17.870706796646122</v>
      </c>
      <c r="NH7">
        <v>138</v>
      </c>
      <c r="NI7" s="2"/>
      <c r="NJ7">
        <f t="shared" si="120"/>
        <v>69</v>
      </c>
      <c r="NK7" t="s">
        <v>951</v>
      </c>
      <c r="NL7" t="s">
        <v>952</v>
      </c>
      <c r="NM7">
        <v>20.30721282958984</v>
      </c>
      <c r="NN7">
        <v>244</v>
      </c>
      <c r="NO7" s="3"/>
      <c r="NP7">
        <f t="shared" si="121"/>
        <v>45</v>
      </c>
      <c r="NQ7" t="s">
        <v>953</v>
      </c>
      <c r="NR7" t="s">
        <v>954</v>
      </c>
      <c r="NS7">
        <v>16.803988933563229</v>
      </c>
      <c r="NT7">
        <v>127</v>
      </c>
      <c r="NU7" s="2"/>
      <c r="NV7">
        <f t="shared" si="122"/>
        <v>0</v>
      </c>
      <c r="NX7" t="s">
        <v>955</v>
      </c>
      <c r="NY7">
        <v>13.93979811668396</v>
      </c>
      <c r="NZ7">
        <v>105</v>
      </c>
      <c r="OA7" s="3"/>
      <c r="OB7">
        <f t="shared" si="123"/>
        <v>25</v>
      </c>
      <c r="OC7" t="s">
        <v>956</v>
      </c>
      <c r="OD7" t="s">
        <v>957</v>
      </c>
      <c r="OE7">
        <v>17.733944416046139</v>
      </c>
      <c r="OF7">
        <v>112</v>
      </c>
      <c r="OG7" s="2"/>
      <c r="OH7">
        <f t="shared" si="124"/>
        <v>86</v>
      </c>
      <c r="OI7" t="s">
        <v>958</v>
      </c>
      <c r="OJ7" t="s">
        <v>959</v>
      </c>
      <c r="OK7">
        <v>45.668753862380981</v>
      </c>
      <c r="OL7">
        <v>205</v>
      </c>
      <c r="OM7" s="3"/>
      <c r="ON7">
        <f t="shared" si="125"/>
        <v>28</v>
      </c>
      <c r="OO7" t="s">
        <v>960</v>
      </c>
      <c r="OP7" t="s">
        <v>961</v>
      </c>
      <c r="OQ7">
        <v>5.7938268184661874</v>
      </c>
      <c r="OR7">
        <v>149</v>
      </c>
      <c r="OS7" s="2"/>
      <c r="OT7">
        <f t="shared" si="126"/>
        <v>64</v>
      </c>
      <c r="OU7" t="s">
        <v>962</v>
      </c>
      <c r="OV7" t="s">
        <v>963</v>
      </c>
      <c r="OW7">
        <v>49.188624620437622</v>
      </c>
      <c r="OX7">
        <v>199</v>
      </c>
      <c r="OY7" s="3"/>
      <c r="OZ7">
        <f t="shared" si="127"/>
        <v>60</v>
      </c>
      <c r="PA7" t="s">
        <v>964</v>
      </c>
      <c r="PB7" t="s">
        <v>965</v>
      </c>
      <c r="PC7">
        <v>5.8991072177886963</v>
      </c>
      <c r="PD7">
        <v>173</v>
      </c>
      <c r="PE7" s="2"/>
      <c r="PF7">
        <f t="shared" si="128"/>
        <v>73</v>
      </c>
      <c r="PG7" t="s">
        <v>966</v>
      </c>
      <c r="PH7" t="s">
        <v>967</v>
      </c>
      <c r="PI7">
        <v>289.29674792289728</v>
      </c>
      <c r="PJ7">
        <v>243</v>
      </c>
      <c r="PK7" s="3"/>
      <c r="PL7">
        <f t="shared" si="129"/>
        <v>60</v>
      </c>
      <c r="PM7" t="s">
        <v>968</v>
      </c>
      <c r="PN7" t="s">
        <v>969</v>
      </c>
      <c r="PO7">
        <v>31.545202016830441</v>
      </c>
      <c r="PP7">
        <v>226</v>
      </c>
      <c r="PQ7" s="2"/>
      <c r="PR7">
        <f t="shared" si="130"/>
        <v>76</v>
      </c>
      <c r="PS7" t="s">
        <v>970</v>
      </c>
      <c r="PT7" t="s">
        <v>971</v>
      </c>
      <c r="PU7">
        <v>41.138113498687737</v>
      </c>
      <c r="PV7">
        <v>285</v>
      </c>
      <c r="PW7" s="3"/>
      <c r="PX7">
        <f t="shared" si="131"/>
        <v>35</v>
      </c>
      <c r="PY7" t="s">
        <v>972</v>
      </c>
      <c r="PZ7" t="s">
        <v>973</v>
      </c>
      <c r="QA7">
        <v>21.036978006362919</v>
      </c>
      <c r="QB7">
        <v>206</v>
      </c>
      <c r="QC7" s="2"/>
      <c r="QD7">
        <f t="shared" si="132"/>
        <v>82</v>
      </c>
      <c r="QE7" t="s">
        <v>974</v>
      </c>
      <c r="QF7" t="s">
        <v>975</v>
      </c>
      <c r="QG7">
        <v>224.2716646194458</v>
      </c>
      <c r="QH7">
        <v>209</v>
      </c>
      <c r="QI7" s="3"/>
      <c r="QJ7">
        <f t="shared" si="133"/>
        <v>54</v>
      </c>
      <c r="QK7" t="s">
        <v>976</v>
      </c>
      <c r="QL7" t="s">
        <v>977</v>
      </c>
      <c r="QM7">
        <v>152.38264036178589</v>
      </c>
      <c r="QN7">
        <v>184</v>
      </c>
      <c r="QO7" s="4"/>
      <c r="QP7">
        <f t="shared" si="134"/>
        <v>134</v>
      </c>
      <c r="QQ7" t="s">
        <v>978</v>
      </c>
      <c r="QR7" t="s">
        <v>979</v>
      </c>
      <c r="QS7">
        <v>46.835110664367683</v>
      </c>
      <c r="QT7">
        <v>238</v>
      </c>
      <c r="QU7" s="3"/>
      <c r="QV7">
        <f t="shared" si="135"/>
        <v>46</v>
      </c>
      <c r="QW7" t="s">
        <v>980</v>
      </c>
      <c r="QX7" t="s">
        <v>981</v>
      </c>
      <c r="QY7">
        <v>18.238870143890381</v>
      </c>
      <c r="QZ7">
        <v>213</v>
      </c>
      <c r="RA7" s="2"/>
      <c r="RB7">
        <f t="shared" si="136"/>
        <v>41</v>
      </c>
      <c r="RC7" t="s">
        <v>982</v>
      </c>
      <c r="RD7" t="s">
        <v>983</v>
      </c>
      <c r="RE7">
        <v>28.844158411026001</v>
      </c>
      <c r="RF7">
        <v>249</v>
      </c>
      <c r="RG7" s="3"/>
      <c r="RH7">
        <f t="shared" si="137"/>
        <v>25</v>
      </c>
      <c r="RI7" t="s">
        <v>984</v>
      </c>
      <c r="RJ7" t="s">
        <v>985</v>
      </c>
      <c r="RK7">
        <v>7.6563472747802734</v>
      </c>
      <c r="RL7">
        <v>128</v>
      </c>
      <c r="RM7" s="2"/>
      <c r="RN7">
        <f t="shared" si="138"/>
        <v>22</v>
      </c>
      <c r="RO7" t="s">
        <v>986</v>
      </c>
      <c r="RP7" t="s">
        <v>987</v>
      </c>
      <c r="RQ7">
        <v>10.99500846862793</v>
      </c>
      <c r="RR7">
        <v>187</v>
      </c>
      <c r="RS7" s="3"/>
      <c r="RT7">
        <f t="shared" si="139"/>
        <v>29</v>
      </c>
      <c r="RU7" t="s">
        <v>988</v>
      </c>
      <c r="RV7" t="s">
        <v>989</v>
      </c>
      <c r="RW7">
        <v>11.519621610641479</v>
      </c>
      <c r="RX7">
        <v>204</v>
      </c>
      <c r="RY7" s="2"/>
      <c r="RZ7">
        <f t="shared" si="140"/>
        <v>88</v>
      </c>
      <c r="SA7" t="s">
        <v>990</v>
      </c>
      <c r="SB7" t="s">
        <v>991</v>
      </c>
      <c r="SC7">
        <v>30.287885665893551</v>
      </c>
      <c r="SD7">
        <v>234</v>
      </c>
      <c r="SE7" s="3"/>
      <c r="SF7">
        <f t="shared" si="141"/>
        <v>72</v>
      </c>
      <c r="SG7" t="s">
        <v>992</v>
      </c>
      <c r="SH7" t="s">
        <v>993</v>
      </c>
      <c r="SI7">
        <v>32.498907566070557</v>
      </c>
      <c r="SJ7">
        <v>209</v>
      </c>
      <c r="SK7" s="2"/>
      <c r="SL7">
        <f t="shared" si="142"/>
        <v>10</v>
      </c>
      <c r="SM7" t="s">
        <v>994</v>
      </c>
      <c r="SN7" t="s">
        <v>995</v>
      </c>
      <c r="SO7">
        <v>32.48921275138855</v>
      </c>
      <c r="SP7">
        <v>216</v>
      </c>
      <c r="SQ7" s="3"/>
      <c r="SR7">
        <f t="shared" si="143"/>
        <v>97</v>
      </c>
      <c r="SS7" t="s">
        <v>996</v>
      </c>
      <c r="ST7" t="s">
        <v>997</v>
      </c>
      <c r="SU7">
        <v>17.349071264266971</v>
      </c>
      <c r="SV7">
        <v>230</v>
      </c>
      <c r="SW7" s="2"/>
      <c r="SX7">
        <f t="shared" si="144"/>
        <v>12</v>
      </c>
      <c r="SY7" t="s">
        <v>800</v>
      </c>
      <c r="SZ7" t="s">
        <v>998</v>
      </c>
      <c r="TA7">
        <v>11.327716588974001</v>
      </c>
      <c r="TB7">
        <v>118</v>
      </c>
      <c r="TC7" s="3"/>
      <c r="TD7">
        <f t="shared" si="145"/>
        <v>37</v>
      </c>
      <c r="TE7" t="s">
        <v>999</v>
      </c>
      <c r="TF7" t="s">
        <v>1000</v>
      </c>
      <c r="TG7">
        <v>14.07744193077087</v>
      </c>
      <c r="TH7">
        <v>123</v>
      </c>
      <c r="TI7" s="2"/>
      <c r="TJ7">
        <f t="shared" si="146"/>
        <v>74</v>
      </c>
      <c r="TK7" t="s">
        <v>1001</v>
      </c>
      <c r="TL7" t="s">
        <v>1002</v>
      </c>
      <c r="TM7">
        <v>41.090107917785637</v>
      </c>
      <c r="TN7">
        <v>270</v>
      </c>
      <c r="TO7" s="3"/>
      <c r="TP7">
        <f t="shared" si="147"/>
        <v>33</v>
      </c>
      <c r="TQ7" t="s">
        <v>1003</v>
      </c>
      <c r="TR7" t="s">
        <v>1004</v>
      </c>
      <c r="TS7">
        <v>27.159072160720829</v>
      </c>
      <c r="TT7">
        <v>165</v>
      </c>
      <c r="TU7" s="2"/>
      <c r="TV7">
        <f t="shared" si="148"/>
        <v>30</v>
      </c>
      <c r="TW7" t="s">
        <v>1005</v>
      </c>
      <c r="TX7" t="s">
        <v>1006</v>
      </c>
      <c r="TY7">
        <v>25.294694423675541</v>
      </c>
      <c r="TZ7">
        <v>164</v>
      </c>
      <c r="UA7" s="3"/>
      <c r="UB7">
        <f t="shared" si="149"/>
        <v>54</v>
      </c>
      <c r="UC7" t="s">
        <v>1007</v>
      </c>
      <c r="UD7" t="s">
        <v>1008</v>
      </c>
      <c r="UE7">
        <v>20.363064050674438</v>
      </c>
      <c r="UF7">
        <v>192</v>
      </c>
      <c r="UG7" s="2"/>
      <c r="UH7">
        <f t="shared" si="150"/>
        <v>15</v>
      </c>
      <c r="UI7" t="s">
        <v>1009</v>
      </c>
      <c r="UJ7" t="s">
        <v>1010</v>
      </c>
      <c r="UK7">
        <v>19.65717792510986</v>
      </c>
      <c r="UL7">
        <v>114</v>
      </c>
      <c r="UM7" s="3"/>
      <c r="UN7">
        <f t="shared" si="151"/>
        <v>41</v>
      </c>
      <c r="UO7" t="s">
        <v>1011</v>
      </c>
      <c r="UP7" t="s">
        <v>1012</v>
      </c>
      <c r="UQ7">
        <v>22.29699277877808</v>
      </c>
      <c r="UR7">
        <v>202</v>
      </c>
      <c r="US7" s="2"/>
      <c r="UT7">
        <f t="shared" si="152"/>
        <v>45</v>
      </c>
      <c r="UU7" t="s">
        <v>1013</v>
      </c>
      <c r="UV7" t="s">
        <v>1014</v>
      </c>
      <c r="UW7">
        <v>21.366565227508541</v>
      </c>
      <c r="UX7">
        <v>247</v>
      </c>
      <c r="UY7" s="3"/>
      <c r="UZ7">
        <f t="shared" si="153"/>
        <v>30</v>
      </c>
      <c r="VA7" t="s">
        <v>1015</v>
      </c>
      <c r="VB7" t="s">
        <v>1016</v>
      </c>
      <c r="VC7">
        <v>12.84442567825317</v>
      </c>
      <c r="VD7">
        <v>158</v>
      </c>
      <c r="VE7" s="2"/>
      <c r="VF7">
        <f t="shared" si="154"/>
        <v>19</v>
      </c>
      <c r="VG7" t="s">
        <v>1017</v>
      </c>
      <c r="VH7" t="s">
        <v>1018</v>
      </c>
      <c r="VI7">
        <v>19.050720930099491</v>
      </c>
      <c r="VJ7">
        <v>186</v>
      </c>
      <c r="VK7" s="3"/>
      <c r="VL7">
        <f t="shared" si="155"/>
        <v>38</v>
      </c>
      <c r="VM7" t="s">
        <v>1019</v>
      </c>
      <c r="VN7" t="s">
        <v>1020</v>
      </c>
      <c r="VO7">
        <v>21.267694473266602</v>
      </c>
      <c r="VP7">
        <v>241</v>
      </c>
      <c r="VQ7" s="2"/>
      <c r="VR7">
        <f t="shared" si="156"/>
        <v>18</v>
      </c>
      <c r="VS7" t="s">
        <v>1021</v>
      </c>
      <c r="VT7" t="s">
        <v>1022</v>
      </c>
      <c r="VU7">
        <v>14.224260568618771</v>
      </c>
      <c r="VV7">
        <v>163</v>
      </c>
      <c r="VW7" s="3"/>
      <c r="VX7">
        <f t="shared" si="157"/>
        <v>26</v>
      </c>
      <c r="VY7" t="s">
        <v>1023</v>
      </c>
      <c r="VZ7" t="s">
        <v>1024</v>
      </c>
      <c r="WA7">
        <v>10.87419652938843</v>
      </c>
      <c r="WB7">
        <v>255</v>
      </c>
      <c r="WC7" s="2"/>
      <c r="WD7">
        <f t="shared" si="158"/>
        <v>21</v>
      </c>
      <c r="WE7" t="s">
        <v>1025</v>
      </c>
      <c r="WF7" t="s">
        <v>1026</v>
      </c>
      <c r="WG7">
        <v>17.79949069023132</v>
      </c>
      <c r="WH7">
        <v>143</v>
      </c>
      <c r="WI7" s="3"/>
      <c r="WJ7">
        <f t="shared" si="159"/>
        <v>51</v>
      </c>
      <c r="WK7" t="s">
        <v>1027</v>
      </c>
      <c r="WL7" t="s">
        <v>1028</v>
      </c>
      <c r="WM7">
        <v>27.540921449661251</v>
      </c>
      <c r="WN7">
        <v>261</v>
      </c>
      <c r="WO7" s="2"/>
      <c r="WP7">
        <f t="shared" si="160"/>
        <v>13</v>
      </c>
      <c r="WQ7" t="s">
        <v>1029</v>
      </c>
      <c r="WR7" t="s">
        <v>1030</v>
      </c>
      <c r="WS7">
        <v>21.816690921783451</v>
      </c>
      <c r="WT7">
        <v>101</v>
      </c>
      <c r="WU7" s="3"/>
      <c r="WV7">
        <f t="shared" si="161"/>
        <v>31</v>
      </c>
      <c r="WW7" t="s">
        <v>1031</v>
      </c>
      <c r="WX7" t="s">
        <v>1032</v>
      </c>
      <c r="WY7">
        <v>10.671246767044069</v>
      </c>
      <c r="WZ7">
        <v>250</v>
      </c>
      <c r="XA7" s="2"/>
      <c r="XB7">
        <f t="shared" si="162"/>
        <v>22</v>
      </c>
      <c r="XC7" t="s">
        <v>1033</v>
      </c>
      <c r="XD7" t="s">
        <v>1034</v>
      </c>
      <c r="XE7">
        <v>76.400511264801025</v>
      </c>
      <c r="XF7">
        <v>217</v>
      </c>
      <c r="XG7" s="3"/>
      <c r="XH7">
        <f t="shared" si="163"/>
        <v>29</v>
      </c>
      <c r="XI7" t="s">
        <v>1035</v>
      </c>
      <c r="XJ7" t="s">
        <v>1036</v>
      </c>
      <c r="XK7">
        <v>13.872672080993651</v>
      </c>
      <c r="XL7">
        <v>143</v>
      </c>
      <c r="XM7" s="2"/>
      <c r="XN7">
        <f t="shared" si="164"/>
        <v>0</v>
      </c>
      <c r="XP7" t="s">
        <v>1037</v>
      </c>
      <c r="XQ7">
        <v>22.56972861289978</v>
      </c>
      <c r="XR7">
        <v>120</v>
      </c>
      <c r="XS7" s="3"/>
      <c r="XT7">
        <f t="shared" si="165"/>
        <v>36</v>
      </c>
      <c r="XU7" t="s">
        <v>1038</v>
      </c>
      <c r="XV7" t="s">
        <v>1039</v>
      </c>
      <c r="XW7">
        <v>11.44539952278137</v>
      </c>
      <c r="XX7">
        <v>163</v>
      </c>
      <c r="XY7" s="2"/>
      <c r="XZ7">
        <f t="shared" si="166"/>
        <v>15</v>
      </c>
      <c r="YA7" t="s">
        <v>1040</v>
      </c>
      <c r="YB7" t="s">
        <v>1041</v>
      </c>
      <c r="YC7">
        <v>35.192682266235352</v>
      </c>
      <c r="YD7">
        <v>235</v>
      </c>
      <c r="YE7" s="3"/>
      <c r="YF7">
        <f t="shared" si="167"/>
        <v>28</v>
      </c>
      <c r="YG7" t="s">
        <v>1042</v>
      </c>
      <c r="YH7" t="s">
        <v>1043</v>
      </c>
      <c r="YI7">
        <v>5.9028654098510742</v>
      </c>
      <c r="YJ7">
        <v>196</v>
      </c>
      <c r="YK7" s="2"/>
      <c r="YL7">
        <f t="shared" si="168"/>
        <v>32</v>
      </c>
      <c r="YM7" t="s">
        <v>1044</v>
      </c>
      <c r="YN7" t="s">
        <v>1045</v>
      </c>
      <c r="YO7">
        <v>16.876332759857181</v>
      </c>
      <c r="YP7">
        <v>161</v>
      </c>
      <c r="YQ7" s="3"/>
      <c r="YR7">
        <f t="shared" si="169"/>
        <v>26</v>
      </c>
      <c r="YS7" t="s">
        <v>1046</v>
      </c>
      <c r="YT7" t="s">
        <v>1047</v>
      </c>
      <c r="YU7">
        <v>7.9215686321258536</v>
      </c>
      <c r="YV7">
        <v>262</v>
      </c>
      <c r="YW7" s="2"/>
      <c r="YX7">
        <f t="shared" si="170"/>
        <v>32</v>
      </c>
      <c r="YY7" t="s">
        <v>1048</v>
      </c>
      <c r="YZ7" t="s">
        <v>1049</v>
      </c>
      <c r="ZA7">
        <v>17.562296390533451</v>
      </c>
      <c r="ZB7">
        <v>213</v>
      </c>
      <c r="ZC7" s="3"/>
      <c r="ZD7">
        <f t="shared" si="171"/>
        <v>34</v>
      </c>
      <c r="ZE7" t="s">
        <v>1050</v>
      </c>
      <c r="ZF7" t="s">
        <v>1051</v>
      </c>
      <c r="ZG7">
        <v>4.2681009769439697</v>
      </c>
      <c r="ZH7">
        <v>186</v>
      </c>
      <c r="ZI7" s="2"/>
      <c r="ZJ7">
        <f t="shared" si="172"/>
        <v>44</v>
      </c>
      <c r="ZK7" t="s">
        <v>1052</v>
      </c>
      <c r="ZL7" t="s">
        <v>1053</v>
      </c>
      <c r="ZM7">
        <v>15.69383883476257</v>
      </c>
      <c r="ZN7">
        <v>151</v>
      </c>
      <c r="ZO7" s="3"/>
      <c r="ZP7">
        <f t="shared" si="173"/>
        <v>35</v>
      </c>
      <c r="ZQ7" t="s">
        <v>1033</v>
      </c>
      <c r="ZR7" t="s">
        <v>1054</v>
      </c>
      <c r="ZS7">
        <v>13.269981145858759</v>
      </c>
      <c r="ZT7">
        <v>165</v>
      </c>
      <c r="ZU7" s="2"/>
      <c r="ZV7">
        <f t="shared" si="174"/>
        <v>0</v>
      </c>
      <c r="ZX7" t="s">
        <v>1055</v>
      </c>
      <c r="ZY7">
        <v>19.91991019248962</v>
      </c>
      <c r="ZZ7">
        <v>183</v>
      </c>
      <c r="AAA7" s="3"/>
      <c r="AAB7">
        <f t="shared" si="175"/>
        <v>31</v>
      </c>
      <c r="AAC7" t="s">
        <v>1056</v>
      </c>
      <c r="AAD7" t="s">
        <v>1057</v>
      </c>
      <c r="AAE7">
        <v>10.20140624046326</v>
      </c>
      <c r="AAF7">
        <v>161</v>
      </c>
      <c r="AAG7" s="2"/>
      <c r="AAH7">
        <f t="shared" si="176"/>
        <v>68</v>
      </c>
      <c r="AAI7" t="s">
        <v>1058</v>
      </c>
      <c r="AAJ7" t="s">
        <v>1059</v>
      </c>
      <c r="AAK7">
        <v>36.706461906433113</v>
      </c>
      <c r="AAL7">
        <v>206</v>
      </c>
      <c r="AAM7" s="3"/>
      <c r="AAN7">
        <f t="shared" si="177"/>
        <v>33</v>
      </c>
      <c r="AAO7" t="s">
        <v>1060</v>
      </c>
      <c r="AAP7" t="s">
        <v>1061</v>
      </c>
      <c r="AAQ7">
        <v>6.7045066356658944</v>
      </c>
      <c r="AAR7">
        <v>224</v>
      </c>
      <c r="AAS7" s="2"/>
      <c r="AAT7">
        <f t="shared" si="178"/>
        <v>24</v>
      </c>
      <c r="AAU7" t="s">
        <v>51</v>
      </c>
      <c r="AAV7" t="s">
        <v>1062</v>
      </c>
      <c r="AAW7">
        <v>15.0942268371582</v>
      </c>
      <c r="AAX7">
        <v>236</v>
      </c>
      <c r="AAY7" s="3"/>
      <c r="AAZ7">
        <f t="shared" si="179"/>
        <v>100</v>
      </c>
      <c r="ABA7" t="s">
        <v>1063</v>
      </c>
      <c r="ABB7" t="s">
        <v>1064</v>
      </c>
      <c r="ABC7">
        <v>24.283528327941891</v>
      </c>
      <c r="ABD7">
        <v>318</v>
      </c>
      <c r="ABE7" s="2"/>
      <c r="ABF7">
        <f t="shared" si="180"/>
        <v>28</v>
      </c>
      <c r="ABG7" t="s">
        <v>1065</v>
      </c>
      <c r="ABH7" t="s">
        <v>1066</v>
      </c>
      <c r="ABI7">
        <v>113.1860780715942</v>
      </c>
      <c r="ABJ7">
        <v>151</v>
      </c>
      <c r="ABK7" s="6"/>
      <c r="ABL7">
        <f t="shared" si="181"/>
        <v>30</v>
      </c>
      <c r="ABM7" t="s">
        <v>578</v>
      </c>
      <c r="ABN7" t="s">
        <v>1067</v>
      </c>
      <c r="ABO7">
        <v>16.465601444244381</v>
      </c>
      <c r="ABP7">
        <v>260</v>
      </c>
      <c r="ABQ7" s="2"/>
    </row>
    <row r="8" spans="1:745" x14ac:dyDescent="0.25">
      <c r="A8">
        <v>6</v>
      </c>
      <c r="B8">
        <f t="shared" si="58"/>
        <v>66</v>
      </c>
      <c r="C8" t="s">
        <v>1068</v>
      </c>
      <c r="D8" t="s">
        <v>1069</v>
      </c>
      <c r="E8">
        <v>49.671203374862671</v>
      </c>
      <c r="F8">
        <v>272</v>
      </c>
      <c r="G8" s="1"/>
      <c r="H8">
        <f t="shared" si="59"/>
        <v>32</v>
      </c>
      <c r="I8" t="s">
        <v>1070</v>
      </c>
      <c r="J8" t="s">
        <v>1071</v>
      </c>
      <c r="K8">
        <v>23.937827825546261</v>
      </c>
      <c r="L8">
        <v>262</v>
      </c>
      <c r="M8" s="2"/>
      <c r="N8">
        <f t="shared" si="60"/>
        <v>30</v>
      </c>
      <c r="O8" t="s">
        <v>1072</v>
      </c>
      <c r="P8" t="s">
        <v>1073</v>
      </c>
      <c r="Q8">
        <v>9.4131183624267578</v>
      </c>
      <c r="R8">
        <v>232</v>
      </c>
      <c r="S8" s="3"/>
      <c r="T8">
        <f t="shared" si="61"/>
        <v>9</v>
      </c>
      <c r="U8" t="s">
        <v>1074</v>
      </c>
      <c r="V8" t="s">
        <v>1075</v>
      </c>
      <c r="W8">
        <v>24.591006517410278</v>
      </c>
      <c r="X8">
        <v>244</v>
      </c>
      <c r="Y8" s="2"/>
      <c r="Z8">
        <f t="shared" si="62"/>
        <v>30</v>
      </c>
      <c r="AA8" t="s">
        <v>1076</v>
      </c>
      <c r="AB8" t="s">
        <v>1077</v>
      </c>
      <c r="AC8">
        <v>13.743799686431879</v>
      </c>
      <c r="AD8">
        <v>216</v>
      </c>
      <c r="AE8" s="3"/>
      <c r="AF8">
        <f t="shared" si="63"/>
        <v>14</v>
      </c>
      <c r="AG8" t="s">
        <v>1078</v>
      </c>
      <c r="AH8" t="s">
        <v>1079</v>
      </c>
      <c r="AI8">
        <v>24.92926549911499</v>
      </c>
      <c r="AJ8">
        <v>175</v>
      </c>
      <c r="AK8" s="2"/>
      <c r="AL8">
        <f t="shared" si="64"/>
        <v>43</v>
      </c>
      <c r="AM8" t="s">
        <v>1052</v>
      </c>
      <c r="AN8" t="s">
        <v>1080</v>
      </c>
      <c r="AO8">
        <v>68.414920091629028</v>
      </c>
      <c r="AP8">
        <v>239</v>
      </c>
      <c r="AQ8" s="3"/>
      <c r="AR8">
        <f t="shared" si="65"/>
        <v>54</v>
      </c>
      <c r="AS8" t="s">
        <v>1081</v>
      </c>
      <c r="AT8" t="s">
        <v>1082</v>
      </c>
      <c r="AU8">
        <v>29.089002847671509</v>
      </c>
      <c r="AV8">
        <v>212</v>
      </c>
      <c r="AW8" s="2"/>
      <c r="AX8">
        <f t="shared" si="66"/>
        <v>33</v>
      </c>
      <c r="AY8" t="s">
        <v>1083</v>
      </c>
      <c r="AZ8" t="s">
        <v>1084</v>
      </c>
      <c r="BA8">
        <v>9.5678613185882568</v>
      </c>
      <c r="BB8">
        <v>197</v>
      </c>
      <c r="BC8" s="3"/>
      <c r="BD8">
        <f t="shared" si="67"/>
        <v>94</v>
      </c>
      <c r="BE8" t="s">
        <v>1085</v>
      </c>
      <c r="BF8" t="s">
        <v>1086</v>
      </c>
      <c r="BG8">
        <v>49.911995649337769</v>
      </c>
      <c r="BH8">
        <v>261</v>
      </c>
      <c r="BI8" s="2"/>
      <c r="BJ8">
        <f t="shared" si="68"/>
        <v>39</v>
      </c>
      <c r="BK8" t="s">
        <v>1087</v>
      </c>
      <c r="BL8" t="s">
        <v>1088</v>
      </c>
      <c r="BM8">
        <v>12.685622692108151</v>
      </c>
      <c r="BN8">
        <v>275</v>
      </c>
      <c r="BO8" s="3"/>
      <c r="BP8">
        <f t="shared" si="69"/>
        <v>31</v>
      </c>
      <c r="BQ8" t="s">
        <v>1089</v>
      </c>
      <c r="BR8" t="s">
        <v>1090</v>
      </c>
      <c r="BS8">
        <v>43.97993540763855</v>
      </c>
      <c r="BT8">
        <v>284</v>
      </c>
      <c r="BU8" s="2"/>
      <c r="BV8">
        <f t="shared" si="70"/>
        <v>30</v>
      </c>
      <c r="BW8" t="s">
        <v>387</v>
      </c>
      <c r="BX8" t="s">
        <v>1091</v>
      </c>
      <c r="BY8">
        <v>15.2804639339447</v>
      </c>
      <c r="BZ8">
        <v>256</v>
      </c>
      <c r="CA8" s="3"/>
      <c r="CB8">
        <f t="shared" si="71"/>
        <v>64</v>
      </c>
      <c r="CC8" t="s">
        <v>1092</v>
      </c>
      <c r="CD8" t="s">
        <v>1093</v>
      </c>
      <c r="CE8">
        <v>27.468512535095211</v>
      </c>
      <c r="CF8">
        <v>295</v>
      </c>
      <c r="CG8" s="2"/>
      <c r="CH8">
        <f t="shared" si="72"/>
        <v>34</v>
      </c>
      <c r="CI8" t="s">
        <v>1094</v>
      </c>
      <c r="CJ8" t="s">
        <v>1095</v>
      </c>
      <c r="CK8">
        <v>15.863154649734501</v>
      </c>
      <c r="CL8">
        <v>172</v>
      </c>
      <c r="CM8" s="3"/>
      <c r="CN8">
        <f t="shared" si="73"/>
        <v>31</v>
      </c>
      <c r="CO8" t="s">
        <v>501</v>
      </c>
      <c r="CP8" t="s">
        <v>1096</v>
      </c>
      <c r="CQ8">
        <v>13.93181133270264</v>
      </c>
      <c r="CR8">
        <v>208</v>
      </c>
      <c r="CS8" s="2"/>
      <c r="CT8">
        <f t="shared" si="74"/>
        <v>36</v>
      </c>
      <c r="CU8" t="s">
        <v>1097</v>
      </c>
      <c r="CV8" t="s">
        <v>1098</v>
      </c>
      <c r="CW8">
        <v>8.2984411716461182</v>
      </c>
      <c r="CX8">
        <v>172</v>
      </c>
      <c r="CY8" s="3"/>
      <c r="CZ8">
        <f t="shared" si="75"/>
        <v>85</v>
      </c>
      <c r="DA8" t="s">
        <v>1099</v>
      </c>
      <c r="DB8" t="s">
        <v>1100</v>
      </c>
      <c r="DC8">
        <v>244.58509039878851</v>
      </c>
      <c r="DD8">
        <v>324</v>
      </c>
      <c r="DE8" s="2"/>
      <c r="DF8">
        <f t="shared" si="76"/>
        <v>34</v>
      </c>
      <c r="DG8" t="s">
        <v>1101</v>
      </c>
      <c r="DH8" t="s">
        <v>1102</v>
      </c>
      <c r="DI8">
        <v>15.47716236114502</v>
      </c>
      <c r="DJ8">
        <v>230</v>
      </c>
      <c r="DK8" s="3"/>
      <c r="DL8">
        <f t="shared" si="77"/>
        <v>18</v>
      </c>
      <c r="DM8" t="s">
        <v>868</v>
      </c>
      <c r="DN8" t="s">
        <v>1103</v>
      </c>
      <c r="DO8">
        <v>303.57332468032843</v>
      </c>
      <c r="DP8">
        <v>207</v>
      </c>
      <c r="DQ8" s="2"/>
      <c r="DR8">
        <f t="shared" si="78"/>
        <v>28</v>
      </c>
      <c r="DS8" t="s">
        <v>1104</v>
      </c>
      <c r="DT8" t="s">
        <v>1105</v>
      </c>
      <c r="DU8">
        <v>20.209807395935059</v>
      </c>
      <c r="DV8">
        <v>245</v>
      </c>
      <c r="DW8" s="3"/>
      <c r="DX8">
        <f t="shared" si="79"/>
        <v>26</v>
      </c>
      <c r="DY8" t="s">
        <v>1106</v>
      </c>
      <c r="DZ8" t="s">
        <v>1107</v>
      </c>
      <c r="EA8">
        <v>20.371555089950562</v>
      </c>
      <c r="EB8">
        <v>212</v>
      </c>
      <c r="EC8" s="2"/>
      <c r="ED8">
        <f t="shared" si="80"/>
        <v>63</v>
      </c>
      <c r="EE8" t="s">
        <v>1108</v>
      </c>
      <c r="EF8" t="s">
        <v>1109</v>
      </c>
      <c r="EG8">
        <v>52.964107990264893</v>
      </c>
      <c r="EH8">
        <v>269</v>
      </c>
      <c r="EI8" s="3"/>
      <c r="EJ8">
        <f t="shared" si="81"/>
        <v>35</v>
      </c>
      <c r="EK8" t="s">
        <v>351</v>
      </c>
      <c r="EL8" t="s">
        <v>1110</v>
      </c>
      <c r="EM8">
        <v>15.7175669670105</v>
      </c>
      <c r="EN8">
        <v>378</v>
      </c>
      <c r="EO8" s="2"/>
      <c r="EP8">
        <f t="shared" si="82"/>
        <v>32</v>
      </c>
      <c r="EQ8" t="s">
        <v>1111</v>
      </c>
      <c r="ER8" t="s">
        <v>1112</v>
      </c>
      <c r="ES8">
        <v>13.960161924362181</v>
      </c>
      <c r="ET8">
        <v>309</v>
      </c>
      <c r="EU8" s="3"/>
      <c r="EV8">
        <f t="shared" si="83"/>
        <v>24</v>
      </c>
      <c r="EW8" t="s">
        <v>1113</v>
      </c>
      <c r="EX8" t="s">
        <v>1114</v>
      </c>
      <c r="EY8">
        <v>15.44724488258362</v>
      </c>
      <c r="EZ8">
        <v>270</v>
      </c>
      <c r="FA8" s="2"/>
      <c r="FB8">
        <f t="shared" si="84"/>
        <v>45</v>
      </c>
      <c r="FC8" t="s">
        <v>1115</v>
      </c>
      <c r="FD8" t="s">
        <v>1116</v>
      </c>
      <c r="FE8">
        <v>18.337473630905151</v>
      </c>
      <c r="FF8">
        <v>220</v>
      </c>
      <c r="FG8" s="3"/>
      <c r="FH8">
        <f t="shared" si="85"/>
        <v>31</v>
      </c>
      <c r="FI8" t="s">
        <v>1117</v>
      </c>
      <c r="FJ8" t="s">
        <v>1118</v>
      </c>
      <c r="FK8">
        <v>32.228921890258789</v>
      </c>
      <c r="FL8">
        <v>172</v>
      </c>
      <c r="FM8" s="2"/>
      <c r="FN8">
        <f t="shared" si="86"/>
        <v>42</v>
      </c>
      <c r="FO8" t="s">
        <v>1119</v>
      </c>
      <c r="FP8" t="s">
        <v>1120</v>
      </c>
      <c r="FQ8">
        <v>17.35751104354858</v>
      </c>
      <c r="FR8">
        <v>194</v>
      </c>
      <c r="FS8" s="3"/>
      <c r="FT8">
        <f t="shared" si="87"/>
        <v>122</v>
      </c>
      <c r="FU8" t="s">
        <v>1121</v>
      </c>
      <c r="FV8" t="s">
        <v>1122</v>
      </c>
      <c r="FW8">
        <v>31.051738500595089</v>
      </c>
      <c r="FX8">
        <v>275</v>
      </c>
      <c r="FY8" s="2"/>
      <c r="FZ8">
        <f t="shared" si="88"/>
        <v>44</v>
      </c>
      <c r="GA8" t="s">
        <v>1123</v>
      </c>
      <c r="GB8" t="s">
        <v>1124</v>
      </c>
      <c r="GC8">
        <v>179.87332367897031</v>
      </c>
      <c r="GD8">
        <v>242</v>
      </c>
      <c r="GE8" s="3"/>
      <c r="GF8">
        <f t="shared" si="89"/>
        <v>23</v>
      </c>
      <c r="GG8" t="s">
        <v>1125</v>
      </c>
      <c r="GH8" t="s">
        <v>1126</v>
      </c>
      <c r="GI8">
        <v>17.066082954406738</v>
      </c>
      <c r="GJ8">
        <v>237</v>
      </c>
      <c r="GK8" s="2"/>
      <c r="GL8">
        <f t="shared" si="90"/>
        <v>33</v>
      </c>
      <c r="GM8" t="s">
        <v>1127</v>
      </c>
      <c r="GN8" t="s">
        <v>1128</v>
      </c>
      <c r="GO8">
        <v>13.80820536613464</v>
      </c>
      <c r="GP8">
        <v>226</v>
      </c>
      <c r="GQ8" s="3"/>
      <c r="GR8">
        <f t="shared" si="91"/>
        <v>20</v>
      </c>
      <c r="GS8" t="s">
        <v>1129</v>
      </c>
      <c r="GT8" t="s">
        <v>1130</v>
      </c>
      <c r="GU8">
        <v>17.936383962631229</v>
      </c>
      <c r="GV8">
        <v>224</v>
      </c>
      <c r="GW8" s="2"/>
      <c r="GX8">
        <f t="shared" si="92"/>
        <v>51</v>
      </c>
      <c r="GY8" t="s">
        <v>1131</v>
      </c>
      <c r="GZ8" t="s">
        <v>1132</v>
      </c>
      <c r="HA8">
        <v>8.6481354236602783</v>
      </c>
      <c r="HB8">
        <v>190</v>
      </c>
      <c r="HC8" s="3"/>
      <c r="HD8">
        <f t="shared" si="93"/>
        <v>37</v>
      </c>
      <c r="HE8" t="s">
        <v>327</v>
      </c>
      <c r="HF8" t="s">
        <v>1133</v>
      </c>
      <c r="HG8">
        <v>23.731012582778931</v>
      </c>
      <c r="HH8">
        <v>220</v>
      </c>
      <c r="HI8" s="2"/>
      <c r="HJ8">
        <f t="shared" si="94"/>
        <v>31</v>
      </c>
      <c r="HK8" t="s">
        <v>1134</v>
      </c>
      <c r="HL8" t="s">
        <v>1135</v>
      </c>
      <c r="HM8">
        <v>7.8548789024353027</v>
      </c>
      <c r="HN8">
        <v>179</v>
      </c>
      <c r="HO8" s="3"/>
      <c r="HP8">
        <f t="shared" si="95"/>
        <v>7</v>
      </c>
      <c r="HQ8" t="s">
        <v>1136</v>
      </c>
      <c r="HR8" t="s">
        <v>1137</v>
      </c>
      <c r="HS8">
        <v>128.32097315788269</v>
      </c>
      <c r="HT8">
        <v>184</v>
      </c>
      <c r="HU8" s="2"/>
      <c r="HV8">
        <f t="shared" si="96"/>
        <v>124</v>
      </c>
      <c r="HW8" t="s">
        <v>1138</v>
      </c>
      <c r="HX8" t="s">
        <v>1139</v>
      </c>
      <c r="HY8">
        <v>220.3679430484772</v>
      </c>
      <c r="HZ8">
        <v>234</v>
      </c>
      <c r="IA8" s="3"/>
      <c r="IB8">
        <f t="shared" si="97"/>
        <v>62</v>
      </c>
      <c r="IC8" t="s">
        <v>1140</v>
      </c>
      <c r="ID8" t="s">
        <v>1141</v>
      </c>
      <c r="IE8">
        <v>17.72283935546875</v>
      </c>
      <c r="IF8">
        <v>212</v>
      </c>
      <c r="IG8" s="2"/>
      <c r="IH8">
        <f t="shared" si="98"/>
        <v>37</v>
      </c>
      <c r="II8" t="s">
        <v>1142</v>
      </c>
      <c r="IJ8" t="s">
        <v>1143</v>
      </c>
      <c r="IK8">
        <v>16.98833179473877</v>
      </c>
      <c r="IL8">
        <v>246</v>
      </c>
      <c r="IM8" s="3"/>
      <c r="IN8">
        <f t="shared" si="99"/>
        <v>39</v>
      </c>
      <c r="IO8" t="s">
        <v>1144</v>
      </c>
      <c r="IP8" t="s">
        <v>1145</v>
      </c>
      <c r="IQ8">
        <v>19.166572093963619</v>
      </c>
      <c r="IR8">
        <v>198</v>
      </c>
      <c r="IS8" s="2"/>
      <c r="IT8">
        <f t="shared" si="100"/>
        <v>26</v>
      </c>
      <c r="IU8" t="s">
        <v>1146</v>
      </c>
      <c r="IV8" t="s">
        <v>1147</v>
      </c>
      <c r="IW8">
        <v>7.7742772102355957</v>
      </c>
      <c r="IX8">
        <v>194</v>
      </c>
      <c r="IY8" s="3"/>
      <c r="IZ8">
        <f t="shared" si="101"/>
        <v>12</v>
      </c>
      <c r="JA8" t="s">
        <v>1148</v>
      </c>
      <c r="JB8" t="s">
        <v>1149</v>
      </c>
      <c r="JC8">
        <v>17.373282670974731</v>
      </c>
      <c r="JD8">
        <v>155</v>
      </c>
      <c r="JE8" s="2"/>
      <c r="JF8">
        <f t="shared" si="102"/>
        <v>23</v>
      </c>
      <c r="JG8" t="s">
        <v>1150</v>
      </c>
      <c r="JH8" t="s">
        <v>1151</v>
      </c>
      <c r="JI8">
        <v>13.7461314201355</v>
      </c>
      <c r="JJ8">
        <v>226</v>
      </c>
      <c r="JK8" s="3"/>
      <c r="JL8">
        <f t="shared" si="103"/>
        <v>5</v>
      </c>
      <c r="JM8" t="s">
        <v>501</v>
      </c>
      <c r="JN8" t="s">
        <v>1152</v>
      </c>
      <c r="JO8">
        <v>27.07805156707764</v>
      </c>
      <c r="JP8">
        <v>196</v>
      </c>
      <c r="JQ8" s="2"/>
      <c r="JR8">
        <f t="shared" si="104"/>
        <v>82</v>
      </c>
      <c r="JS8" t="s">
        <v>1153</v>
      </c>
      <c r="JT8" t="s">
        <v>1154</v>
      </c>
      <c r="JU8">
        <v>48.632626533508301</v>
      </c>
      <c r="JV8">
        <v>284</v>
      </c>
      <c r="JW8" s="3"/>
      <c r="JX8">
        <f t="shared" si="105"/>
        <v>78</v>
      </c>
      <c r="JY8" t="s">
        <v>1155</v>
      </c>
      <c r="JZ8" t="s">
        <v>1156</v>
      </c>
      <c r="KA8">
        <v>49.382445335388176</v>
      </c>
      <c r="KB8">
        <v>282</v>
      </c>
      <c r="KC8" s="2"/>
      <c r="KD8">
        <f t="shared" si="106"/>
        <v>31</v>
      </c>
      <c r="KE8" t="s">
        <v>1157</v>
      </c>
      <c r="KF8" t="s">
        <v>1158</v>
      </c>
      <c r="KG8">
        <v>11.07801485061646</v>
      </c>
      <c r="KH8">
        <v>255</v>
      </c>
      <c r="KI8" s="3"/>
      <c r="KJ8">
        <f t="shared" si="107"/>
        <v>72</v>
      </c>
      <c r="KK8" t="s">
        <v>1159</v>
      </c>
      <c r="KL8" t="s">
        <v>1160</v>
      </c>
      <c r="KM8">
        <v>454.89389133453369</v>
      </c>
      <c r="KN8">
        <v>260</v>
      </c>
      <c r="KO8" s="2"/>
      <c r="KP8">
        <f t="shared" si="108"/>
        <v>27</v>
      </c>
      <c r="KQ8" t="s">
        <v>1161</v>
      </c>
      <c r="KR8" t="s">
        <v>1162</v>
      </c>
      <c r="KS8">
        <v>7.1162846088409424</v>
      </c>
      <c r="KT8">
        <v>170</v>
      </c>
      <c r="KU8" s="3"/>
      <c r="KV8">
        <f t="shared" si="109"/>
        <v>21</v>
      </c>
      <c r="KW8" t="s">
        <v>1163</v>
      </c>
      <c r="KX8" t="s">
        <v>1164</v>
      </c>
      <c r="KY8">
        <v>19.51037502288818</v>
      </c>
      <c r="KZ8">
        <v>191</v>
      </c>
      <c r="LA8" s="2"/>
      <c r="LB8">
        <f t="shared" si="110"/>
        <v>56</v>
      </c>
      <c r="LC8" t="s">
        <v>1165</v>
      </c>
      <c r="LD8" t="s">
        <v>1166</v>
      </c>
      <c r="LE8">
        <v>47.459491014480591</v>
      </c>
      <c r="LF8">
        <v>339</v>
      </c>
      <c r="LG8" s="3"/>
      <c r="LH8">
        <f t="shared" si="111"/>
        <v>10</v>
      </c>
      <c r="LI8" t="s">
        <v>1167</v>
      </c>
      <c r="LJ8" t="s">
        <v>1168</v>
      </c>
      <c r="LK8">
        <v>24.8168830871582</v>
      </c>
      <c r="LL8">
        <v>235</v>
      </c>
      <c r="LM8" s="2"/>
      <c r="LN8">
        <f t="shared" si="112"/>
        <v>40</v>
      </c>
      <c r="LO8" t="s">
        <v>1169</v>
      </c>
      <c r="LP8" t="s">
        <v>1170</v>
      </c>
      <c r="LQ8">
        <v>36.157781362533569</v>
      </c>
      <c r="LR8">
        <v>318</v>
      </c>
      <c r="LS8" s="3"/>
      <c r="LT8">
        <f t="shared" si="113"/>
        <v>47</v>
      </c>
      <c r="LU8" t="s">
        <v>1171</v>
      </c>
      <c r="LV8" t="s">
        <v>1172</v>
      </c>
      <c r="LW8">
        <v>23.369169235229489</v>
      </c>
      <c r="LX8">
        <v>254</v>
      </c>
      <c r="LY8" s="2"/>
      <c r="LZ8">
        <f t="shared" si="114"/>
        <v>54</v>
      </c>
      <c r="MA8" t="s">
        <v>1173</v>
      </c>
      <c r="MB8" t="s">
        <v>1174</v>
      </c>
      <c r="MC8">
        <v>12.144894599914551</v>
      </c>
      <c r="MD8">
        <v>225</v>
      </c>
      <c r="ME8" s="3"/>
      <c r="MF8">
        <f t="shared" si="115"/>
        <v>88</v>
      </c>
      <c r="MG8" t="s">
        <v>1175</v>
      </c>
      <c r="MH8" t="s">
        <v>1176</v>
      </c>
      <c r="MI8">
        <v>208.86523818969729</v>
      </c>
      <c r="MJ8">
        <v>321</v>
      </c>
      <c r="MK8" s="2"/>
      <c r="ML8">
        <f t="shared" si="116"/>
        <v>24</v>
      </c>
      <c r="MM8" t="s">
        <v>1177</v>
      </c>
      <c r="MN8" t="s">
        <v>1178</v>
      </c>
      <c r="MO8">
        <v>8.7240221500396729</v>
      </c>
      <c r="MP8">
        <v>164</v>
      </c>
      <c r="MQ8" s="3"/>
      <c r="MR8">
        <f t="shared" si="117"/>
        <v>72</v>
      </c>
      <c r="MS8" t="s">
        <v>1179</v>
      </c>
      <c r="MT8" t="s">
        <v>1180</v>
      </c>
      <c r="MU8">
        <v>23.168657541275021</v>
      </c>
      <c r="MV8">
        <v>271</v>
      </c>
      <c r="MW8" s="2"/>
      <c r="MX8">
        <f t="shared" si="118"/>
        <v>12</v>
      </c>
      <c r="MY8" t="s">
        <v>230</v>
      </c>
      <c r="MZ8" t="s">
        <v>1181</v>
      </c>
      <c r="NA8">
        <v>25.437999248504639</v>
      </c>
      <c r="NB8">
        <v>203</v>
      </c>
      <c r="NC8" s="3"/>
      <c r="ND8">
        <f t="shared" si="119"/>
        <v>30</v>
      </c>
      <c r="NE8" t="s">
        <v>1182</v>
      </c>
      <c r="NF8" t="s">
        <v>1183</v>
      </c>
      <c r="NG8">
        <v>6.8155570030212402</v>
      </c>
      <c r="NH8">
        <v>168</v>
      </c>
      <c r="NI8" s="2"/>
      <c r="NJ8">
        <f t="shared" si="120"/>
        <v>48</v>
      </c>
      <c r="NK8" t="s">
        <v>1184</v>
      </c>
      <c r="NL8" t="s">
        <v>1185</v>
      </c>
      <c r="NM8">
        <v>21.106000661849979</v>
      </c>
      <c r="NN8">
        <v>292</v>
      </c>
      <c r="NO8" s="3"/>
      <c r="NP8">
        <f t="shared" si="121"/>
        <v>30</v>
      </c>
      <c r="NQ8" t="s">
        <v>1186</v>
      </c>
      <c r="NR8" t="s">
        <v>1187</v>
      </c>
      <c r="NS8">
        <v>11.20630550384521</v>
      </c>
      <c r="NT8">
        <v>157</v>
      </c>
      <c r="NU8" s="2"/>
      <c r="NV8">
        <f t="shared" si="122"/>
        <v>34</v>
      </c>
      <c r="NW8" t="s">
        <v>1188</v>
      </c>
      <c r="NX8" t="s">
        <v>1189</v>
      </c>
      <c r="NY8">
        <v>28.779229879379269</v>
      </c>
      <c r="NZ8">
        <v>139</v>
      </c>
      <c r="OA8" s="3"/>
      <c r="OB8">
        <f t="shared" si="123"/>
        <v>20</v>
      </c>
      <c r="OC8" t="s">
        <v>1190</v>
      </c>
      <c r="OD8" t="s">
        <v>1191</v>
      </c>
      <c r="OE8">
        <v>9.0281624794006348</v>
      </c>
      <c r="OF8">
        <v>132</v>
      </c>
      <c r="OG8" s="2"/>
      <c r="OH8">
        <f t="shared" si="124"/>
        <v>64</v>
      </c>
      <c r="OI8" t="s">
        <v>1192</v>
      </c>
      <c r="OJ8" t="s">
        <v>1193</v>
      </c>
      <c r="OK8">
        <v>37.816961526870728</v>
      </c>
      <c r="OL8">
        <v>269</v>
      </c>
      <c r="OM8" s="3"/>
      <c r="ON8">
        <f t="shared" si="125"/>
        <v>29</v>
      </c>
      <c r="OO8" t="s">
        <v>1194</v>
      </c>
      <c r="OP8" t="s">
        <v>1195</v>
      </c>
      <c r="OQ8">
        <v>6.4732420444488534</v>
      </c>
      <c r="OR8">
        <v>178</v>
      </c>
      <c r="OS8" s="2"/>
      <c r="OT8">
        <f t="shared" si="126"/>
        <v>0</v>
      </c>
      <c r="OV8" t="s">
        <v>1196</v>
      </c>
      <c r="OW8">
        <v>32.607540130615227</v>
      </c>
      <c r="OX8">
        <v>199</v>
      </c>
      <c r="OY8" s="3"/>
      <c r="OZ8">
        <f t="shared" si="127"/>
        <v>41</v>
      </c>
      <c r="PA8" t="s">
        <v>1197</v>
      </c>
      <c r="PB8" t="s">
        <v>1198</v>
      </c>
      <c r="PC8">
        <v>9.0384273529052734</v>
      </c>
      <c r="PD8">
        <v>214</v>
      </c>
      <c r="PE8" s="2"/>
      <c r="PF8">
        <f t="shared" si="128"/>
        <v>23</v>
      </c>
      <c r="PG8" t="s">
        <v>1199</v>
      </c>
      <c r="PH8" t="s">
        <v>1200</v>
      </c>
      <c r="PI8">
        <v>20.166755199432369</v>
      </c>
      <c r="PJ8">
        <v>266</v>
      </c>
      <c r="PK8" s="3"/>
      <c r="PL8">
        <f t="shared" si="129"/>
        <v>39</v>
      </c>
      <c r="PM8" t="s">
        <v>1201</v>
      </c>
      <c r="PN8" t="s">
        <v>1202</v>
      </c>
      <c r="PO8">
        <v>16.65245342254639</v>
      </c>
      <c r="PP8">
        <v>265</v>
      </c>
      <c r="PQ8" s="2"/>
      <c r="PR8">
        <f t="shared" si="130"/>
        <v>39</v>
      </c>
      <c r="PS8" t="s">
        <v>1203</v>
      </c>
      <c r="PT8" t="s">
        <v>1204</v>
      </c>
      <c r="PU8">
        <v>30.228685617446899</v>
      </c>
      <c r="PV8">
        <v>324</v>
      </c>
      <c r="PW8" s="3"/>
      <c r="PX8">
        <f t="shared" si="131"/>
        <v>30</v>
      </c>
      <c r="PY8" t="s">
        <v>1190</v>
      </c>
      <c r="PZ8" t="s">
        <v>1205</v>
      </c>
      <c r="QA8">
        <v>14.77863073348999</v>
      </c>
      <c r="QB8">
        <v>236</v>
      </c>
      <c r="QC8" s="2"/>
      <c r="QD8">
        <f t="shared" si="132"/>
        <v>32</v>
      </c>
      <c r="QE8" t="s">
        <v>1206</v>
      </c>
      <c r="QF8" t="s">
        <v>1207</v>
      </c>
      <c r="QG8">
        <v>17.94046258926392</v>
      </c>
      <c r="QH8">
        <v>241</v>
      </c>
      <c r="QI8" s="3"/>
      <c r="QJ8">
        <f t="shared" si="133"/>
        <v>60</v>
      </c>
      <c r="QK8" t="s">
        <v>1208</v>
      </c>
      <c r="QL8" t="s">
        <v>1209</v>
      </c>
      <c r="QM8">
        <v>207.46919775009161</v>
      </c>
      <c r="QN8">
        <v>244</v>
      </c>
      <c r="QO8" s="4"/>
      <c r="QP8">
        <f t="shared" si="134"/>
        <v>8</v>
      </c>
      <c r="QQ8" t="s">
        <v>1210</v>
      </c>
      <c r="QR8" t="s">
        <v>1211</v>
      </c>
      <c r="QS8">
        <v>62.873233079910278</v>
      </c>
      <c r="QT8">
        <v>246</v>
      </c>
      <c r="QU8" s="3"/>
      <c r="QV8">
        <f t="shared" si="135"/>
        <v>27</v>
      </c>
      <c r="QW8" t="s">
        <v>773</v>
      </c>
      <c r="QX8" t="s">
        <v>1212</v>
      </c>
      <c r="QY8">
        <v>9.0641686916351318</v>
      </c>
      <c r="QZ8">
        <v>240</v>
      </c>
      <c r="RA8" s="2"/>
      <c r="RB8">
        <f t="shared" si="136"/>
        <v>23</v>
      </c>
      <c r="RC8" t="s">
        <v>1213</v>
      </c>
      <c r="RD8" t="s">
        <v>1214</v>
      </c>
      <c r="RE8">
        <v>19.541411161422729</v>
      </c>
      <c r="RF8">
        <v>272</v>
      </c>
      <c r="RG8" s="3"/>
      <c r="RH8">
        <f t="shared" si="137"/>
        <v>25</v>
      </c>
      <c r="RI8" t="s">
        <v>1215</v>
      </c>
      <c r="RJ8" t="s">
        <v>1216</v>
      </c>
      <c r="RK8">
        <v>7.9967536926269531</v>
      </c>
      <c r="RL8">
        <v>153</v>
      </c>
      <c r="RM8" s="2"/>
      <c r="RN8">
        <f t="shared" si="138"/>
        <v>33</v>
      </c>
      <c r="RO8" t="s">
        <v>1217</v>
      </c>
      <c r="RP8" t="s">
        <v>1218</v>
      </c>
      <c r="RQ8">
        <v>16.145273685455319</v>
      </c>
      <c r="RR8">
        <v>220</v>
      </c>
      <c r="RS8" s="3"/>
      <c r="RT8">
        <f t="shared" si="139"/>
        <v>21</v>
      </c>
      <c r="RU8" t="s">
        <v>449</v>
      </c>
      <c r="RV8" t="s">
        <v>1219</v>
      </c>
      <c r="RW8">
        <v>4.5230154991149902</v>
      </c>
      <c r="RX8">
        <v>225</v>
      </c>
      <c r="RY8" s="2"/>
      <c r="RZ8">
        <f t="shared" si="140"/>
        <v>34</v>
      </c>
      <c r="SA8" t="s">
        <v>1220</v>
      </c>
      <c r="SB8" t="s">
        <v>1221</v>
      </c>
      <c r="SC8">
        <v>14.263772964477541</v>
      </c>
      <c r="SD8">
        <v>268</v>
      </c>
      <c r="SE8" s="3"/>
      <c r="SF8">
        <f t="shared" si="141"/>
        <v>41</v>
      </c>
      <c r="SG8" t="s">
        <v>1222</v>
      </c>
      <c r="SH8" t="s">
        <v>1223</v>
      </c>
      <c r="SI8">
        <v>52.711627721786499</v>
      </c>
      <c r="SJ8">
        <v>250</v>
      </c>
      <c r="SK8" s="2"/>
      <c r="SL8">
        <f t="shared" si="142"/>
        <v>61</v>
      </c>
      <c r="SM8" t="s">
        <v>1224</v>
      </c>
      <c r="SN8" t="s">
        <v>1225</v>
      </c>
      <c r="SO8">
        <v>35.036355257034302</v>
      </c>
      <c r="SP8">
        <v>277</v>
      </c>
      <c r="SQ8" s="3"/>
      <c r="SR8">
        <f t="shared" si="143"/>
        <v>72</v>
      </c>
      <c r="SS8" t="s">
        <v>1226</v>
      </c>
      <c r="ST8" t="s">
        <v>1227</v>
      </c>
      <c r="SU8">
        <v>179.86132884025571</v>
      </c>
      <c r="SV8">
        <v>302</v>
      </c>
      <c r="SW8" s="2"/>
      <c r="SX8">
        <f t="shared" si="144"/>
        <v>14</v>
      </c>
      <c r="SY8" t="s">
        <v>1228</v>
      </c>
      <c r="SZ8" t="s">
        <v>1229</v>
      </c>
      <c r="TA8">
        <v>18.59063291549683</v>
      </c>
      <c r="TB8">
        <v>132</v>
      </c>
      <c r="TC8" s="3"/>
      <c r="TD8">
        <f t="shared" si="145"/>
        <v>76</v>
      </c>
      <c r="TE8" t="s">
        <v>1230</v>
      </c>
      <c r="TF8" t="s">
        <v>1231</v>
      </c>
      <c r="TG8">
        <v>8.1501564979553223</v>
      </c>
      <c r="TH8">
        <v>199</v>
      </c>
      <c r="TI8" s="2"/>
      <c r="TJ8">
        <f t="shared" si="146"/>
        <v>39</v>
      </c>
      <c r="TK8" t="s">
        <v>1232</v>
      </c>
      <c r="TL8" t="s">
        <v>1233</v>
      </c>
      <c r="TM8">
        <v>25.432307004928589</v>
      </c>
      <c r="TN8">
        <v>309</v>
      </c>
      <c r="TO8" s="3"/>
      <c r="TP8">
        <f t="shared" si="147"/>
        <v>34</v>
      </c>
      <c r="TQ8" t="s">
        <v>1234</v>
      </c>
      <c r="TR8" t="s">
        <v>1235</v>
      </c>
      <c r="TS8">
        <v>26.659398078918461</v>
      </c>
      <c r="TT8">
        <v>199</v>
      </c>
      <c r="TU8" s="2"/>
      <c r="TV8">
        <f t="shared" si="148"/>
        <v>35</v>
      </c>
      <c r="TW8" t="s">
        <v>1236</v>
      </c>
      <c r="TX8" t="s">
        <v>1237</v>
      </c>
      <c r="TY8">
        <v>27.91629433631897</v>
      </c>
      <c r="TZ8">
        <v>199</v>
      </c>
      <c r="UA8" s="3"/>
      <c r="UB8">
        <f t="shared" si="149"/>
        <v>28</v>
      </c>
      <c r="UC8" t="s">
        <v>1238</v>
      </c>
      <c r="UD8" t="s">
        <v>1239</v>
      </c>
      <c r="UE8">
        <v>17.276099443435669</v>
      </c>
      <c r="UF8">
        <v>220</v>
      </c>
      <c r="UG8" s="2"/>
      <c r="UH8">
        <f t="shared" si="150"/>
        <v>5</v>
      </c>
      <c r="UI8" t="s">
        <v>1240</v>
      </c>
      <c r="UJ8" t="s">
        <v>1241</v>
      </c>
      <c r="UK8">
        <v>32.11528754234314</v>
      </c>
      <c r="UL8">
        <v>119</v>
      </c>
      <c r="UM8" s="3"/>
      <c r="UN8">
        <f t="shared" si="151"/>
        <v>21</v>
      </c>
      <c r="UO8" t="s">
        <v>1242</v>
      </c>
      <c r="UP8" t="s">
        <v>1243</v>
      </c>
      <c r="UQ8">
        <v>4.5706181526184082</v>
      </c>
      <c r="UR8">
        <v>223</v>
      </c>
      <c r="US8" s="2"/>
      <c r="UT8">
        <f t="shared" si="152"/>
        <v>14</v>
      </c>
      <c r="UU8" t="s">
        <v>1244</v>
      </c>
      <c r="UV8" t="s">
        <v>1245</v>
      </c>
      <c r="UW8">
        <v>136.87894773483279</v>
      </c>
      <c r="UX8">
        <v>261</v>
      </c>
      <c r="UY8" s="3"/>
      <c r="UZ8">
        <f t="shared" si="153"/>
        <v>25</v>
      </c>
      <c r="VA8" t="s">
        <v>1246</v>
      </c>
      <c r="VB8" t="s">
        <v>1247</v>
      </c>
      <c r="VC8">
        <v>10.42805647850037</v>
      </c>
      <c r="VD8">
        <v>183</v>
      </c>
      <c r="VE8" s="2"/>
      <c r="VF8">
        <f t="shared" si="154"/>
        <v>0</v>
      </c>
      <c r="VH8" t="s">
        <v>1248</v>
      </c>
      <c r="VI8">
        <v>35.755779981613159</v>
      </c>
      <c r="VJ8">
        <v>186</v>
      </c>
      <c r="VK8" s="3"/>
      <c r="VL8">
        <f t="shared" si="155"/>
        <v>32</v>
      </c>
      <c r="VM8" t="s">
        <v>230</v>
      </c>
      <c r="VN8" t="s">
        <v>1249</v>
      </c>
      <c r="VO8">
        <v>11.17906880378723</v>
      </c>
      <c r="VP8">
        <v>273</v>
      </c>
      <c r="VQ8" s="2"/>
      <c r="VR8">
        <f t="shared" si="156"/>
        <v>18</v>
      </c>
      <c r="VS8" t="s">
        <v>1250</v>
      </c>
      <c r="VT8" t="s">
        <v>1251</v>
      </c>
      <c r="VU8">
        <v>20.584940910339359</v>
      </c>
      <c r="VV8">
        <v>181</v>
      </c>
      <c r="VW8" s="3"/>
      <c r="VX8">
        <f t="shared" si="157"/>
        <v>26</v>
      </c>
      <c r="VY8" t="s">
        <v>1252</v>
      </c>
      <c r="VZ8" t="s">
        <v>1253</v>
      </c>
      <c r="WA8">
        <v>9.5628845691680908</v>
      </c>
      <c r="WB8">
        <v>281</v>
      </c>
      <c r="WC8" s="2"/>
      <c r="WD8">
        <f t="shared" si="158"/>
        <v>29</v>
      </c>
      <c r="WE8" t="s">
        <v>1254</v>
      </c>
      <c r="WF8" t="s">
        <v>1255</v>
      </c>
      <c r="WG8">
        <v>22.264858245849609</v>
      </c>
      <c r="WH8">
        <v>172</v>
      </c>
      <c r="WI8" s="3"/>
      <c r="WJ8">
        <f t="shared" si="159"/>
        <v>28</v>
      </c>
      <c r="WK8" t="s">
        <v>1256</v>
      </c>
      <c r="WL8" t="s">
        <v>1257</v>
      </c>
      <c r="WM8">
        <v>10.73027229309082</v>
      </c>
      <c r="WN8">
        <v>289</v>
      </c>
      <c r="WO8" s="2"/>
      <c r="WP8">
        <f t="shared" si="160"/>
        <v>100</v>
      </c>
      <c r="WQ8" t="s">
        <v>1258</v>
      </c>
      <c r="WR8" t="s">
        <v>1259</v>
      </c>
      <c r="WS8">
        <v>29.11642408370972</v>
      </c>
      <c r="WT8">
        <v>201</v>
      </c>
      <c r="WU8" s="3"/>
      <c r="WV8">
        <f t="shared" si="161"/>
        <v>42</v>
      </c>
      <c r="WW8" t="s">
        <v>1260</v>
      </c>
      <c r="WX8" t="s">
        <v>1261</v>
      </c>
      <c r="WY8">
        <v>15.06682729721069</v>
      </c>
      <c r="WZ8">
        <v>292</v>
      </c>
      <c r="XA8" s="2"/>
      <c r="XB8">
        <f t="shared" si="162"/>
        <v>76</v>
      </c>
      <c r="XC8" t="s">
        <v>1262</v>
      </c>
      <c r="XD8" t="s">
        <v>1263</v>
      </c>
      <c r="XE8">
        <v>192.62491846084589</v>
      </c>
      <c r="XF8">
        <v>293</v>
      </c>
      <c r="XG8" s="3"/>
      <c r="XH8">
        <f t="shared" si="163"/>
        <v>62</v>
      </c>
      <c r="XI8" t="s">
        <v>1264</v>
      </c>
      <c r="XJ8" t="s">
        <v>1265</v>
      </c>
      <c r="XK8">
        <v>23.34619140625</v>
      </c>
      <c r="XL8">
        <v>205</v>
      </c>
      <c r="XM8" s="2"/>
      <c r="XN8">
        <f t="shared" si="164"/>
        <v>69</v>
      </c>
      <c r="XO8" t="s">
        <v>1266</v>
      </c>
      <c r="XP8" t="s">
        <v>1267</v>
      </c>
      <c r="XQ8">
        <v>35.460711002349854</v>
      </c>
      <c r="XR8">
        <v>189</v>
      </c>
      <c r="XS8" s="3"/>
      <c r="XT8">
        <f t="shared" si="165"/>
        <v>57</v>
      </c>
      <c r="XU8" t="s">
        <v>1268</v>
      </c>
      <c r="XV8" t="s">
        <v>1269</v>
      </c>
      <c r="XW8">
        <v>6.833289623260498</v>
      </c>
      <c r="XX8">
        <v>220</v>
      </c>
      <c r="XY8" s="2"/>
      <c r="XZ8">
        <f t="shared" si="166"/>
        <v>75</v>
      </c>
      <c r="YA8" t="s">
        <v>1270</v>
      </c>
      <c r="YB8" t="s">
        <v>1271</v>
      </c>
      <c r="YC8">
        <v>36.824240207672119</v>
      </c>
      <c r="YD8">
        <v>310</v>
      </c>
      <c r="YE8" s="3"/>
      <c r="YF8">
        <f t="shared" si="167"/>
        <v>50</v>
      </c>
      <c r="YG8" t="s">
        <v>1272</v>
      </c>
      <c r="YH8" t="s">
        <v>1273</v>
      </c>
      <c r="YI8">
        <v>13.625391483306879</v>
      </c>
      <c r="YJ8">
        <v>246</v>
      </c>
      <c r="YK8" s="2"/>
      <c r="YL8">
        <f t="shared" si="168"/>
        <v>27</v>
      </c>
      <c r="YM8" t="s">
        <v>1274</v>
      </c>
      <c r="YN8" t="s">
        <v>1275</v>
      </c>
      <c r="YO8">
        <v>17.899693965911869</v>
      </c>
      <c r="YP8">
        <v>188</v>
      </c>
      <c r="YQ8" s="3"/>
      <c r="YR8">
        <f t="shared" si="169"/>
        <v>24</v>
      </c>
      <c r="YS8" t="s">
        <v>1276</v>
      </c>
      <c r="YT8" t="s">
        <v>1277</v>
      </c>
      <c r="YU8">
        <v>7.309295654296875</v>
      </c>
      <c r="YV8">
        <v>286</v>
      </c>
      <c r="YW8" s="2"/>
      <c r="YX8">
        <f t="shared" si="170"/>
        <v>30</v>
      </c>
      <c r="YY8" t="s">
        <v>1278</v>
      </c>
      <c r="YZ8" t="s">
        <v>1279</v>
      </c>
      <c r="ZA8">
        <v>19.2456374168396</v>
      </c>
      <c r="ZB8">
        <v>243</v>
      </c>
      <c r="ZC8" s="3"/>
      <c r="ZD8">
        <f t="shared" si="171"/>
        <v>38</v>
      </c>
      <c r="ZE8" t="s">
        <v>1280</v>
      </c>
      <c r="ZF8" t="s">
        <v>1281</v>
      </c>
      <c r="ZG8">
        <v>28.480804204940799</v>
      </c>
      <c r="ZH8">
        <v>224</v>
      </c>
      <c r="ZI8" s="2"/>
      <c r="ZJ8">
        <f t="shared" si="172"/>
        <v>27</v>
      </c>
      <c r="ZK8" t="s">
        <v>1282</v>
      </c>
      <c r="ZL8" t="s">
        <v>1283</v>
      </c>
      <c r="ZM8">
        <v>16.32983827590942</v>
      </c>
      <c r="ZN8">
        <v>178</v>
      </c>
      <c r="ZO8" s="3"/>
      <c r="ZP8">
        <f t="shared" si="173"/>
        <v>27</v>
      </c>
      <c r="ZQ8" t="s">
        <v>1284</v>
      </c>
      <c r="ZR8" t="s">
        <v>1285</v>
      </c>
      <c r="ZS8">
        <v>13.47128796577454</v>
      </c>
      <c r="ZT8">
        <v>192</v>
      </c>
      <c r="ZU8" s="2"/>
      <c r="ZV8">
        <f t="shared" si="174"/>
        <v>13</v>
      </c>
      <c r="ZW8" t="s">
        <v>1286</v>
      </c>
      <c r="ZX8" t="s">
        <v>1287</v>
      </c>
      <c r="ZY8">
        <v>25.162591934204102</v>
      </c>
      <c r="ZZ8">
        <v>196</v>
      </c>
      <c r="AAA8" s="3"/>
      <c r="AAB8">
        <f t="shared" si="175"/>
        <v>26</v>
      </c>
      <c r="AAC8" t="s">
        <v>65</v>
      </c>
      <c r="AAD8" t="s">
        <v>1288</v>
      </c>
      <c r="AAE8">
        <v>8.9647634029388428</v>
      </c>
      <c r="AAF8">
        <v>187</v>
      </c>
      <c r="AAG8" s="2"/>
      <c r="AAH8">
        <f t="shared" si="176"/>
        <v>80</v>
      </c>
      <c r="AAI8" t="s">
        <v>1289</v>
      </c>
      <c r="AAJ8" t="s">
        <v>1290</v>
      </c>
      <c r="AAK8">
        <v>42.724453926086433</v>
      </c>
      <c r="AAL8">
        <v>286</v>
      </c>
      <c r="AAM8" s="3"/>
      <c r="AAN8">
        <f t="shared" si="177"/>
        <v>32</v>
      </c>
      <c r="AAO8" t="s">
        <v>1291</v>
      </c>
      <c r="AAP8" t="s">
        <v>1292</v>
      </c>
      <c r="AAQ8">
        <v>9.6504611968994141</v>
      </c>
      <c r="AAR8">
        <v>256</v>
      </c>
      <c r="AAS8" s="2"/>
      <c r="AAT8">
        <f t="shared" si="178"/>
        <v>36</v>
      </c>
      <c r="AAU8" t="s">
        <v>306</v>
      </c>
      <c r="AAV8" t="s">
        <v>1293</v>
      </c>
      <c r="AAW8">
        <v>30.90257740020752</v>
      </c>
      <c r="AAX8">
        <v>272</v>
      </c>
      <c r="AAY8" s="3"/>
      <c r="AAZ8">
        <f t="shared" si="179"/>
        <v>36</v>
      </c>
      <c r="ABA8" t="s">
        <v>1294</v>
      </c>
      <c r="ABB8" t="s">
        <v>1295</v>
      </c>
      <c r="ABC8">
        <v>25.204154253005981</v>
      </c>
      <c r="ABD8">
        <v>354</v>
      </c>
      <c r="ABE8" s="2"/>
      <c r="ABF8">
        <f t="shared" si="180"/>
        <v>31</v>
      </c>
      <c r="ABG8" t="s">
        <v>1296</v>
      </c>
      <c r="ABH8" t="s">
        <v>1297</v>
      </c>
      <c r="ABI8">
        <v>9.0701155662536621</v>
      </c>
      <c r="ABJ8">
        <v>182</v>
      </c>
      <c r="ABK8" s="6"/>
      <c r="ABL8">
        <f t="shared" si="181"/>
        <v>26</v>
      </c>
      <c r="ABM8" t="s">
        <v>1298</v>
      </c>
      <c r="ABN8" t="s">
        <v>1299</v>
      </c>
      <c r="ABO8">
        <v>26.303693771362301</v>
      </c>
      <c r="ABP8">
        <v>286</v>
      </c>
      <c r="ABQ8" s="2"/>
    </row>
    <row r="9" spans="1:745" x14ac:dyDescent="0.25">
      <c r="A9">
        <v>7</v>
      </c>
      <c r="B9">
        <f t="shared" si="58"/>
        <v>31</v>
      </c>
      <c r="C9" t="s">
        <v>1300</v>
      </c>
      <c r="D9" t="s">
        <v>1301</v>
      </c>
      <c r="E9">
        <v>111.23763561248779</v>
      </c>
      <c r="F9">
        <v>303</v>
      </c>
      <c r="G9" s="1"/>
      <c r="H9">
        <f t="shared" si="59"/>
        <v>22</v>
      </c>
      <c r="I9" t="s">
        <v>1302</v>
      </c>
      <c r="J9" t="s">
        <v>1303</v>
      </c>
      <c r="K9">
        <v>32.976579189300537</v>
      </c>
      <c r="L9">
        <v>284</v>
      </c>
      <c r="M9" s="2"/>
      <c r="N9">
        <f t="shared" si="60"/>
        <v>28</v>
      </c>
      <c r="O9" t="s">
        <v>1304</v>
      </c>
      <c r="P9" t="s">
        <v>1305</v>
      </c>
      <c r="Q9">
        <v>5.0443446636199951</v>
      </c>
      <c r="R9">
        <v>260</v>
      </c>
      <c r="S9" s="3"/>
      <c r="T9">
        <f t="shared" si="61"/>
        <v>72</v>
      </c>
      <c r="U9" t="s">
        <v>1306</v>
      </c>
      <c r="V9" t="s">
        <v>1307</v>
      </c>
      <c r="W9">
        <v>25.026048898696899</v>
      </c>
      <c r="X9">
        <v>316</v>
      </c>
      <c r="Y9" s="2"/>
      <c r="Z9">
        <f t="shared" si="62"/>
        <v>40</v>
      </c>
      <c r="AA9" t="s">
        <v>1308</v>
      </c>
      <c r="AB9" t="s">
        <v>1309</v>
      </c>
      <c r="AC9">
        <v>14.12553763389587</v>
      </c>
      <c r="AD9">
        <v>256</v>
      </c>
      <c r="AE9" s="3"/>
      <c r="AF9">
        <f t="shared" si="63"/>
        <v>66</v>
      </c>
      <c r="AG9" t="s">
        <v>1310</v>
      </c>
      <c r="AH9" t="s">
        <v>1311</v>
      </c>
      <c r="AI9">
        <v>44.912591457366943</v>
      </c>
      <c r="AJ9">
        <v>241</v>
      </c>
      <c r="AK9" s="2"/>
      <c r="AL9">
        <f t="shared" si="64"/>
        <v>26</v>
      </c>
      <c r="AM9" t="s">
        <v>1312</v>
      </c>
      <c r="AN9" t="s">
        <v>1313</v>
      </c>
      <c r="AO9">
        <v>7.1435141563415527</v>
      </c>
      <c r="AP9">
        <v>265</v>
      </c>
      <c r="AQ9" s="3"/>
      <c r="AR9">
        <f t="shared" si="65"/>
        <v>32</v>
      </c>
      <c r="AS9" t="s">
        <v>1314</v>
      </c>
      <c r="AT9" t="s">
        <v>1315</v>
      </c>
      <c r="AU9">
        <v>17.007317543029789</v>
      </c>
      <c r="AV9">
        <v>244</v>
      </c>
      <c r="AW9" s="2"/>
      <c r="AX9">
        <f t="shared" si="66"/>
        <v>25</v>
      </c>
      <c r="AY9" t="s">
        <v>1316</v>
      </c>
      <c r="AZ9" t="s">
        <v>1317</v>
      </c>
      <c r="BA9">
        <v>10.022194147109991</v>
      </c>
      <c r="BB9">
        <v>222</v>
      </c>
      <c r="BC9" s="3"/>
      <c r="BD9">
        <f t="shared" si="67"/>
        <v>51</v>
      </c>
      <c r="BE9" t="s">
        <v>1318</v>
      </c>
      <c r="BF9" t="s">
        <v>1319</v>
      </c>
      <c r="BG9">
        <v>26.51213002204895</v>
      </c>
      <c r="BH9">
        <v>312</v>
      </c>
      <c r="BI9" s="2"/>
      <c r="BJ9">
        <f t="shared" si="68"/>
        <v>30</v>
      </c>
      <c r="BK9" t="s">
        <v>1320</v>
      </c>
      <c r="BL9" t="s">
        <v>1321</v>
      </c>
      <c r="BM9">
        <v>7.4186110496520996</v>
      </c>
      <c r="BN9">
        <v>305</v>
      </c>
      <c r="BO9" s="3"/>
      <c r="BP9">
        <f t="shared" si="69"/>
        <v>43</v>
      </c>
      <c r="BQ9" t="s">
        <v>1322</v>
      </c>
      <c r="BR9" t="s">
        <v>1323</v>
      </c>
      <c r="BS9">
        <v>41.902317047119141</v>
      </c>
      <c r="BT9">
        <v>327</v>
      </c>
      <c r="BU9" s="2"/>
      <c r="BV9">
        <f t="shared" si="70"/>
        <v>43</v>
      </c>
      <c r="BW9" t="s">
        <v>1324</v>
      </c>
      <c r="BX9" t="s">
        <v>1325</v>
      </c>
      <c r="BY9">
        <v>23.738606214523319</v>
      </c>
      <c r="BZ9">
        <v>299</v>
      </c>
      <c r="CA9" s="3"/>
      <c r="CB9">
        <f t="shared" si="71"/>
        <v>17</v>
      </c>
      <c r="CC9" t="s">
        <v>409</v>
      </c>
      <c r="CD9" t="s">
        <v>1326</v>
      </c>
      <c r="CE9">
        <v>13.41996955871582</v>
      </c>
      <c r="CF9">
        <v>312</v>
      </c>
      <c r="CG9" s="2"/>
      <c r="CH9">
        <f t="shared" si="72"/>
        <v>17</v>
      </c>
      <c r="CI9" t="s">
        <v>1327</v>
      </c>
      <c r="CJ9" t="s">
        <v>1328</v>
      </c>
      <c r="CK9">
        <v>4.9054911136627197</v>
      </c>
      <c r="CL9">
        <v>189</v>
      </c>
      <c r="CM9" s="3"/>
      <c r="CN9">
        <f t="shared" si="73"/>
        <v>0</v>
      </c>
      <c r="CP9" t="s">
        <v>1329</v>
      </c>
      <c r="CQ9">
        <v>15.079514741897579</v>
      </c>
      <c r="CR9">
        <v>208</v>
      </c>
      <c r="CS9" s="2"/>
      <c r="CT9">
        <f t="shared" si="74"/>
        <v>42</v>
      </c>
      <c r="CU9" t="s">
        <v>1330</v>
      </c>
      <c r="CV9" t="s">
        <v>1331</v>
      </c>
      <c r="CW9">
        <v>46.292738676071167</v>
      </c>
      <c r="CX9">
        <v>214</v>
      </c>
      <c r="CY9" s="3"/>
      <c r="CZ9">
        <f t="shared" si="75"/>
        <v>18</v>
      </c>
      <c r="DA9" t="s">
        <v>1332</v>
      </c>
      <c r="DB9" t="s">
        <v>1333</v>
      </c>
      <c r="DC9">
        <v>49.965981960296631</v>
      </c>
      <c r="DD9">
        <v>342</v>
      </c>
      <c r="DE9" s="2"/>
      <c r="DF9">
        <f t="shared" si="76"/>
        <v>28</v>
      </c>
      <c r="DG9" t="s">
        <v>1334</v>
      </c>
      <c r="DH9" t="s">
        <v>1335</v>
      </c>
      <c r="DI9">
        <v>11.216682434082029</v>
      </c>
      <c r="DJ9">
        <v>258</v>
      </c>
      <c r="DK9" s="3"/>
      <c r="DL9">
        <f t="shared" si="77"/>
        <v>64</v>
      </c>
      <c r="DM9" t="s">
        <v>1336</v>
      </c>
      <c r="DN9" t="s">
        <v>1337</v>
      </c>
      <c r="DO9">
        <v>211.84754490852359</v>
      </c>
      <c r="DP9">
        <v>271</v>
      </c>
      <c r="DQ9" s="2"/>
      <c r="DR9">
        <f t="shared" si="78"/>
        <v>31</v>
      </c>
      <c r="DS9" t="s">
        <v>1338</v>
      </c>
      <c r="DT9" t="s">
        <v>1339</v>
      </c>
      <c r="DU9">
        <v>8.5660076141357422</v>
      </c>
      <c r="DV9">
        <v>276</v>
      </c>
      <c r="DW9" s="3"/>
      <c r="DX9">
        <f t="shared" si="79"/>
        <v>15</v>
      </c>
      <c r="DY9" t="s">
        <v>1340</v>
      </c>
      <c r="DZ9" t="s">
        <v>1341</v>
      </c>
      <c r="EA9">
        <v>101.56770491600039</v>
      </c>
      <c r="EB9">
        <v>227</v>
      </c>
      <c r="EC9" s="2"/>
      <c r="ED9">
        <f t="shared" si="80"/>
        <v>30</v>
      </c>
      <c r="EE9" t="s">
        <v>1342</v>
      </c>
      <c r="EF9" t="s">
        <v>1343</v>
      </c>
      <c r="EG9">
        <v>19.595534563064579</v>
      </c>
      <c r="EH9">
        <v>299</v>
      </c>
      <c r="EI9" s="3"/>
      <c r="EJ9">
        <f t="shared" si="81"/>
        <v>39</v>
      </c>
      <c r="EK9" t="s">
        <v>1344</v>
      </c>
      <c r="EL9" t="s">
        <v>1345</v>
      </c>
      <c r="EM9">
        <v>19.343959093093869</v>
      </c>
      <c r="EN9">
        <v>417</v>
      </c>
      <c r="EO9" s="2"/>
      <c r="EP9">
        <f t="shared" si="82"/>
        <v>34</v>
      </c>
      <c r="EQ9" t="s">
        <v>1346</v>
      </c>
      <c r="ER9" t="s">
        <v>1347</v>
      </c>
      <c r="ES9">
        <v>11.8427300453186</v>
      </c>
      <c r="ET9">
        <v>343</v>
      </c>
      <c r="EU9" s="3"/>
      <c r="EV9">
        <f t="shared" si="83"/>
        <v>20</v>
      </c>
      <c r="EW9" t="s">
        <v>1348</v>
      </c>
      <c r="EX9" t="s">
        <v>1349</v>
      </c>
      <c r="EY9">
        <v>17.841180086135861</v>
      </c>
      <c r="EZ9">
        <v>290</v>
      </c>
      <c r="FA9" s="2"/>
      <c r="FB9">
        <f t="shared" si="84"/>
        <v>30</v>
      </c>
      <c r="FC9" t="s">
        <v>1350</v>
      </c>
      <c r="FD9" t="s">
        <v>1351</v>
      </c>
      <c r="FE9">
        <v>7.9348151683807373</v>
      </c>
      <c r="FF9">
        <v>250</v>
      </c>
      <c r="FG9" s="3"/>
      <c r="FH9">
        <f t="shared" si="85"/>
        <v>0</v>
      </c>
      <c r="FJ9" t="s">
        <v>1352</v>
      </c>
      <c r="FK9">
        <v>49.01852011680603</v>
      </c>
      <c r="FL9">
        <v>172</v>
      </c>
      <c r="FM9" s="2"/>
      <c r="FN9">
        <f t="shared" si="86"/>
        <v>44</v>
      </c>
      <c r="FO9" t="s">
        <v>1353</v>
      </c>
      <c r="FP9" t="s">
        <v>1354</v>
      </c>
      <c r="FQ9">
        <v>22.18418192863464</v>
      </c>
      <c r="FR9">
        <v>238</v>
      </c>
      <c r="FS9" s="3"/>
      <c r="FT9">
        <f t="shared" si="87"/>
        <v>39</v>
      </c>
      <c r="FU9" t="s">
        <v>1355</v>
      </c>
      <c r="FV9" t="s">
        <v>1356</v>
      </c>
      <c r="FW9">
        <v>25.066405773162838</v>
      </c>
      <c r="FX9">
        <v>314</v>
      </c>
      <c r="FY9" s="2"/>
      <c r="FZ9">
        <f t="shared" si="88"/>
        <v>40</v>
      </c>
      <c r="GA9" t="s">
        <v>1357</v>
      </c>
      <c r="GB9" t="s">
        <v>1358</v>
      </c>
      <c r="GC9">
        <v>26.83686900138855</v>
      </c>
      <c r="GD9">
        <v>282</v>
      </c>
      <c r="GE9" s="3"/>
      <c r="GF9">
        <f t="shared" si="89"/>
        <v>67</v>
      </c>
      <c r="GG9" t="s">
        <v>1359</v>
      </c>
      <c r="GH9" t="s">
        <v>1360</v>
      </c>
      <c r="GI9">
        <v>344.42680311202997</v>
      </c>
      <c r="GJ9">
        <v>304</v>
      </c>
      <c r="GK9" s="2"/>
      <c r="GL9">
        <f t="shared" si="90"/>
        <v>36</v>
      </c>
      <c r="GM9" t="s">
        <v>1361</v>
      </c>
      <c r="GN9" t="s">
        <v>1362</v>
      </c>
      <c r="GO9">
        <v>18.999430179595951</v>
      </c>
      <c r="GP9">
        <v>262</v>
      </c>
      <c r="GQ9" s="3"/>
      <c r="GR9">
        <f t="shared" si="91"/>
        <v>0</v>
      </c>
      <c r="GT9" t="s">
        <v>1363</v>
      </c>
      <c r="GU9">
        <v>20.363225936889648</v>
      </c>
      <c r="GV9">
        <v>224</v>
      </c>
      <c r="GW9" s="2"/>
      <c r="GX9">
        <f t="shared" si="92"/>
        <v>32</v>
      </c>
      <c r="GY9" t="s">
        <v>1364</v>
      </c>
      <c r="GZ9" t="s">
        <v>1365</v>
      </c>
      <c r="HA9">
        <v>22.43954682350159</v>
      </c>
      <c r="HB9">
        <v>222</v>
      </c>
      <c r="HC9" s="3"/>
      <c r="HD9">
        <f t="shared" si="93"/>
        <v>24</v>
      </c>
      <c r="HE9" t="s">
        <v>1366</v>
      </c>
      <c r="HF9" t="s">
        <v>1367</v>
      </c>
      <c r="HG9">
        <v>16.108310461044312</v>
      </c>
      <c r="HH9">
        <v>244</v>
      </c>
      <c r="HI9" s="2"/>
      <c r="HJ9">
        <f t="shared" si="94"/>
        <v>27</v>
      </c>
      <c r="HK9" t="s">
        <v>1368</v>
      </c>
      <c r="HL9" t="s">
        <v>1369</v>
      </c>
      <c r="HM9">
        <v>8.0283043384552002</v>
      </c>
      <c r="HN9">
        <v>206</v>
      </c>
      <c r="HO9" s="3"/>
      <c r="HP9">
        <f t="shared" si="95"/>
        <v>59</v>
      </c>
      <c r="HQ9" t="s">
        <v>1370</v>
      </c>
      <c r="HR9" t="s">
        <v>1371</v>
      </c>
      <c r="HS9">
        <v>158.1705629825592</v>
      </c>
      <c r="HT9">
        <v>243</v>
      </c>
      <c r="HU9" s="2"/>
      <c r="HV9">
        <f t="shared" si="96"/>
        <v>39</v>
      </c>
      <c r="HW9" t="s">
        <v>1372</v>
      </c>
      <c r="HX9" t="s">
        <v>1373</v>
      </c>
      <c r="HY9">
        <v>33.80525279045105</v>
      </c>
      <c r="HZ9">
        <v>273</v>
      </c>
      <c r="IA9" s="3"/>
      <c r="IB9">
        <f t="shared" si="97"/>
        <v>41</v>
      </c>
      <c r="IC9" t="s">
        <v>651</v>
      </c>
      <c r="ID9" t="s">
        <v>1374</v>
      </c>
      <c r="IE9">
        <v>22.68269419670105</v>
      </c>
      <c r="IF9">
        <v>253</v>
      </c>
      <c r="IG9" s="2"/>
      <c r="IH9">
        <f t="shared" si="98"/>
        <v>37</v>
      </c>
      <c r="II9" t="s">
        <v>1375</v>
      </c>
      <c r="IJ9" t="s">
        <v>1376</v>
      </c>
      <c r="IK9">
        <v>20.762248754501339</v>
      </c>
      <c r="IL9">
        <v>283</v>
      </c>
      <c r="IM9" s="3"/>
      <c r="IN9">
        <f t="shared" si="99"/>
        <v>8</v>
      </c>
      <c r="IO9" t="s">
        <v>1377</v>
      </c>
      <c r="IP9" t="s">
        <v>1378</v>
      </c>
      <c r="IQ9">
        <v>26.348083019256588</v>
      </c>
      <c r="IR9">
        <v>206</v>
      </c>
      <c r="IS9" s="2"/>
      <c r="IT9">
        <f t="shared" si="100"/>
        <v>28</v>
      </c>
      <c r="IU9" t="s">
        <v>1379</v>
      </c>
      <c r="IV9" t="s">
        <v>1380</v>
      </c>
      <c r="IW9">
        <v>36.761932373046882</v>
      </c>
      <c r="IX9">
        <v>222</v>
      </c>
      <c r="IY9" s="3"/>
      <c r="IZ9">
        <f t="shared" si="101"/>
        <v>22</v>
      </c>
      <c r="JA9" t="s">
        <v>1381</v>
      </c>
      <c r="JB9" t="s">
        <v>1382</v>
      </c>
      <c r="JC9">
        <v>18.529459238052372</v>
      </c>
      <c r="JD9">
        <v>177</v>
      </c>
      <c r="JE9" s="2"/>
      <c r="JF9">
        <f t="shared" si="102"/>
        <v>48</v>
      </c>
      <c r="JG9" t="s">
        <v>1383</v>
      </c>
      <c r="JH9" t="s">
        <v>1384</v>
      </c>
      <c r="JI9">
        <v>27.26913857460022</v>
      </c>
      <c r="JJ9">
        <v>274</v>
      </c>
      <c r="JK9" s="3"/>
      <c r="JL9">
        <f t="shared" si="103"/>
        <v>5</v>
      </c>
      <c r="JM9" t="s">
        <v>1385</v>
      </c>
      <c r="JN9" t="s">
        <v>1386</v>
      </c>
      <c r="JO9">
        <v>28.178567409515381</v>
      </c>
      <c r="JP9">
        <v>201</v>
      </c>
      <c r="JQ9" s="2"/>
      <c r="JR9">
        <f t="shared" si="104"/>
        <v>30</v>
      </c>
      <c r="JS9" t="s">
        <v>1387</v>
      </c>
      <c r="JT9" t="s">
        <v>1388</v>
      </c>
      <c r="JU9">
        <v>18.211316347122189</v>
      </c>
      <c r="JV9">
        <v>314</v>
      </c>
      <c r="JW9" s="3"/>
      <c r="JX9">
        <f t="shared" si="105"/>
        <v>34</v>
      </c>
      <c r="JY9" t="s">
        <v>95</v>
      </c>
      <c r="JZ9" t="s">
        <v>1389</v>
      </c>
      <c r="KA9">
        <v>22.588510513305661</v>
      </c>
      <c r="KB9">
        <v>316</v>
      </c>
      <c r="KC9" s="2"/>
      <c r="KD9">
        <f t="shared" si="106"/>
        <v>60</v>
      </c>
      <c r="KE9" t="s">
        <v>1390</v>
      </c>
      <c r="KF9" t="s">
        <v>1391</v>
      </c>
      <c r="KG9">
        <v>10.58299279212952</v>
      </c>
      <c r="KH9">
        <v>315</v>
      </c>
      <c r="KI9" s="3"/>
      <c r="KJ9">
        <f t="shared" si="107"/>
        <v>100</v>
      </c>
      <c r="KK9" t="s">
        <v>1392</v>
      </c>
      <c r="KL9" t="s">
        <v>1393</v>
      </c>
      <c r="KM9">
        <v>58.679233074188232</v>
      </c>
      <c r="KN9">
        <v>360</v>
      </c>
      <c r="KO9" s="2"/>
      <c r="KP9">
        <f t="shared" si="108"/>
        <v>48</v>
      </c>
      <c r="KQ9" t="s">
        <v>1394</v>
      </c>
      <c r="KR9" t="s">
        <v>1395</v>
      </c>
      <c r="KS9">
        <v>5.9465608596801758</v>
      </c>
      <c r="KT9">
        <v>218</v>
      </c>
      <c r="KU9" s="3"/>
      <c r="KV9">
        <f t="shared" si="109"/>
        <v>12</v>
      </c>
      <c r="KW9" t="s">
        <v>1396</v>
      </c>
      <c r="KX9" t="s">
        <v>1397</v>
      </c>
      <c r="KY9">
        <v>19.50338983535767</v>
      </c>
      <c r="KZ9">
        <v>203</v>
      </c>
      <c r="LA9" s="2"/>
      <c r="LB9">
        <f t="shared" si="110"/>
        <v>29</v>
      </c>
      <c r="LC9" t="s">
        <v>1398</v>
      </c>
      <c r="LD9" t="s">
        <v>1399</v>
      </c>
      <c r="LE9">
        <v>7.1841952800750732</v>
      </c>
      <c r="LF9">
        <v>368</v>
      </c>
      <c r="LG9" s="3"/>
      <c r="LH9">
        <f t="shared" si="111"/>
        <v>11</v>
      </c>
      <c r="LI9" t="s">
        <v>1385</v>
      </c>
      <c r="LJ9" t="s">
        <v>1400</v>
      </c>
      <c r="LK9">
        <v>25.92206501960754</v>
      </c>
      <c r="LL9">
        <v>246</v>
      </c>
      <c r="LM9" s="2"/>
      <c r="LN9">
        <f t="shared" si="112"/>
        <v>60</v>
      </c>
      <c r="LO9" t="s">
        <v>1401</v>
      </c>
      <c r="LP9" t="s">
        <v>1402</v>
      </c>
      <c r="LQ9">
        <v>149.09309196472171</v>
      </c>
      <c r="LR9">
        <v>378</v>
      </c>
      <c r="LS9" s="3"/>
      <c r="LT9">
        <f t="shared" si="113"/>
        <v>35</v>
      </c>
      <c r="LU9" t="s">
        <v>387</v>
      </c>
      <c r="LV9" t="s">
        <v>1403</v>
      </c>
      <c r="LW9">
        <v>23.217646360397339</v>
      </c>
      <c r="LX9">
        <v>289</v>
      </c>
      <c r="LY9" s="2"/>
      <c r="LZ9">
        <f t="shared" si="114"/>
        <v>51</v>
      </c>
      <c r="MA9" t="s">
        <v>1404</v>
      </c>
      <c r="MB9" t="s">
        <v>1405</v>
      </c>
      <c r="MC9">
        <v>27.619574546813961</v>
      </c>
      <c r="MD9">
        <v>276</v>
      </c>
      <c r="ME9" s="3"/>
      <c r="MF9">
        <f t="shared" si="115"/>
        <v>35</v>
      </c>
      <c r="MG9" t="s">
        <v>1406</v>
      </c>
      <c r="MH9" t="s">
        <v>1407</v>
      </c>
      <c r="MI9">
        <v>17.53782224655151</v>
      </c>
      <c r="MJ9">
        <v>356</v>
      </c>
      <c r="MK9" s="2"/>
      <c r="ML9">
        <f t="shared" si="116"/>
        <v>56</v>
      </c>
      <c r="MM9" t="s">
        <v>96</v>
      </c>
      <c r="MN9" t="s">
        <v>1408</v>
      </c>
      <c r="MO9">
        <v>124.6766176223755</v>
      </c>
      <c r="MP9">
        <v>220</v>
      </c>
      <c r="MQ9" s="3"/>
      <c r="MR9">
        <f t="shared" si="117"/>
        <v>108</v>
      </c>
      <c r="MS9" t="s">
        <v>1409</v>
      </c>
      <c r="MT9" t="s">
        <v>1410</v>
      </c>
      <c r="MU9">
        <v>31.095800638198849</v>
      </c>
      <c r="MV9">
        <v>379</v>
      </c>
      <c r="MW9" s="2"/>
      <c r="MX9">
        <f t="shared" si="118"/>
        <v>12</v>
      </c>
      <c r="MY9" t="s">
        <v>872</v>
      </c>
      <c r="MZ9" t="s">
        <v>1411</v>
      </c>
      <c r="NA9">
        <v>39.404425621032708</v>
      </c>
      <c r="NB9">
        <v>215</v>
      </c>
      <c r="NC9" s="3"/>
      <c r="ND9">
        <f t="shared" si="119"/>
        <v>34</v>
      </c>
      <c r="NE9" t="s">
        <v>1412</v>
      </c>
      <c r="NF9" t="s">
        <v>1413</v>
      </c>
      <c r="NG9">
        <v>8.0869922637939453</v>
      </c>
      <c r="NH9">
        <v>202</v>
      </c>
      <c r="NI9" s="2"/>
      <c r="NJ9">
        <f t="shared" si="120"/>
        <v>21</v>
      </c>
      <c r="NK9" t="s">
        <v>18</v>
      </c>
      <c r="NL9" t="s">
        <v>1414</v>
      </c>
      <c r="NM9">
        <v>22.649580955505371</v>
      </c>
      <c r="NN9">
        <v>313</v>
      </c>
      <c r="NO9" s="3"/>
      <c r="NP9">
        <f t="shared" si="121"/>
        <v>26</v>
      </c>
      <c r="NQ9" t="s">
        <v>1415</v>
      </c>
      <c r="NR9" t="s">
        <v>1416</v>
      </c>
      <c r="NS9">
        <v>12.0238823890686</v>
      </c>
      <c r="NT9">
        <v>183</v>
      </c>
      <c r="NU9" s="2"/>
      <c r="NV9">
        <f t="shared" si="122"/>
        <v>33</v>
      </c>
      <c r="NW9" t="s">
        <v>1417</v>
      </c>
      <c r="NX9" t="s">
        <v>1418</v>
      </c>
      <c r="NY9">
        <v>19.771484613418579</v>
      </c>
      <c r="NZ9">
        <v>172</v>
      </c>
      <c r="OA9" s="3"/>
      <c r="OB9">
        <f t="shared" si="123"/>
        <v>42</v>
      </c>
      <c r="OC9" t="s">
        <v>1419</v>
      </c>
      <c r="OD9" t="s">
        <v>1420</v>
      </c>
      <c r="OE9">
        <v>16.839890956878659</v>
      </c>
      <c r="OF9">
        <v>174</v>
      </c>
      <c r="OG9" s="2"/>
      <c r="OH9">
        <f t="shared" si="124"/>
        <v>79</v>
      </c>
      <c r="OI9" t="s">
        <v>1421</v>
      </c>
      <c r="OJ9" t="s">
        <v>1422</v>
      </c>
      <c r="OK9">
        <v>193.87773752212519</v>
      </c>
      <c r="OL9">
        <v>348</v>
      </c>
      <c r="OM9" s="3"/>
      <c r="ON9">
        <f t="shared" si="125"/>
        <v>26</v>
      </c>
      <c r="OO9" t="s">
        <v>1423</v>
      </c>
      <c r="OP9" t="s">
        <v>1424</v>
      </c>
      <c r="OQ9">
        <v>6.781512975692749</v>
      </c>
      <c r="OR9">
        <v>204</v>
      </c>
      <c r="OS9" s="2"/>
      <c r="OT9">
        <f t="shared" si="126"/>
        <v>88</v>
      </c>
      <c r="OU9" t="s">
        <v>148</v>
      </c>
      <c r="OV9" t="s">
        <v>1425</v>
      </c>
      <c r="OW9">
        <v>51.796826839447021</v>
      </c>
      <c r="OX9">
        <v>287</v>
      </c>
      <c r="OY9" s="3"/>
      <c r="OZ9">
        <f t="shared" si="127"/>
        <v>72</v>
      </c>
      <c r="PA9" t="s">
        <v>1426</v>
      </c>
      <c r="PB9" t="s">
        <v>1427</v>
      </c>
      <c r="PC9">
        <v>15.01089978218079</v>
      </c>
      <c r="PD9">
        <v>286</v>
      </c>
      <c r="PE9" s="2"/>
      <c r="PF9">
        <f t="shared" si="128"/>
        <v>26</v>
      </c>
      <c r="PG9" t="s">
        <v>1428</v>
      </c>
      <c r="PH9" t="s">
        <v>1429</v>
      </c>
      <c r="PI9">
        <v>55.277740240097053</v>
      </c>
      <c r="PJ9">
        <v>292</v>
      </c>
      <c r="PK9" s="3"/>
      <c r="PL9">
        <f t="shared" si="129"/>
        <v>30</v>
      </c>
      <c r="PM9" t="s">
        <v>1430</v>
      </c>
      <c r="PN9" t="s">
        <v>1431</v>
      </c>
      <c r="PO9">
        <v>8.5734438896179199</v>
      </c>
      <c r="PP9">
        <v>295</v>
      </c>
      <c r="PQ9" s="2"/>
      <c r="PR9">
        <f t="shared" si="130"/>
        <v>28</v>
      </c>
      <c r="PS9" t="s">
        <v>719</v>
      </c>
      <c r="PT9" t="s">
        <v>1432</v>
      </c>
      <c r="PU9">
        <v>25.73972129821777</v>
      </c>
      <c r="PV9">
        <v>352</v>
      </c>
      <c r="PW9" s="3"/>
      <c r="PX9">
        <f t="shared" si="131"/>
        <v>34</v>
      </c>
      <c r="PY9" t="s">
        <v>1433</v>
      </c>
      <c r="PZ9" t="s">
        <v>1434</v>
      </c>
      <c r="QA9">
        <v>13.05907225608826</v>
      </c>
      <c r="QB9">
        <v>270</v>
      </c>
      <c r="QC9" s="2"/>
      <c r="QD9">
        <f t="shared" si="132"/>
        <v>34</v>
      </c>
      <c r="QE9" t="s">
        <v>1435</v>
      </c>
      <c r="QF9" t="s">
        <v>1436</v>
      </c>
      <c r="QG9">
        <v>24.939968109130859</v>
      </c>
      <c r="QH9">
        <v>275</v>
      </c>
      <c r="QI9" s="3"/>
      <c r="QJ9">
        <f t="shared" si="133"/>
        <v>80</v>
      </c>
      <c r="QK9" t="s">
        <v>1437</v>
      </c>
      <c r="QL9" t="s">
        <v>1438</v>
      </c>
      <c r="QM9">
        <v>247.2590217590332</v>
      </c>
      <c r="QN9">
        <v>324</v>
      </c>
      <c r="QO9" s="4"/>
      <c r="QP9">
        <f t="shared" si="134"/>
        <v>66</v>
      </c>
      <c r="QQ9" t="s">
        <v>1439</v>
      </c>
      <c r="QR9" t="s">
        <v>1440</v>
      </c>
      <c r="QS9">
        <v>103.1545429229736</v>
      </c>
      <c r="QT9">
        <v>312</v>
      </c>
      <c r="QU9" s="3"/>
      <c r="QV9">
        <f t="shared" si="135"/>
        <v>36</v>
      </c>
      <c r="QW9" t="s">
        <v>1441</v>
      </c>
      <c r="QX9" t="s">
        <v>1442</v>
      </c>
      <c r="QY9">
        <v>13.368300914764401</v>
      </c>
      <c r="QZ9">
        <v>276</v>
      </c>
      <c r="RA9" s="2"/>
      <c r="RB9">
        <f t="shared" si="136"/>
        <v>12</v>
      </c>
      <c r="RC9" t="s">
        <v>1443</v>
      </c>
      <c r="RD9" t="s">
        <v>1444</v>
      </c>
      <c r="RE9">
        <v>24.382150173187259</v>
      </c>
      <c r="RF9">
        <v>284</v>
      </c>
      <c r="RG9" s="3"/>
      <c r="RH9">
        <f t="shared" si="137"/>
        <v>34</v>
      </c>
      <c r="RI9" t="s">
        <v>1445</v>
      </c>
      <c r="RJ9" t="s">
        <v>1446</v>
      </c>
      <c r="RK9">
        <v>22.979449987411499</v>
      </c>
      <c r="RL9">
        <v>187</v>
      </c>
      <c r="RM9" s="2"/>
      <c r="RN9">
        <f t="shared" si="138"/>
        <v>20</v>
      </c>
      <c r="RO9" t="s">
        <v>1447</v>
      </c>
      <c r="RP9" t="s">
        <v>1448</v>
      </c>
      <c r="RQ9">
        <v>23.528267621994019</v>
      </c>
      <c r="RR9">
        <v>240</v>
      </c>
      <c r="RS9" s="3"/>
      <c r="RT9">
        <f t="shared" si="139"/>
        <v>20</v>
      </c>
      <c r="RU9" t="s">
        <v>1449</v>
      </c>
      <c r="RV9" t="s">
        <v>1450</v>
      </c>
      <c r="RW9">
        <v>5.9792008399963379</v>
      </c>
      <c r="RX9">
        <v>245</v>
      </c>
      <c r="RY9" s="2"/>
      <c r="RZ9">
        <f t="shared" si="140"/>
        <v>30</v>
      </c>
      <c r="SA9" t="s">
        <v>1451</v>
      </c>
      <c r="SB9" t="s">
        <v>1452</v>
      </c>
      <c r="SC9">
        <v>21.509588003158569</v>
      </c>
      <c r="SD9">
        <v>298</v>
      </c>
      <c r="SE9" s="3"/>
      <c r="SF9">
        <f t="shared" si="141"/>
        <v>48</v>
      </c>
      <c r="SG9" t="s">
        <v>1453</v>
      </c>
      <c r="SH9" t="s">
        <v>1454</v>
      </c>
      <c r="SI9">
        <v>12.044085741043091</v>
      </c>
      <c r="SJ9">
        <v>298</v>
      </c>
      <c r="SK9" s="2"/>
      <c r="SL9">
        <f t="shared" si="142"/>
        <v>38</v>
      </c>
      <c r="SM9" t="s">
        <v>1455</v>
      </c>
      <c r="SN9" t="s">
        <v>1456</v>
      </c>
      <c r="SO9">
        <v>29.223272085189819</v>
      </c>
      <c r="SP9">
        <v>315</v>
      </c>
      <c r="SQ9" s="3"/>
      <c r="SR9">
        <f t="shared" si="143"/>
        <v>28</v>
      </c>
      <c r="SS9" t="s">
        <v>1457</v>
      </c>
      <c r="ST9" t="s">
        <v>1458</v>
      </c>
      <c r="SU9">
        <v>13.635045051574711</v>
      </c>
      <c r="SV9">
        <v>330</v>
      </c>
      <c r="SW9" s="2"/>
      <c r="SX9">
        <f t="shared" si="144"/>
        <v>69</v>
      </c>
      <c r="SY9" t="s">
        <v>1459</v>
      </c>
      <c r="SZ9" t="s">
        <v>1460</v>
      </c>
      <c r="TA9">
        <v>38.671766519546509</v>
      </c>
      <c r="TB9">
        <v>201</v>
      </c>
      <c r="TC9" s="3"/>
      <c r="TD9">
        <f t="shared" si="145"/>
        <v>57</v>
      </c>
      <c r="TE9" t="s">
        <v>1461</v>
      </c>
      <c r="TF9" t="s">
        <v>1462</v>
      </c>
      <c r="TG9">
        <v>15.901412963867189</v>
      </c>
      <c r="TH9">
        <v>256</v>
      </c>
      <c r="TI9" s="2"/>
      <c r="TJ9">
        <f t="shared" si="146"/>
        <v>28</v>
      </c>
      <c r="TK9" t="s">
        <v>1463</v>
      </c>
      <c r="TL9" t="s">
        <v>1464</v>
      </c>
      <c r="TM9">
        <v>35.822673082351677</v>
      </c>
      <c r="TN9">
        <v>337</v>
      </c>
      <c r="TO9" s="3"/>
      <c r="TP9">
        <f t="shared" si="147"/>
        <v>37</v>
      </c>
      <c r="TQ9" t="s">
        <v>788</v>
      </c>
      <c r="TR9" t="s">
        <v>1465</v>
      </c>
      <c r="TS9">
        <v>10.227560520172119</v>
      </c>
      <c r="TT9">
        <v>236</v>
      </c>
      <c r="TU9" s="2"/>
      <c r="TV9">
        <f t="shared" si="148"/>
        <v>0</v>
      </c>
      <c r="TX9" t="s">
        <v>1466</v>
      </c>
      <c r="TY9">
        <v>51.412028074264533</v>
      </c>
      <c r="TZ9">
        <v>199</v>
      </c>
      <c r="UA9" s="3"/>
      <c r="UB9">
        <f t="shared" si="149"/>
        <v>25</v>
      </c>
      <c r="UC9" t="s">
        <v>944</v>
      </c>
      <c r="UD9" t="s">
        <v>1467</v>
      </c>
      <c r="UE9">
        <v>15.456689119338989</v>
      </c>
      <c r="UF9">
        <v>245</v>
      </c>
      <c r="UG9" s="2"/>
      <c r="UH9">
        <f t="shared" si="150"/>
        <v>11</v>
      </c>
      <c r="UI9" t="s">
        <v>1468</v>
      </c>
      <c r="UJ9" t="s">
        <v>1469</v>
      </c>
      <c r="UK9">
        <v>27.93730187416077</v>
      </c>
      <c r="UL9">
        <v>130</v>
      </c>
      <c r="UM9" s="3"/>
      <c r="UN9">
        <f t="shared" si="151"/>
        <v>18</v>
      </c>
      <c r="UO9" t="s">
        <v>796</v>
      </c>
      <c r="UP9" t="s">
        <v>1470</v>
      </c>
      <c r="UQ9">
        <v>4.647897481918335</v>
      </c>
      <c r="UR9">
        <v>241</v>
      </c>
      <c r="US9" s="2"/>
      <c r="UT9">
        <f t="shared" si="152"/>
        <v>108</v>
      </c>
      <c r="UU9" t="s">
        <v>1471</v>
      </c>
      <c r="UV9" t="s">
        <v>1472</v>
      </c>
      <c r="UW9">
        <v>161.9052996635437</v>
      </c>
      <c r="UX9">
        <v>369</v>
      </c>
      <c r="UY9" s="3"/>
      <c r="UZ9">
        <f t="shared" si="153"/>
        <v>50</v>
      </c>
      <c r="VA9" t="s">
        <v>1473</v>
      </c>
      <c r="VB9" t="s">
        <v>1474</v>
      </c>
      <c r="VC9">
        <v>26.54390025138855</v>
      </c>
      <c r="VD9">
        <v>233</v>
      </c>
      <c r="VE9" s="2"/>
      <c r="VF9">
        <f t="shared" si="154"/>
        <v>87</v>
      </c>
      <c r="VG9" t="s">
        <v>1475</v>
      </c>
      <c r="VH9" t="s">
        <v>1476</v>
      </c>
      <c r="VI9">
        <v>47.702230453491211</v>
      </c>
      <c r="VJ9">
        <v>273</v>
      </c>
      <c r="VK9" s="3"/>
      <c r="VL9">
        <f t="shared" si="155"/>
        <v>62</v>
      </c>
      <c r="VM9" t="s">
        <v>1477</v>
      </c>
      <c r="VN9" t="s">
        <v>1478</v>
      </c>
      <c r="VO9">
        <v>21.46503305435181</v>
      </c>
      <c r="VP9">
        <v>335</v>
      </c>
      <c r="VQ9" s="2"/>
      <c r="VR9">
        <f t="shared" si="156"/>
        <v>32</v>
      </c>
      <c r="VS9" t="s">
        <v>1406</v>
      </c>
      <c r="VT9" t="s">
        <v>1479</v>
      </c>
      <c r="VU9">
        <v>22.22065448760986</v>
      </c>
      <c r="VV9">
        <v>213</v>
      </c>
      <c r="VW9" s="3"/>
      <c r="VX9">
        <f t="shared" si="157"/>
        <v>26</v>
      </c>
      <c r="VY9" t="s">
        <v>1480</v>
      </c>
      <c r="VZ9" t="s">
        <v>1481</v>
      </c>
      <c r="WA9">
        <v>11.395306825637819</v>
      </c>
      <c r="WB9">
        <v>307</v>
      </c>
      <c r="WC9" s="2"/>
      <c r="WD9">
        <f t="shared" si="158"/>
        <v>20</v>
      </c>
      <c r="WE9" t="s">
        <v>52</v>
      </c>
      <c r="WF9" t="s">
        <v>1482</v>
      </c>
      <c r="WG9">
        <v>22.88797569274902</v>
      </c>
      <c r="WH9">
        <v>192</v>
      </c>
      <c r="WI9" s="3"/>
      <c r="WJ9">
        <f t="shared" si="159"/>
        <v>30</v>
      </c>
      <c r="WK9" t="s">
        <v>1483</v>
      </c>
      <c r="WL9" t="s">
        <v>1484</v>
      </c>
      <c r="WM9">
        <v>14.644224882125849</v>
      </c>
      <c r="WN9">
        <v>319</v>
      </c>
      <c r="WO9" s="2"/>
      <c r="WP9">
        <f t="shared" si="160"/>
        <v>27</v>
      </c>
      <c r="WQ9" t="s">
        <v>1111</v>
      </c>
      <c r="WR9" t="s">
        <v>1485</v>
      </c>
      <c r="WS9">
        <v>12.8214385509491</v>
      </c>
      <c r="WT9">
        <v>228</v>
      </c>
      <c r="WU9" s="3"/>
      <c r="WV9">
        <f t="shared" si="161"/>
        <v>38</v>
      </c>
      <c r="WW9" t="s">
        <v>1486</v>
      </c>
      <c r="WX9" t="s">
        <v>1487</v>
      </c>
      <c r="WY9">
        <v>21.817712545394901</v>
      </c>
      <c r="WZ9">
        <v>330</v>
      </c>
      <c r="XA9" s="2"/>
      <c r="XB9">
        <f t="shared" si="162"/>
        <v>9</v>
      </c>
      <c r="XC9" t="s">
        <v>1488</v>
      </c>
      <c r="XD9" t="s">
        <v>1489</v>
      </c>
      <c r="XE9">
        <v>37.933143615722663</v>
      </c>
      <c r="XF9">
        <v>302</v>
      </c>
      <c r="XG9" s="3"/>
      <c r="XH9">
        <f t="shared" si="163"/>
        <v>22</v>
      </c>
      <c r="XI9" t="s">
        <v>1490</v>
      </c>
      <c r="XJ9" t="s">
        <v>1491</v>
      </c>
      <c r="XK9">
        <v>13.234461069107059</v>
      </c>
      <c r="XL9">
        <v>227</v>
      </c>
      <c r="XM9" s="2"/>
      <c r="XN9">
        <f t="shared" si="164"/>
        <v>24</v>
      </c>
      <c r="XO9" t="s">
        <v>1492</v>
      </c>
      <c r="XP9" t="s">
        <v>1493</v>
      </c>
      <c r="XQ9">
        <v>20.8115074634552</v>
      </c>
      <c r="XR9">
        <v>213</v>
      </c>
      <c r="XS9" s="3"/>
      <c r="XT9">
        <f t="shared" si="165"/>
        <v>29</v>
      </c>
      <c r="XU9" t="s">
        <v>1494</v>
      </c>
      <c r="XV9" t="s">
        <v>1495</v>
      </c>
      <c r="XW9">
        <v>7.0273902416229248</v>
      </c>
      <c r="XX9">
        <v>249</v>
      </c>
      <c r="XY9" s="2"/>
      <c r="XZ9">
        <f t="shared" si="166"/>
        <v>26</v>
      </c>
      <c r="YA9" t="s">
        <v>1496</v>
      </c>
      <c r="YB9" t="s">
        <v>1497</v>
      </c>
      <c r="YC9">
        <v>41.907076358795173</v>
      </c>
      <c r="YD9">
        <v>336</v>
      </c>
      <c r="YE9" s="3"/>
      <c r="YF9">
        <f t="shared" si="167"/>
        <v>21</v>
      </c>
      <c r="YG9" t="s">
        <v>16</v>
      </c>
      <c r="YH9" t="s">
        <v>1498</v>
      </c>
      <c r="YI9">
        <v>6.6938498020172119</v>
      </c>
      <c r="YJ9">
        <v>267</v>
      </c>
      <c r="YK9" s="2"/>
      <c r="YL9">
        <f t="shared" si="168"/>
        <v>6</v>
      </c>
      <c r="YM9" t="s">
        <v>1499</v>
      </c>
      <c r="YN9" t="s">
        <v>1500</v>
      </c>
      <c r="YO9">
        <v>27.681014060974121</v>
      </c>
      <c r="YP9">
        <v>194</v>
      </c>
      <c r="YQ9" s="3"/>
      <c r="YR9">
        <f t="shared" si="169"/>
        <v>31</v>
      </c>
      <c r="YS9" t="s">
        <v>1501</v>
      </c>
      <c r="YT9" t="s">
        <v>1502</v>
      </c>
      <c r="YU9">
        <v>5.3226943016052246</v>
      </c>
      <c r="YV9">
        <v>317</v>
      </c>
      <c r="YW9" s="2"/>
      <c r="YX9">
        <f t="shared" si="170"/>
        <v>76</v>
      </c>
      <c r="YY9" t="s">
        <v>1503</v>
      </c>
      <c r="YZ9" t="s">
        <v>1504</v>
      </c>
      <c r="ZA9">
        <v>47.063185691833503</v>
      </c>
      <c r="ZB9">
        <v>319</v>
      </c>
      <c r="ZC9" s="3"/>
      <c r="ZD9">
        <f t="shared" si="171"/>
        <v>49</v>
      </c>
      <c r="ZE9" t="s">
        <v>1505</v>
      </c>
      <c r="ZF9" t="s">
        <v>1506</v>
      </c>
      <c r="ZG9">
        <v>7.3882431983947754</v>
      </c>
      <c r="ZH9">
        <v>273</v>
      </c>
      <c r="ZI9" s="2"/>
      <c r="ZJ9">
        <f t="shared" si="172"/>
        <v>16</v>
      </c>
      <c r="ZK9" t="s">
        <v>1499</v>
      </c>
      <c r="ZL9" t="s">
        <v>1507</v>
      </c>
      <c r="ZM9">
        <v>26.203611135482792</v>
      </c>
      <c r="ZN9">
        <v>194</v>
      </c>
      <c r="ZO9" s="3"/>
      <c r="ZP9">
        <f t="shared" si="173"/>
        <v>28</v>
      </c>
      <c r="ZQ9" t="s">
        <v>1508</v>
      </c>
      <c r="ZR9" t="s">
        <v>1509</v>
      </c>
      <c r="ZS9">
        <v>8.7079803943634033</v>
      </c>
      <c r="ZT9">
        <v>220</v>
      </c>
      <c r="ZU9" s="2"/>
      <c r="ZV9">
        <f t="shared" si="174"/>
        <v>16</v>
      </c>
      <c r="ZW9" t="s">
        <v>1304</v>
      </c>
      <c r="ZX9" t="s">
        <v>1510</v>
      </c>
      <c r="ZY9">
        <v>23.72629356384277</v>
      </c>
      <c r="ZZ9">
        <v>212</v>
      </c>
      <c r="AAA9" s="3"/>
      <c r="AAB9">
        <f t="shared" si="175"/>
        <v>42</v>
      </c>
      <c r="AAC9" t="s">
        <v>1511</v>
      </c>
      <c r="AAD9" t="s">
        <v>1512</v>
      </c>
      <c r="AAE9">
        <v>13.408722162246701</v>
      </c>
      <c r="AAF9">
        <v>229</v>
      </c>
      <c r="AAG9" s="2"/>
      <c r="AAH9">
        <f t="shared" si="176"/>
        <v>10</v>
      </c>
      <c r="AAI9" t="s">
        <v>501</v>
      </c>
      <c r="AAJ9" t="s">
        <v>1513</v>
      </c>
      <c r="AAK9">
        <v>156.1626949310303</v>
      </c>
      <c r="AAL9">
        <v>296</v>
      </c>
      <c r="AAM9" s="3"/>
      <c r="AAN9">
        <f t="shared" si="177"/>
        <v>26</v>
      </c>
      <c r="AAO9" t="s">
        <v>1514</v>
      </c>
      <c r="AAP9" t="s">
        <v>1515</v>
      </c>
      <c r="AAQ9">
        <v>12.33645939826965</v>
      </c>
      <c r="AAR9">
        <v>282</v>
      </c>
      <c r="AAS9" s="2"/>
      <c r="AAT9">
        <f t="shared" si="178"/>
        <v>39</v>
      </c>
      <c r="AAU9" t="s">
        <v>1516</v>
      </c>
      <c r="AAV9" t="s">
        <v>1517</v>
      </c>
      <c r="AAW9">
        <v>42.598095655441277</v>
      </c>
      <c r="AAX9">
        <v>311</v>
      </c>
      <c r="AAY9" s="3"/>
      <c r="AAZ9">
        <f t="shared" si="179"/>
        <v>30</v>
      </c>
      <c r="ABA9" t="s">
        <v>415</v>
      </c>
      <c r="ABB9" t="s">
        <v>1518</v>
      </c>
      <c r="ABC9">
        <v>6.8336000442504883</v>
      </c>
      <c r="ABD9">
        <v>384</v>
      </c>
      <c r="ABE9" s="2"/>
      <c r="ABF9">
        <f t="shared" si="180"/>
        <v>54</v>
      </c>
      <c r="ABG9" t="s">
        <v>1519</v>
      </c>
      <c r="ABH9" t="s">
        <v>1520</v>
      </c>
      <c r="ABI9">
        <v>10.394635915756229</v>
      </c>
      <c r="ABJ9">
        <v>236</v>
      </c>
      <c r="ABK9" s="6"/>
      <c r="ABL9">
        <f t="shared" si="181"/>
        <v>27</v>
      </c>
      <c r="ABM9" t="s">
        <v>1521</v>
      </c>
      <c r="ABN9" t="s">
        <v>1522</v>
      </c>
      <c r="ABO9">
        <v>19.078487873077389</v>
      </c>
      <c r="ABP9">
        <v>313</v>
      </c>
      <c r="ABQ9" s="2"/>
    </row>
    <row r="10" spans="1:745" x14ac:dyDescent="0.25">
      <c r="A10">
        <v>8</v>
      </c>
      <c r="B10">
        <f t="shared" si="58"/>
        <v>32</v>
      </c>
      <c r="C10" t="s">
        <v>796</v>
      </c>
      <c r="D10" t="s">
        <v>1523</v>
      </c>
      <c r="E10">
        <v>14.377917528152469</v>
      </c>
      <c r="F10">
        <v>335</v>
      </c>
      <c r="G10" s="1"/>
      <c r="H10">
        <f t="shared" si="59"/>
        <v>42</v>
      </c>
      <c r="I10" t="s">
        <v>1524</v>
      </c>
      <c r="J10" t="s">
        <v>1525</v>
      </c>
      <c r="K10">
        <v>22.83947658538818</v>
      </c>
      <c r="L10">
        <v>326</v>
      </c>
      <c r="M10" s="2"/>
      <c r="N10">
        <f t="shared" si="60"/>
        <v>20</v>
      </c>
      <c r="O10" t="s">
        <v>1526</v>
      </c>
      <c r="P10" t="s">
        <v>1527</v>
      </c>
      <c r="Q10">
        <v>6.1104233264923096</v>
      </c>
      <c r="R10">
        <v>280</v>
      </c>
      <c r="S10" s="3"/>
      <c r="T10">
        <f t="shared" si="61"/>
        <v>32</v>
      </c>
      <c r="U10" t="s">
        <v>1528</v>
      </c>
      <c r="V10" t="s">
        <v>1529</v>
      </c>
      <c r="W10">
        <v>20.87987232208252</v>
      </c>
      <c r="X10">
        <v>348</v>
      </c>
      <c r="Y10" s="2"/>
      <c r="Z10">
        <f t="shared" si="62"/>
        <v>39</v>
      </c>
      <c r="AA10" t="s">
        <v>1530</v>
      </c>
      <c r="AB10" t="s">
        <v>1531</v>
      </c>
      <c r="AC10">
        <v>103.5256655216217</v>
      </c>
      <c r="AD10">
        <v>295</v>
      </c>
      <c r="AE10" s="3"/>
      <c r="AF10">
        <f t="shared" si="63"/>
        <v>15</v>
      </c>
      <c r="AG10" t="s">
        <v>230</v>
      </c>
      <c r="AH10" t="s">
        <v>1532</v>
      </c>
      <c r="AI10">
        <v>26.311802625656131</v>
      </c>
      <c r="AJ10">
        <v>256</v>
      </c>
      <c r="AK10" s="2"/>
      <c r="AL10">
        <f t="shared" si="64"/>
        <v>21</v>
      </c>
      <c r="AM10" t="s">
        <v>1533</v>
      </c>
      <c r="AN10" t="s">
        <v>1534</v>
      </c>
      <c r="AO10">
        <v>4.5177710056304932</v>
      </c>
      <c r="AP10">
        <v>286</v>
      </c>
      <c r="AQ10" s="3"/>
      <c r="AR10">
        <f t="shared" si="65"/>
        <v>42</v>
      </c>
      <c r="AS10" t="s">
        <v>38</v>
      </c>
      <c r="AT10" t="s">
        <v>1535</v>
      </c>
      <c r="AU10">
        <v>21.647444248199459</v>
      </c>
      <c r="AV10">
        <v>286</v>
      </c>
      <c r="AW10" s="2"/>
      <c r="AX10">
        <f t="shared" si="66"/>
        <v>27</v>
      </c>
      <c r="AY10" t="s">
        <v>1536</v>
      </c>
      <c r="AZ10" t="s">
        <v>1537</v>
      </c>
      <c r="BA10">
        <v>10.469551563262939</v>
      </c>
      <c r="BB10">
        <v>249</v>
      </c>
      <c r="BC10" s="3"/>
      <c r="BD10">
        <f t="shared" si="67"/>
        <v>33</v>
      </c>
      <c r="BE10" t="s">
        <v>1538</v>
      </c>
      <c r="BF10" t="s">
        <v>1539</v>
      </c>
      <c r="BG10">
        <v>20.66394209861755</v>
      </c>
      <c r="BH10">
        <v>345</v>
      </c>
      <c r="BI10" s="2"/>
      <c r="BJ10">
        <f t="shared" si="68"/>
        <v>34</v>
      </c>
      <c r="BK10" t="s">
        <v>1540</v>
      </c>
      <c r="BL10" t="s">
        <v>1541</v>
      </c>
      <c r="BM10">
        <v>30.498400449752811</v>
      </c>
      <c r="BN10">
        <v>339</v>
      </c>
      <c r="BO10" s="3"/>
      <c r="BP10">
        <f t="shared" si="69"/>
        <v>0</v>
      </c>
      <c r="BR10" t="s">
        <v>1542</v>
      </c>
      <c r="BS10">
        <v>30.640669345855709</v>
      </c>
      <c r="BT10">
        <v>327</v>
      </c>
      <c r="BU10" s="2"/>
      <c r="BV10">
        <f t="shared" si="70"/>
        <v>39</v>
      </c>
      <c r="BW10" t="s">
        <v>1543</v>
      </c>
      <c r="BX10" t="s">
        <v>1544</v>
      </c>
      <c r="BY10">
        <v>18.10869312286377</v>
      </c>
      <c r="BZ10">
        <v>338</v>
      </c>
      <c r="CA10" s="3"/>
      <c r="CB10">
        <f t="shared" si="71"/>
        <v>26</v>
      </c>
      <c r="CC10" t="s">
        <v>1545</v>
      </c>
      <c r="CD10" t="s">
        <v>1546</v>
      </c>
      <c r="CE10">
        <v>17.540870904922489</v>
      </c>
      <c r="CF10">
        <v>338</v>
      </c>
      <c r="CG10" s="2"/>
      <c r="CH10">
        <f t="shared" si="72"/>
        <v>25</v>
      </c>
      <c r="CI10" t="s">
        <v>1547</v>
      </c>
      <c r="CJ10" t="s">
        <v>1548</v>
      </c>
      <c r="CK10">
        <v>18.513759136199951</v>
      </c>
      <c r="CL10">
        <v>214</v>
      </c>
      <c r="CM10" s="3"/>
      <c r="CN10">
        <f t="shared" si="73"/>
        <v>14</v>
      </c>
      <c r="CO10" t="s">
        <v>1549</v>
      </c>
      <c r="CP10" t="s">
        <v>1550</v>
      </c>
      <c r="CQ10">
        <v>34.801802635192871</v>
      </c>
      <c r="CR10">
        <v>222</v>
      </c>
      <c r="CS10" s="2"/>
      <c r="CT10">
        <f t="shared" si="74"/>
        <v>23</v>
      </c>
      <c r="CU10" t="s">
        <v>1551</v>
      </c>
      <c r="CV10" t="s">
        <v>1552</v>
      </c>
      <c r="CW10">
        <v>18.65412068367004</v>
      </c>
      <c r="CX10">
        <v>237</v>
      </c>
      <c r="CY10" s="3"/>
      <c r="CZ10">
        <f t="shared" si="75"/>
        <v>13</v>
      </c>
      <c r="DA10" t="s">
        <v>1553</v>
      </c>
      <c r="DB10" t="s">
        <v>1554</v>
      </c>
      <c r="DC10">
        <v>59.044140338897712</v>
      </c>
      <c r="DD10">
        <v>355</v>
      </c>
      <c r="DE10" s="2"/>
      <c r="DF10">
        <f t="shared" si="76"/>
        <v>58</v>
      </c>
      <c r="DG10" t="s">
        <v>1555</v>
      </c>
      <c r="DH10" t="s">
        <v>1556</v>
      </c>
      <c r="DI10">
        <v>46.24565577507019</v>
      </c>
      <c r="DJ10">
        <v>316</v>
      </c>
      <c r="DK10" s="3"/>
      <c r="DL10">
        <f t="shared" si="77"/>
        <v>90</v>
      </c>
      <c r="DM10" t="s">
        <v>1557</v>
      </c>
      <c r="DN10" t="s">
        <v>1558</v>
      </c>
      <c r="DO10">
        <v>31.090929508209229</v>
      </c>
      <c r="DP10">
        <v>361</v>
      </c>
      <c r="DQ10" s="2"/>
      <c r="DR10">
        <f t="shared" si="78"/>
        <v>41</v>
      </c>
      <c r="DS10" t="s">
        <v>1559</v>
      </c>
      <c r="DT10" t="s">
        <v>1560</v>
      </c>
      <c r="DU10">
        <v>7.0195729732513428</v>
      </c>
      <c r="DV10">
        <v>317</v>
      </c>
      <c r="DW10" s="3"/>
      <c r="DX10">
        <f t="shared" si="79"/>
        <v>68</v>
      </c>
      <c r="DY10" t="s">
        <v>1561</v>
      </c>
      <c r="DZ10" t="s">
        <v>1562</v>
      </c>
      <c r="EA10">
        <v>167.98481106758121</v>
      </c>
      <c r="EB10">
        <v>295</v>
      </c>
      <c r="EC10" s="2"/>
      <c r="ED10">
        <f t="shared" si="80"/>
        <v>37</v>
      </c>
      <c r="EE10" t="s">
        <v>1563</v>
      </c>
      <c r="EF10" t="s">
        <v>1564</v>
      </c>
      <c r="EG10">
        <v>23.02582573890686</v>
      </c>
      <c r="EH10">
        <v>336</v>
      </c>
      <c r="EI10" s="3"/>
      <c r="EJ10">
        <f t="shared" si="81"/>
        <v>40</v>
      </c>
      <c r="EK10" t="s">
        <v>1565</v>
      </c>
      <c r="EL10" t="s">
        <v>1566</v>
      </c>
      <c r="EM10">
        <v>18.86143779754639</v>
      </c>
      <c r="EN10">
        <v>457</v>
      </c>
      <c r="EO10" s="2"/>
      <c r="EP10">
        <f t="shared" si="82"/>
        <v>36</v>
      </c>
      <c r="EQ10" t="s">
        <v>1567</v>
      </c>
      <c r="ER10" t="s">
        <v>1568</v>
      </c>
      <c r="ES10">
        <v>16.991938352584839</v>
      </c>
      <c r="ET10">
        <v>379</v>
      </c>
      <c r="EU10" s="3"/>
      <c r="EV10">
        <f t="shared" si="83"/>
        <v>33</v>
      </c>
      <c r="EW10" t="s">
        <v>1569</v>
      </c>
      <c r="EX10" t="s">
        <v>1570</v>
      </c>
      <c r="EY10">
        <v>18.76231145858765</v>
      </c>
      <c r="EZ10">
        <v>323</v>
      </c>
      <c r="FA10" s="2"/>
      <c r="FB10">
        <f t="shared" si="84"/>
        <v>51</v>
      </c>
      <c r="FC10" t="s">
        <v>449</v>
      </c>
      <c r="FD10" t="s">
        <v>1571</v>
      </c>
      <c r="FE10">
        <v>41.620126485824578</v>
      </c>
      <c r="FF10">
        <v>301</v>
      </c>
      <c r="FG10" s="3"/>
      <c r="FH10">
        <f t="shared" si="85"/>
        <v>58</v>
      </c>
      <c r="FI10" t="s">
        <v>1572</v>
      </c>
      <c r="FJ10" t="s">
        <v>1573</v>
      </c>
      <c r="FK10">
        <v>67.433986186981201</v>
      </c>
      <c r="FL10">
        <v>230</v>
      </c>
      <c r="FM10" s="2"/>
      <c r="FN10">
        <f t="shared" si="86"/>
        <v>38</v>
      </c>
      <c r="FO10" t="s">
        <v>1574</v>
      </c>
      <c r="FP10" t="s">
        <v>1575</v>
      </c>
      <c r="FQ10">
        <v>164.97292256355291</v>
      </c>
      <c r="FR10">
        <v>276</v>
      </c>
      <c r="FS10" s="3"/>
      <c r="FT10">
        <f t="shared" si="87"/>
        <v>32</v>
      </c>
      <c r="FU10" t="s">
        <v>1576</v>
      </c>
      <c r="FV10" t="s">
        <v>1577</v>
      </c>
      <c r="FW10">
        <v>34.42583703994751</v>
      </c>
      <c r="FX10">
        <v>346</v>
      </c>
      <c r="FY10" s="2"/>
      <c r="FZ10">
        <f t="shared" si="88"/>
        <v>48</v>
      </c>
      <c r="GA10" t="s">
        <v>1578</v>
      </c>
      <c r="GB10" t="s">
        <v>1579</v>
      </c>
      <c r="GC10">
        <v>28.755082130432129</v>
      </c>
      <c r="GD10">
        <v>330</v>
      </c>
      <c r="GE10" s="3"/>
      <c r="GF10">
        <f t="shared" si="89"/>
        <v>38</v>
      </c>
      <c r="GG10" t="s">
        <v>1580</v>
      </c>
      <c r="GH10" t="s">
        <v>1581</v>
      </c>
      <c r="GI10">
        <v>24.240960836410519</v>
      </c>
      <c r="GJ10">
        <v>342</v>
      </c>
      <c r="GK10" s="2"/>
      <c r="GL10">
        <f t="shared" si="90"/>
        <v>61</v>
      </c>
      <c r="GM10" t="s">
        <v>1582</v>
      </c>
      <c r="GN10" t="s">
        <v>1583</v>
      </c>
      <c r="GO10">
        <v>34.897128820419312</v>
      </c>
      <c r="GP10">
        <v>323</v>
      </c>
      <c r="GQ10" s="3"/>
      <c r="GR10">
        <f t="shared" si="91"/>
        <v>7</v>
      </c>
      <c r="GS10" t="s">
        <v>1584</v>
      </c>
      <c r="GT10" t="s">
        <v>1585</v>
      </c>
      <c r="GU10">
        <v>33.867230176925659</v>
      </c>
      <c r="GV10">
        <v>231</v>
      </c>
      <c r="GW10" s="2"/>
      <c r="GX10">
        <f t="shared" si="92"/>
        <v>34</v>
      </c>
      <c r="GY10" t="s">
        <v>1586</v>
      </c>
      <c r="GZ10" t="s">
        <v>1587</v>
      </c>
      <c r="HA10">
        <v>15.622390031814581</v>
      </c>
      <c r="HB10">
        <v>256</v>
      </c>
      <c r="HC10" s="3"/>
      <c r="HD10">
        <f t="shared" si="93"/>
        <v>32</v>
      </c>
      <c r="HE10" t="s">
        <v>1588</v>
      </c>
      <c r="HF10" t="s">
        <v>1589</v>
      </c>
      <c r="HG10">
        <v>21.44408130645752</v>
      </c>
      <c r="HH10">
        <v>276</v>
      </c>
      <c r="HI10" s="2"/>
      <c r="HJ10">
        <f t="shared" si="94"/>
        <v>24</v>
      </c>
      <c r="HK10" t="s">
        <v>1590</v>
      </c>
      <c r="HL10" t="s">
        <v>1591</v>
      </c>
      <c r="HM10">
        <v>6.1735632419586182</v>
      </c>
      <c r="HN10">
        <v>230</v>
      </c>
      <c r="HO10" s="3"/>
      <c r="HP10">
        <f t="shared" si="95"/>
        <v>48</v>
      </c>
      <c r="HQ10" t="s">
        <v>1592</v>
      </c>
      <c r="HR10" t="s">
        <v>1593</v>
      </c>
      <c r="HS10">
        <v>45.681171894073493</v>
      </c>
      <c r="HT10">
        <v>291</v>
      </c>
      <c r="HU10" s="2"/>
      <c r="HV10">
        <f t="shared" si="96"/>
        <v>27</v>
      </c>
      <c r="HW10" t="s">
        <v>1125</v>
      </c>
      <c r="HX10" t="s">
        <v>1594</v>
      </c>
      <c r="HY10">
        <v>22.678664445877079</v>
      </c>
      <c r="HZ10">
        <v>300</v>
      </c>
      <c r="IA10" s="3"/>
      <c r="IB10">
        <f t="shared" si="97"/>
        <v>33</v>
      </c>
      <c r="IC10" t="s">
        <v>95</v>
      </c>
      <c r="ID10" t="s">
        <v>1595</v>
      </c>
      <c r="IE10">
        <v>20.944121122360229</v>
      </c>
      <c r="IF10">
        <v>286</v>
      </c>
      <c r="IG10" s="2"/>
      <c r="IH10">
        <f t="shared" si="98"/>
        <v>38</v>
      </c>
      <c r="II10" t="s">
        <v>1596</v>
      </c>
      <c r="IJ10" t="s">
        <v>1597</v>
      </c>
      <c r="IK10">
        <v>11.3169538974762</v>
      </c>
      <c r="IL10">
        <v>321</v>
      </c>
      <c r="IM10" s="3"/>
      <c r="IN10">
        <f t="shared" si="99"/>
        <v>89</v>
      </c>
      <c r="IO10" t="s">
        <v>1598</v>
      </c>
      <c r="IP10" t="s">
        <v>1599</v>
      </c>
      <c r="IQ10">
        <v>52.949259519577033</v>
      </c>
      <c r="IR10">
        <v>295</v>
      </c>
      <c r="IS10" s="2"/>
      <c r="IT10">
        <f t="shared" si="100"/>
        <v>27</v>
      </c>
      <c r="IU10" t="s">
        <v>1600</v>
      </c>
      <c r="IV10" t="s">
        <v>1601</v>
      </c>
      <c r="IW10">
        <v>5.6372194290161133</v>
      </c>
      <c r="IX10">
        <v>249</v>
      </c>
      <c r="IY10" s="3"/>
      <c r="IZ10">
        <f t="shared" si="101"/>
        <v>81</v>
      </c>
      <c r="JA10" t="s">
        <v>1602</v>
      </c>
      <c r="JB10" t="s">
        <v>1603</v>
      </c>
      <c r="JC10">
        <v>19.739293575286869</v>
      </c>
      <c r="JD10">
        <v>258</v>
      </c>
      <c r="JE10" s="2"/>
      <c r="JF10">
        <f t="shared" si="102"/>
        <v>30</v>
      </c>
      <c r="JG10" t="s">
        <v>1604</v>
      </c>
      <c r="JH10" t="s">
        <v>1605</v>
      </c>
      <c r="JI10">
        <v>108.100891828537</v>
      </c>
      <c r="JJ10">
        <v>304</v>
      </c>
      <c r="JK10" s="3"/>
      <c r="JL10">
        <f t="shared" si="103"/>
        <v>20</v>
      </c>
      <c r="JM10" t="s">
        <v>668</v>
      </c>
      <c r="JN10" t="s">
        <v>1606</v>
      </c>
      <c r="JO10">
        <v>38.12709903717041</v>
      </c>
      <c r="JP10">
        <v>221</v>
      </c>
      <c r="JQ10" s="2"/>
      <c r="JR10">
        <f t="shared" si="104"/>
        <v>28</v>
      </c>
      <c r="JS10" t="s">
        <v>1607</v>
      </c>
      <c r="JT10" t="s">
        <v>1608</v>
      </c>
      <c r="JU10">
        <v>29.627102851867679</v>
      </c>
      <c r="JV10">
        <v>342</v>
      </c>
      <c r="JW10" s="3"/>
      <c r="JX10">
        <f t="shared" si="105"/>
        <v>38</v>
      </c>
      <c r="JY10" t="s">
        <v>1609</v>
      </c>
      <c r="JZ10" t="s">
        <v>1610</v>
      </c>
      <c r="KA10">
        <v>42.037284374237061</v>
      </c>
      <c r="KB10">
        <v>354</v>
      </c>
      <c r="KC10" s="2"/>
      <c r="KD10">
        <f t="shared" si="106"/>
        <v>33</v>
      </c>
      <c r="KE10" t="s">
        <v>1611</v>
      </c>
      <c r="KF10" t="s">
        <v>1612</v>
      </c>
      <c r="KG10">
        <v>10.488303899765009</v>
      </c>
      <c r="KH10">
        <v>348</v>
      </c>
      <c r="KI10" s="3"/>
      <c r="KJ10">
        <f t="shared" si="107"/>
        <v>34</v>
      </c>
      <c r="KK10" t="s">
        <v>786</v>
      </c>
      <c r="KL10" t="s">
        <v>1613</v>
      </c>
      <c r="KM10">
        <v>23.768504858016971</v>
      </c>
      <c r="KN10">
        <v>394</v>
      </c>
      <c r="KO10" s="2"/>
      <c r="KP10">
        <f t="shared" si="108"/>
        <v>26</v>
      </c>
      <c r="KQ10" t="s">
        <v>501</v>
      </c>
      <c r="KR10" t="s">
        <v>1614</v>
      </c>
      <c r="KS10">
        <v>9.1424522399902344</v>
      </c>
      <c r="KT10">
        <v>244</v>
      </c>
      <c r="KU10" s="3"/>
      <c r="KV10">
        <f t="shared" si="109"/>
        <v>26</v>
      </c>
      <c r="KW10" t="s">
        <v>1615</v>
      </c>
      <c r="KX10" t="s">
        <v>1616</v>
      </c>
      <c r="KY10">
        <v>19.978096485137939</v>
      </c>
      <c r="KZ10">
        <v>229</v>
      </c>
      <c r="LA10" s="2"/>
      <c r="LB10">
        <f t="shared" si="110"/>
        <v>19</v>
      </c>
      <c r="LC10" t="s">
        <v>1617</v>
      </c>
      <c r="LD10" t="s">
        <v>1618</v>
      </c>
      <c r="LE10">
        <v>9.9712231159210205</v>
      </c>
      <c r="LF10">
        <v>387</v>
      </c>
      <c r="LG10" s="3"/>
      <c r="LH10">
        <f t="shared" si="111"/>
        <v>56</v>
      </c>
      <c r="LI10" t="s">
        <v>1619</v>
      </c>
      <c r="LJ10" t="s">
        <v>1620</v>
      </c>
      <c r="LK10">
        <v>23.0070173740387</v>
      </c>
      <c r="LL10">
        <v>302</v>
      </c>
      <c r="LM10" s="2"/>
      <c r="LN10">
        <f t="shared" si="112"/>
        <v>35</v>
      </c>
      <c r="LO10" t="s">
        <v>1621</v>
      </c>
      <c r="LP10" t="s">
        <v>1622</v>
      </c>
      <c r="LQ10">
        <v>7.697589635848999</v>
      </c>
      <c r="LR10">
        <v>413</v>
      </c>
      <c r="LS10" s="3"/>
      <c r="LT10">
        <f t="shared" si="113"/>
        <v>21</v>
      </c>
      <c r="LU10" t="s">
        <v>1623</v>
      </c>
      <c r="LV10" t="s">
        <v>1624</v>
      </c>
      <c r="LW10">
        <v>23.050181865692139</v>
      </c>
      <c r="LX10">
        <v>310</v>
      </c>
      <c r="LY10" s="2"/>
      <c r="LZ10">
        <f t="shared" si="114"/>
        <v>41</v>
      </c>
      <c r="MA10" t="s">
        <v>1625</v>
      </c>
      <c r="MB10" t="s">
        <v>1626</v>
      </c>
      <c r="MC10">
        <v>18.18743371963501</v>
      </c>
      <c r="MD10">
        <v>317</v>
      </c>
      <c r="ME10" s="3"/>
      <c r="MF10">
        <f t="shared" si="115"/>
        <v>31</v>
      </c>
      <c r="MG10" t="s">
        <v>1627</v>
      </c>
      <c r="MH10" t="s">
        <v>1628</v>
      </c>
      <c r="MI10">
        <v>32.202672004699707</v>
      </c>
      <c r="MJ10">
        <v>387</v>
      </c>
      <c r="MK10" s="2"/>
      <c r="ML10">
        <f t="shared" si="116"/>
        <v>24</v>
      </c>
      <c r="MM10" t="s">
        <v>1629</v>
      </c>
      <c r="MN10" t="s">
        <v>1630</v>
      </c>
      <c r="MO10">
        <v>13.00310802459717</v>
      </c>
      <c r="MP10">
        <v>244</v>
      </c>
      <c r="MQ10" s="3"/>
      <c r="MR10">
        <f t="shared" si="117"/>
        <v>20</v>
      </c>
      <c r="MS10" t="s">
        <v>1631</v>
      </c>
      <c r="MT10" t="s">
        <v>1632</v>
      </c>
      <c r="MU10">
        <v>17.30056190490723</v>
      </c>
      <c r="MV10">
        <v>399</v>
      </c>
      <c r="MW10" s="2"/>
      <c r="MX10">
        <f t="shared" si="118"/>
        <v>14</v>
      </c>
      <c r="MY10" t="s">
        <v>1633</v>
      </c>
      <c r="MZ10" t="s">
        <v>1634</v>
      </c>
      <c r="NA10">
        <v>39.838980436325073</v>
      </c>
      <c r="NB10">
        <v>229</v>
      </c>
      <c r="NC10" s="3"/>
      <c r="ND10">
        <f t="shared" si="119"/>
        <v>19</v>
      </c>
      <c r="NE10" t="s">
        <v>1635</v>
      </c>
      <c r="NF10" t="s">
        <v>1636</v>
      </c>
      <c r="NG10">
        <v>9.9300062656402588</v>
      </c>
      <c r="NH10">
        <v>221</v>
      </c>
      <c r="NI10" s="2"/>
      <c r="NJ10">
        <f t="shared" si="120"/>
        <v>21</v>
      </c>
      <c r="NK10" t="s">
        <v>643</v>
      </c>
      <c r="NL10" t="s">
        <v>1637</v>
      </c>
      <c r="NM10">
        <v>21.08838963508606</v>
      </c>
      <c r="NN10">
        <v>334</v>
      </c>
      <c r="NO10" s="3"/>
      <c r="NP10">
        <f t="shared" si="121"/>
        <v>26</v>
      </c>
      <c r="NQ10" t="s">
        <v>1638</v>
      </c>
      <c r="NR10" t="s">
        <v>1639</v>
      </c>
      <c r="NS10">
        <v>11.00550818443298</v>
      </c>
      <c r="NT10">
        <v>209</v>
      </c>
      <c r="NU10" s="2"/>
      <c r="NV10">
        <f t="shared" si="122"/>
        <v>39</v>
      </c>
      <c r="NW10" t="s">
        <v>1640</v>
      </c>
      <c r="NX10" t="s">
        <v>1641</v>
      </c>
      <c r="NY10">
        <v>18.495708465576168</v>
      </c>
      <c r="NZ10">
        <v>211</v>
      </c>
      <c r="OA10" s="3"/>
      <c r="OB10">
        <f t="shared" si="123"/>
        <v>85</v>
      </c>
      <c r="OC10" t="s">
        <v>1642</v>
      </c>
      <c r="OD10" t="s">
        <v>1643</v>
      </c>
      <c r="OE10">
        <v>31.036163330078121</v>
      </c>
      <c r="OF10">
        <v>259</v>
      </c>
      <c r="OG10" s="2"/>
      <c r="OH10">
        <f t="shared" si="124"/>
        <v>34</v>
      </c>
      <c r="OI10" t="s">
        <v>1644</v>
      </c>
      <c r="OJ10" t="s">
        <v>1645</v>
      </c>
      <c r="OK10">
        <v>20.567525625228878</v>
      </c>
      <c r="OL10">
        <v>382</v>
      </c>
      <c r="OM10" s="3"/>
      <c r="ON10">
        <f t="shared" si="125"/>
        <v>42</v>
      </c>
      <c r="OO10" t="s">
        <v>1646</v>
      </c>
      <c r="OP10" t="s">
        <v>1647</v>
      </c>
      <c r="OQ10">
        <v>18.168567180633541</v>
      </c>
      <c r="OR10">
        <v>246</v>
      </c>
      <c r="OS10" s="2"/>
      <c r="OT10">
        <f t="shared" si="126"/>
        <v>32</v>
      </c>
      <c r="OU10" t="s">
        <v>1648</v>
      </c>
      <c r="OV10" t="s">
        <v>1649</v>
      </c>
      <c r="OW10">
        <v>21.60400819778442</v>
      </c>
      <c r="OX10">
        <v>319</v>
      </c>
      <c r="OY10" s="3"/>
      <c r="OZ10">
        <f t="shared" si="127"/>
        <v>24</v>
      </c>
      <c r="PA10" t="s">
        <v>1650</v>
      </c>
      <c r="PB10" t="s">
        <v>1651</v>
      </c>
      <c r="PC10">
        <v>12.227158069610599</v>
      </c>
      <c r="PD10">
        <v>310</v>
      </c>
      <c r="PE10" s="2"/>
      <c r="PF10">
        <f t="shared" si="128"/>
        <v>14</v>
      </c>
      <c r="PG10" t="s">
        <v>1652</v>
      </c>
      <c r="PH10" t="s">
        <v>1653</v>
      </c>
      <c r="PI10">
        <v>49.388699531555183</v>
      </c>
      <c r="PJ10">
        <v>306</v>
      </c>
      <c r="PK10" s="3"/>
      <c r="PL10">
        <f t="shared" si="129"/>
        <v>40</v>
      </c>
      <c r="PM10" t="s">
        <v>1654</v>
      </c>
      <c r="PN10" t="s">
        <v>1655</v>
      </c>
      <c r="PO10">
        <v>42.785088777542107</v>
      </c>
      <c r="PP10">
        <v>335</v>
      </c>
      <c r="PQ10" s="2"/>
      <c r="PR10">
        <f t="shared" si="130"/>
        <v>41</v>
      </c>
      <c r="PS10" t="s">
        <v>1656</v>
      </c>
      <c r="PT10" t="s">
        <v>1657</v>
      </c>
      <c r="PU10">
        <v>23.00098896026611</v>
      </c>
      <c r="PV10">
        <v>393</v>
      </c>
      <c r="PW10" s="3"/>
      <c r="PX10">
        <f t="shared" si="131"/>
        <v>25</v>
      </c>
      <c r="PY10" t="s">
        <v>1658</v>
      </c>
      <c r="PZ10" t="s">
        <v>1659</v>
      </c>
      <c r="QA10">
        <v>25.156554937362671</v>
      </c>
      <c r="QB10">
        <v>295</v>
      </c>
      <c r="QC10" s="2"/>
      <c r="QD10">
        <f t="shared" si="132"/>
        <v>78</v>
      </c>
      <c r="QE10" t="s">
        <v>1660</v>
      </c>
      <c r="QF10" t="s">
        <v>1661</v>
      </c>
      <c r="QG10">
        <v>24.076699495315552</v>
      </c>
      <c r="QH10">
        <v>353</v>
      </c>
      <c r="QI10" s="3"/>
      <c r="QJ10">
        <f t="shared" si="133"/>
        <v>34</v>
      </c>
      <c r="QK10" t="s">
        <v>1662</v>
      </c>
      <c r="QL10" t="s">
        <v>1663</v>
      </c>
      <c r="QM10">
        <v>18.908129930496219</v>
      </c>
      <c r="QN10">
        <v>358</v>
      </c>
      <c r="QO10" s="4"/>
      <c r="QP10">
        <f t="shared" si="134"/>
        <v>34</v>
      </c>
      <c r="QQ10" t="s">
        <v>1664</v>
      </c>
      <c r="QR10" t="s">
        <v>1665</v>
      </c>
      <c r="QS10">
        <v>25.075112342834469</v>
      </c>
      <c r="QT10">
        <v>346</v>
      </c>
      <c r="QU10" s="3"/>
      <c r="QV10">
        <f t="shared" si="135"/>
        <v>38</v>
      </c>
      <c r="QW10" t="s">
        <v>1666</v>
      </c>
      <c r="QX10" t="s">
        <v>1667</v>
      </c>
      <c r="QY10">
        <v>18.40695333480835</v>
      </c>
      <c r="QZ10">
        <v>314</v>
      </c>
      <c r="RA10" s="2"/>
      <c r="RB10">
        <f t="shared" si="136"/>
        <v>61</v>
      </c>
      <c r="RC10" t="s">
        <v>1668</v>
      </c>
      <c r="RD10" t="s">
        <v>1669</v>
      </c>
      <c r="RE10">
        <v>21.081801891326901</v>
      </c>
      <c r="RF10">
        <v>345</v>
      </c>
      <c r="RG10" s="3"/>
      <c r="RH10">
        <f t="shared" si="137"/>
        <v>60</v>
      </c>
      <c r="RI10" t="s">
        <v>1670</v>
      </c>
      <c r="RJ10" t="s">
        <v>1671</v>
      </c>
      <c r="RK10">
        <v>9.6231327056884766</v>
      </c>
      <c r="RL10">
        <v>247</v>
      </c>
      <c r="RM10" s="2"/>
      <c r="RN10">
        <f t="shared" si="138"/>
        <v>40</v>
      </c>
      <c r="RO10" t="s">
        <v>1672</v>
      </c>
      <c r="RP10" t="s">
        <v>1673</v>
      </c>
      <c r="RQ10">
        <v>17.952011585235599</v>
      </c>
      <c r="RR10">
        <v>280</v>
      </c>
      <c r="RS10" s="3"/>
      <c r="RT10">
        <f t="shared" si="139"/>
        <v>45</v>
      </c>
      <c r="RU10" t="s">
        <v>1674</v>
      </c>
      <c r="RV10" t="s">
        <v>1675</v>
      </c>
      <c r="RW10">
        <v>67.154355525970459</v>
      </c>
      <c r="RX10">
        <v>290</v>
      </c>
      <c r="RY10" s="2"/>
      <c r="RZ10">
        <f t="shared" si="140"/>
        <v>32</v>
      </c>
      <c r="SA10" t="s">
        <v>1676</v>
      </c>
      <c r="SB10" t="s">
        <v>1677</v>
      </c>
      <c r="SC10">
        <v>22.363274097442631</v>
      </c>
      <c r="SD10">
        <v>330</v>
      </c>
      <c r="SE10" s="3"/>
      <c r="SF10">
        <f t="shared" si="141"/>
        <v>22</v>
      </c>
      <c r="SG10" t="s">
        <v>796</v>
      </c>
      <c r="SH10" t="s">
        <v>1678</v>
      </c>
      <c r="SI10">
        <v>6.6911766529083252</v>
      </c>
      <c r="SJ10">
        <v>320</v>
      </c>
      <c r="SK10" s="2"/>
      <c r="SL10">
        <f t="shared" si="142"/>
        <v>69</v>
      </c>
      <c r="SM10" t="s">
        <v>1679</v>
      </c>
      <c r="SN10" t="s">
        <v>1680</v>
      </c>
      <c r="SO10">
        <v>38.185082912445068</v>
      </c>
      <c r="SP10">
        <v>384</v>
      </c>
      <c r="SQ10" s="3"/>
      <c r="SR10">
        <f t="shared" si="143"/>
        <v>24</v>
      </c>
      <c r="SS10" t="s">
        <v>1681</v>
      </c>
      <c r="ST10" t="s">
        <v>1682</v>
      </c>
      <c r="SU10">
        <v>7.9744317531585693</v>
      </c>
      <c r="SV10">
        <v>354</v>
      </c>
      <c r="SW10" s="2"/>
      <c r="SX10">
        <f t="shared" si="144"/>
        <v>54</v>
      </c>
      <c r="SY10" t="s">
        <v>1683</v>
      </c>
      <c r="SZ10" t="s">
        <v>1684</v>
      </c>
      <c r="TA10">
        <v>19.460086345672611</v>
      </c>
      <c r="TB10">
        <v>255</v>
      </c>
      <c r="TC10" s="3"/>
      <c r="TD10">
        <f t="shared" si="145"/>
        <v>34</v>
      </c>
      <c r="TE10" t="s">
        <v>820</v>
      </c>
      <c r="TF10" t="s">
        <v>1685</v>
      </c>
      <c r="TG10">
        <v>11.48286724090576</v>
      </c>
      <c r="TH10">
        <v>290</v>
      </c>
      <c r="TI10" s="2"/>
      <c r="TJ10">
        <f t="shared" si="146"/>
        <v>7</v>
      </c>
      <c r="TK10" t="s">
        <v>1686</v>
      </c>
      <c r="TL10" t="s">
        <v>1687</v>
      </c>
      <c r="TM10">
        <v>42.161898851394653</v>
      </c>
      <c r="TN10">
        <v>344</v>
      </c>
      <c r="TO10" s="3"/>
      <c r="TP10">
        <f t="shared" si="147"/>
        <v>31</v>
      </c>
      <c r="TQ10" t="s">
        <v>1688</v>
      </c>
      <c r="TR10" t="s">
        <v>1689</v>
      </c>
      <c r="TS10">
        <v>33.260295867919922</v>
      </c>
      <c r="TT10">
        <v>267</v>
      </c>
      <c r="TU10" s="2"/>
      <c r="TV10">
        <f t="shared" si="148"/>
        <v>18</v>
      </c>
      <c r="TW10" t="s">
        <v>67</v>
      </c>
      <c r="TX10" t="s">
        <v>1690</v>
      </c>
      <c r="TY10">
        <v>126.4236979484558</v>
      </c>
      <c r="TZ10">
        <v>217</v>
      </c>
      <c r="UA10" s="3"/>
      <c r="UB10">
        <f t="shared" si="149"/>
        <v>24</v>
      </c>
      <c r="UC10" t="s">
        <v>1686</v>
      </c>
      <c r="UD10" t="s">
        <v>1691</v>
      </c>
      <c r="UE10">
        <v>9.0395667552947998</v>
      </c>
      <c r="UF10">
        <v>269</v>
      </c>
      <c r="UG10" s="2"/>
      <c r="UH10">
        <f t="shared" si="150"/>
        <v>7</v>
      </c>
      <c r="UI10" t="s">
        <v>1019</v>
      </c>
      <c r="UJ10" t="s">
        <v>1692</v>
      </c>
      <c r="UK10">
        <v>28.113158464431759</v>
      </c>
      <c r="UL10">
        <v>137</v>
      </c>
      <c r="UM10" s="3"/>
      <c r="UN10">
        <f t="shared" si="151"/>
        <v>35</v>
      </c>
      <c r="UO10" t="s">
        <v>1693</v>
      </c>
      <c r="UP10" t="s">
        <v>1694</v>
      </c>
      <c r="UQ10">
        <v>7.2887063026428223</v>
      </c>
      <c r="UR10">
        <v>276</v>
      </c>
      <c r="US10" s="2"/>
      <c r="UT10">
        <f t="shared" si="152"/>
        <v>49</v>
      </c>
      <c r="UU10" t="s">
        <v>1695</v>
      </c>
      <c r="UV10" t="s">
        <v>1696</v>
      </c>
      <c r="UW10">
        <v>42.928107023239143</v>
      </c>
      <c r="UX10">
        <v>418</v>
      </c>
      <c r="UY10" s="3"/>
      <c r="UZ10">
        <f t="shared" si="153"/>
        <v>39</v>
      </c>
      <c r="VA10" t="s">
        <v>1697</v>
      </c>
      <c r="VB10" t="s">
        <v>1698</v>
      </c>
      <c r="VC10">
        <v>13.3179771900177</v>
      </c>
      <c r="VD10">
        <v>272</v>
      </c>
      <c r="VE10" s="2"/>
      <c r="VF10">
        <f t="shared" si="154"/>
        <v>0</v>
      </c>
      <c r="VH10" t="s">
        <v>1699</v>
      </c>
      <c r="VI10">
        <v>98.060970544815063</v>
      </c>
      <c r="VJ10">
        <v>273</v>
      </c>
      <c r="VK10" s="3"/>
      <c r="VL10">
        <f t="shared" si="155"/>
        <v>72</v>
      </c>
      <c r="VM10" t="s">
        <v>1700</v>
      </c>
      <c r="VN10" t="s">
        <v>1701</v>
      </c>
      <c r="VO10">
        <v>16.15641713142395</v>
      </c>
      <c r="VP10">
        <v>407</v>
      </c>
      <c r="VQ10" s="2"/>
      <c r="VR10">
        <f t="shared" si="156"/>
        <v>55</v>
      </c>
      <c r="VS10" t="s">
        <v>1702</v>
      </c>
      <c r="VT10" t="s">
        <v>1703</v>
      </c>
      <c r="VU10">
        <v>58.630828619003303</v>
      </c>
      <c r="VV10">
        <v>268</v>
      </c>
      <c r="VW10" s="3"/>
      <c r="VX10">
        <f t="shared" si="157"/>
        <v>60</v>
      </c>
      <c r="VY10" t="s">
        <v>1704</v>
      </c>
      <c r="VZ10" t="s">
        <v>1705</v>
      </c>
      <c r="WA10">
        <v>8.4954566955566406</v>
      </c>
      <c r="WB10">
        <v>367</v>
      </c>
      <c r="WC10" s="2"/>
      <c r="WD10">
        <f t="shared" si="158"/>
        <v>27</v>
      </c>
      <c r="WE10" t="s">
        <v>1268</v>
      </c>
      <c r="WF10" t="s">
        <v>1706</v>
      </c>
      <c r="WG10">
        <v>30.13961744308472</v>
      </c>
      <c r="WH10">
        <v>219</v>
      </c>
      <c r="WI10" s="3"/>
      <c r="WJ10">
        <f t="shared" si="159"/>
        <v>33</v>
      </c>
      <c r="WK10" t="s">
        <v>1707</v>
      </c>
      <c r="WL10" t="s">
        <v>1708</v>
      </c>
      <c r="WM10">
        <v>15.000290632247919</v>
      </c>
      <c r="WN10">
        <v>352</v>
      </c>
      <c r="WO10" s="2"/>
      <c r="WP10">
        <f t="shared" si="160"/>
        <v>24</v>
      </c>
      <c r="WQ10" t="s">
        <v>230</v>
      </c>
      <c r="WR10" t="s">
        <v>1709</v>
      </c>
      <c r="WS10">
        <v>12.556321859359739</v>
      </c>
      <c r="WT10">
        <v>252</v>
      </c>
      <c r="WU10" s="3"/>
      <c r="WV10">
        <f t="shared" si="161"/>
        <v>28</v>
      </c>
      <c r="WW10" t="s">
        <v>1710</v>
      </c>
      <c r="WX10" t="s">
        <v>1711</v>
      </c>
      <c r="WY10">
        <v>14.3181049823761</v>
      </c>
      <c r="WZ10">
        <v>358</v>
      </c>
      <c r="XA10" s="2"/>
      <c r="XB10">
        <f t="shared" si="162"/>
        <v>28</v>
      </c>
      <c r="XC10" t="s">
        <v>1712</v>
      </c>
      <c r="XD10" t="s">
        <v>1713</v>
      </c>
      <c r="XE10">
        <v>36.511920690536499</v>
      </c>
      <c r="XF10">
        <v>330</v>
      </c>
      <c r="XG10" s="3"/>
      <c r="XH10">
        <f t="shared" si="163"/>
        <v>33</v>
      </c>
      <c r="XI10" t="s">
        <v>1714</v>
      </c>
      <c r="XJ10" t="s">
        <v>1715</v>
      </c>
      <c r="XK10">
        <v>6.8970613479614258</v>
      </c>
      <c r="XL10">
        <v>260</v>
      </c>
      <c r="XM10" s="2"/>
      <c r="XN10">
        <f t="shared" si="164"/>
        <v>58</v>
      </c>
      <c r="XO10" t="s">
        <v>1716</v>
      </c>
      <c r="XP10" t="s">
        <v>1717</v>
      </c>
      <c r="XQ10">
        <v>30.685966730117801</v>
      </c>
      <c r="XR10">
        <v>271</v>
      </c>
      <c r="XS10" s="3"/>
      <c r="XT10">
        <f t="shared" si="165"/>
        <v>38</v>
      </c>
      <c r="XU10" t="s">
        <v>1718</v>
      </c>
      <c r="XV10" t="s">
        <v>1719</v>
      </c>
      <c r="XW10">
        <v>15.624594211578369</v>
      </c>
      <c r="XX10">
        <v>287</v>
      </c>
      <c r="XY10" s="2"/>
      <c r="XZ10">
        <f t="shared" si="166"/>
        <v>32</v>
      </c>
      <c r="YA10" t="s">
        <v>1720</v>
      </c>
      <c r="YB10" t="s">
        <v>1721</v>
      </c>
      <c r="YC10">
        <v>33.284800291061401</v>
      </c>
      <c r="YD10">
        <v>368</v>
      </c>
      <c r="YE10" s="3"/>
      <c r="YF10">
        <f t="shared" si="167"/>
        <v>22</v>
      </c>
      <c r="YG10" t="s">
        <v>1722</v>
      </c>
      <c r="YH10" t="s">
        <v>1723</v>
      </c>
      <c r="YI10">
        <v>15.472831249237061</v>
      </c>
      <c r="YJ10">
        <v>289</v>
      </c>
      <c r="YK10" s="2"/>
      <c r="YL10">
        <f t="shared" si="168"/>
        <v>65</v>
      </c>
      <c r="YM10" t="s">
        <v>1724</v>
      </c>
      <c r="YN10" t="s">
        <v>1725</v>
      </c>
      <c r="YO10">
        <v>29.011584758758541</v>
      </c>
      <c r="YP10">
        <v>259</v>
      </c>
      <c r="YQ10" s="3"/>
      <c r="YR10">
        <f t="shared" si="169"/>
        <v>54</v>
      </c>
      <c r="YS10" t="s">
        <v>387</v>
      </c>
      <c r="YT10" t="s">
        <v>1726</v>
      </c>
      <c r="YU10">
        <v>12.80605864524841</v>
      </c>
      <c r="YV10">
        <v>371</v>
      </c>
      <c r="YW10" s="2"/>
      <c r="YX10">
        <f t="shared" si="170"/>
        <v>33</v>
      </c>
      <c r="YY10" t="s">
        <v>95</v>
      </c>
      <c r="YZ10" t="s">
        <v>1727</v>
      </c>
      <c r="ZA10">
        <v>22.355750799179081</v>
      </c>
      <c r="ZB10">
        <v>352</v>
      </c>
      <c r="ZC10" s="3"/>
      <c r="ZD10">
        <f t="shared" si="171"/>
        <v>33</v>
      </c>
      <c r="ZE10" t="s">
        <v>1728</v>
      </c>
      <c r="ZF10" t="s">
        <v>1729</v>
      </c>
      <c r="ZG10">
        <v>9.690082311630249</v>
      </c>
      <c r="ZH10">
        <v>306</v>
      </c>
      <c r="ZI10" s="2"/>
      <c r="ZJ10">
        <f t="shared" si="172"/>
        <v>36</v>
      </c>
      <c r="ZK10" t="s">
        <v>1730</v>
      </c>
      <c r="ZL10" t="s">
        <v>1731</v>
      </c>
      <c r="ZM10">
        <v>26.508397579193119</v>
      </c>
      <c r="ZN10">
        <v>230</v>
      </c>
      <c r="ZO10" s="3"/>
      <c r="ZP10">
        <f t="shared" si="173"/>
        <v>38</v>
      </c>
      <c r="ZQ10" t="s">
        <v>1406</v>
      </c>
      <c r="ZR10" t="s">
        <v>1732</v>
      </c>
      <c r="ZS10">
        <v>12.74857187271118</v>
      </c>
      <c r="ZT10">
        <v>258</v>
      </c>
      <c r="ZU10" s="2"/>
      <c r="ZV10">
        <f t="shared" si="174"/>
        <v>0</v>
      </c>
      <c r="ZX10" t="s">
        <v>1733</v>
      </c>
      <c r="ZY10">
        <v>26.691476583480831</v>
      </c>
      <c r="ZZ10">
        <v>212</v>
      </c>
      <c r="AAA10" s="3"/>
      <c r="AAB10">
        <f t="shared" si="175"/>
        <v>66</v>
      </c>
      <c r="AAC10" t="s">
        <v>1734</v>
      </c>
      <c r="AAD10" t="s">
        <v>1735</v>
      </c>
      <c r="AAE10">
        <v>9.1953883171081543</v>
      </c>
      <c r="AAF10">
        <v>295</v>
      </c>
      <c r="AAG10" s="2"/>
      <c r="AAH10">
        <f t="shared" si="176"/>
        <v>53</v>
      </c>
      <c r="AAI10" t="s">
        <v>1736</v>
      </c>
      <c r="AAJ10" t="s">
        <v>1737</v>
      </c>
      <c r="AAK10">
        <v>177.80724406242371</v>
      </c>
      <c r="AAL10">
        <v>349</v>
      </c>
      <c r="AAM10" s="3"/>
      <c r="AAN10">
        <f t="shared" si="177"/>
        <v>30</v>
      </c>
      <c r="AAO10" t="s">
        <v>1738</v>
      </c>
      <c r="AAP10" t="s">
        <v>1739</v>
      </c>
      <c r="AAQ10">
        <v>19.57310509681702</v>
      </c>
      <c r="AAR10">
        <v>312</v>
      </c>
      <c r="AAS10" s="2"/>
      <c r="AAT10">
        <f t="shared" si="178"/>
        <v>38</v>
      </c>
      <c r="AAU10" t="s">
        <v>1740</v>
      </c>
      <c r="AAV10" t="s">
        <v>1741</v>
      </c>
      <c r="AAW10">
        <v>43.712272167205811</v>
      </c>
      <c r="AAX10">
        <v>349</v>
      </c>
      <c r="AAY10" s="3"/>
      <c r="AAZ10">
        <f t="shared" si="179"/>
        <v>30</v>
      </c>
      <c r="ABA10" t="s">
        <v>1742</v>
      </c>
      <c r="ABB10" t="s">
        <v>1743</v>
      </c>
      <c r="ABC10">
        <v>12.35908937454224</v>
      </c>
      <c r="ABD10">
        <v>414</v>
      </c>
      <c r="ABE10" s="2"/>
      <c r="ABF10">
        <f t="shared" si="180"/>
        <v>22</v>
      </c>
      <c r="ABG10" t="s">
        <v>1744</v>
      </c>
      <c r="ABH10" t="s">
        <v>1745</v>
      </c>
      <c r="ABI10">
        <v>7.3697836399078369</v>
      </c>
      <c r="ABJ10">
        <v>258</v>
      </c>
      <c r="ABK10" s="6"/>
      <c r="ABL10">
        <f t="shared" si="181"/>
        <v>37</v>
      </c>
      <c r="ABM10" t="s">
        <v>872</v>
      </c>
      <c r="ABN10" t="s">
        <v>1746</v>
      </c>
      <c r="ABO10">
        <v>19.498030185699459</v>
      </c>
      <c r="ABP10">
        <v>350</v>
      </c>
      <c r="ABQ10" s="2"/>
    </row>
    <row r="11" spans="1:745" x14ac:dyDescent="0.25">
      <c r="A11">
        <v>9</v>
      </c>
      <c r="B11">
        <f t="shared" si="58"/>
        <v>30</v>
      </c>
      <c r="C11" t="s">
        <v>1747</v>
      </c>
      <c r="D11" t="s">
        <v>1748</v>
      </c>
      <c r="E11">
        <v>13.458972215652469</v>
      </c>
      <c r="F11">
        <v>365</v>
      </c>
      <c r="G11" s="1"/>
      <c r="H11">
        <f t="shared" si="59"/>
        <v>26</v>
      </c>
      <c r="I11" t="s">
        <v>1749</v>
      </c>
      <c r="J11" t="s">
        <v>1750</v>
      </c>
      <c r="K11">
        <v>28.379166603088379</v>
      </c>
      <c r="L11">
        <v>352</v>
      </c>
      <c r="M11" s="2"/>
      <c r="N11">
        <f t="shared" si="60"/>
        <v>42</v>
      </c>
      <c r="O11" t="s">
        <v>1751</v>
      </c>
      <c r="P11" t="s">
        <v>1752</v>
      </c>
      <c r="Q11">
        <v>32.825192451477051</v>
      </c>
      <c r="R11">
        <v>322</v>
      </c>
      <c r="S11" s="3"/>
      <c r="T11">
        <f t="shared" si="61"/>
        <v>31</v>
      </c>
      <c r="U11" t="s">
        <v>1753</v>
      </c>
      <c r="V11" t="s">
        <v>1754</v>
      </c>
      <c r="W11">
        <v>20.056037425994869</v>
      </c>
      <c r="X11">
        <v>379</v>
      </c>
      <c r="Y11" s="2"/>
      <c r="Z11">
        <f t="shared" si="62"/>
        <v>26</v>
      </c>
      <c r="AA11" t="s">
        <v>1755</v>
      </c>
      <c r="AB11" t="s">
        <v>1756</v>
      </c>
      <c r="AC11">
        <v>9.2972044944763184</v>
      </c>
      <c r="AD11">
        <v>321</v>
      </c>
      <c r="AE11" s="3"/>
      <c r="AF11">
        <f t="shared" si="63"/>
        <v>22</v>
      </c>
      <c r="AG11" t="s">
        <v>1052</v>
      </c>
      <c r="AH11" t="s">
        <v>1757</v>
      </c>
      <c r="AI11">
        <v>20.225389719009399</v>
      </c>
      <c r="AJ11">
        <v>278</v>
      </c>
      <c r="AK11" s="2"/>
      <c r="AL11">
        <f t="shared" si="64"/>
        <v>23</v>
      </c>
      <c r="AM11" t="s">
        <v>1758</v>
      </c>
      <c r="AN11" t="s">
        <v>1759</v>
      </c>
      <c r="AO11">
        <v>8.0029559135437012</v>
      </c>
      <c r="AP11">
        <v>309</v>
      </c>
      <c r="AQ11" s="3"/>
      <c r="AR11">
        <f t="shared" si="65"/>
        <v>23</v>
      </c>
      <c r="AS11" t="s">
        <v>1760</v>
      </c>
      <c r="AT11" t="s">
        <v>1761</v>
      </c>
      <c r="AU11">
        <v>17.03117299079895</v>
      </c>
      <c r="AV11">
        <v>309</v>
      </c>
      <c r="AW11" s="2"/>
      <c r="AX11">
        <f t="shared" si="66"/>
        <v>29</v>
      </c>
      <c r="AY11" t="s">
        <v>1762</v>
      </c>
      <c r="AZ11" t="s">
        <v>1763</v>
      </c>
      <c r="BA11">
        <v>12.72582912445068</v>
      </c>
      <c r="BB11">
        <v>278</v>
      </c>
      <c r="BC11" s="3"/>
      <c r="BD11">
        <f t="shared" si="67"/>
        <v>39</v>
      </c>
      <c r="BE11" t="s">
        <v>1764</v>
      </c>
      <c r="BF11" t="s">
        <v>1765</v>
      </c>
      <c r="BG11">
        <v>28.346833944320679</v>
      </c>
      <c r="BH11">
        <v>384</v>
      </c>
      <c r="BI11" s="2"/>
      <c r="BJ11">
        <f t="shared" si="68"/>
        <v>28</v>
      </c>
      <c r="BK11" t="s">
        <v>1766</v>
      </c>
      <c r="BL11" t="s">
        <v>1767</v>
      </c>
      <c r="BM11">
        <v>16.774354934692379</v>
      </c>
      <c r="BN11">
        <v>367</v>
      </c>
      <c r="BO11" s="3"/>
      <c r="BP11">
        <f t="shared" si="69"/>
        <v>16</v>
      </c>
      <c r="BQ11" t="s">
        <v>437</v>
      </c>
      <c r="BR11" t="s">
        <v>1768</v>
      </c>
      <c r="BS11">
        <v>48.05704140663147</v>
      </c>
      <c r="BT11">
        <v>343</v>
      </c>
      <c r="BU11" s="2"/>
      <c r="BV11">
        <f t="shared" si="70"/>
        <v>32</v>
      </c>
      <c r="BW11" t="s">
        <v>1769</v>
      </c>
      <c r="BX11" t="s">
        <v>1770</v>
      </c>
      <c r="BY11">
        <v>10.953212261199949</v>
      </c>
      <c r="BZ11">
        <v>370</v>
      </c>
      <c r="CA11" s="3"/>
      <c r="CB11">
        <f t="shared" si="71"/>
        <v>97</v>
      </c>
      <c r="CC11" t="s">
        <v>1771</v>
      </c>
      <c r="CD11" t="s">
        <v>1772</v>
      </c>
      <c r="CE11">
        <v>390.54095220565802</v>
      </c>
      <c r="CF11">
        <v>435</v>
      </c>
      <c r="CG11" s="2"/>
      <c r="CH11">
        <f t="shared" si="72"/>
        <v>22</v>
      </c>
      <c r="CI11" t="s">
        <v>1773</v>
      </c>
      <c r="CJ11" t="s">
        <v>1774</v>
      </c>
      <c r="CK11">
        <v>11.78102874755859</v>
      </c>
      <c r="CL11">
        <v>236</v>
      </c>
      <c r="CM11" s="3"/>
      <c r="CN11">
        <f t="shared" si="73"/>
        <v>12</v>
      </c>
      <c r="CO11" t="s">
        <v>1775</v>
      </c>
      <c r="CP11" t="s">
        <v>1776</v>
      </c>
      <c r="CQ11">
        <v>47.830530643463128</v>
      </c>
      <c r="CR11">
        <v>234</v>
      </c>
      <c r="CS11" s="2"/>
      <c r="CT11">
        <f t="shared" si="74"/>
        <v>25</v>
      </c>
      <c r="CU11" t="s">
        <v>1777</v>
      </c>
      <c r="CV11" t="s">
        <v>1778</v>
      </c>
      <c r="CW11">
        <v>7.6305954456329346</v>
      </c>
      <c r="CX11">
        <v>262</v>
      </c>
      <c r="CY11" s="3"/>
      <c r="CZ11">
        <f t="shared" si="75"/>
        <v>8</v>
      </c>
      <c r="DA11" t="s">
        <v>1488</v>
      </c>
      <c r="DB11" t="s">
        <v>1779</v>
      </c>
      <c r="DC11">
        <v>43.471521377563477</v>
      </c>
      <c r="DD11">
        <v>363</v>
      </c>
      <c r="DE11" s="2"/>
      <c r="DF11">
        <f t="shared" si="76"/>
        <v>38</v>
      </c>
      <c r="DG11" t="s">
        <v>643</v>
      </c>
      <c r="DH11" t="s">
        <v>1780</v>
      </c>
      <c r="DI11">
        <v>26.048446178436279</v>
      </c>
      <c r="DJ11">
        <v>354</v>
      </c>
      <c r="DK11" s="3"/>
      <c r="DL11">
        <f t="shared" si="77"/>
        <v>22</v>
      </c>
      <c r="DM11" t="s">
        <v>1781</v>
      </c>
      <c r="DN11" t="s">
        <v>1782</v>
      </c>
      <c r="DO11">
        <v>17.089723110198971</v>
      </c>
      <c r="DP11">
        <v>383</v>
      </c>
      <c r="DQ11" s="2"/>
      <c r="DR11">
        <f t="shared" si="78"/>
        <v>24</v>
      </c>
      <c r="DS11" t="s">
        <v>1783</v>
      </c>
      <c r="DT11" t="s">
        <v>1784</v>
      </c>
      <c r="DU11">
        <v>11.47021698951721</v>
      </c>
      <c r="DV11">
        <v>341</v>
      </c>
      <c r="DW11" s="3"/>
      <c r="DX11">
        <f t="shared" si="79"/>
        <v>27</v>
      </c>
      <c r="DY11" t="s">
        <v>1785</v>
      </c>
      <c r="DZ11" t="s">
        <v>1786</v>
      </c>
      <c r="EA11">
        <v>26.265923023223881</v>
      </c>
      <c r="EB11">
        <v>322</v>
      </c>
      <c r="EC11" s="2"/>
      <c r="ED11">
        <f t="shared" si="80"/>
        <v>54</v>
      </c>
      <c r="EE11" t="s">
        <v>1787</v>
      </c>
      <c r="EF11" t="s">
        <v>1788</v>
      </c>
      <c r="EG11">
        <v>13.087034702301031</v>
      </c>
      <c r="EH11">
        <v>390</v>
      </c>
      <c r="EI11" s="3"/>
      <c r="EJ11">
        <f t="shared" si="81"/>
        <v>20</v>
      </c>
      <c r="EK11" t="s">
        <v>1789</v>
      </c>
      <c r="EL11" t="s">
        <v>1790</v>
      </c>
      <c r="EM11">
        <v>14.262420892715451</v>
      </c>
      <c r="EN11">
        <v>477</v>
      </c>
      <c r="EO11" s="2"/>
      <c r="EP11">
        <f t="shared" si="82"/>
        <v>38</v>
      </c>
      <c r="EQ11" t="s">
        <v>1791</v>
      </c>
      <c r="ER11" t="s">
        <v>1792</v>
      </c>
      <c r="ES11">
        <v>12.84920430183411</v>
      </c>
      <c r="ET11">
        <v>417</v>
      </c>
      <c r="EU11" s="3"/>
      <c r="EV11">
        <f t="shared" si="83"/>
        <v>9</v>
      </c>
      <c r="EW11" t="s">
        <v>1793</v>
      </c>
      <c r="EX11" t="s">
        <v>1794</v>
      </c>
      <c r="EY11">
        <v>20.96727991104126</v>
      </c>
      <c r="EZ11">
        <v>332</v>
      </c>
      <c r="FA11" s="2"/>
      <c r="FB11">
        <f t="shared" si="84"/>
        <v>39</v>
      </c>
      <c r="FC11" t="s">
        <v>1795</v>
      </c>
      <c r="FD11" t="s">
        <v>1796</v>
      </c>
      <c r="FE11">
        <v>19.097102880477909</v>
      </c>
      <c r="FF11">
        <v>340</v>
      </c>
      <c r="FG11" s="3"/>
      <c r="FH11">
        <f t="shared" si="85"/>
        <v>23</v>
      </c>
      <c r="FI11" t="s">
        <v>1797</v>
      </c>
      <c r="FJ11" t="s">
        <v>1798</v>
      </c>
      <c r="FK11">
        <v>37.076293706893921</v>
      </c>
      <c r="FL11">
        <v>253</v>
      </c>
      <c r="FM11" s="2"/>
      <c r="FN11">
        <f t="shared" si="86"/>
        <v>28</v>
      </c>
      <c r="FO11" t="s">
        <v>1799</v>
      </c>
      <c r="FP11" t="s">
        <v>1800</v>
      </c>
      <c r="FQ11">
        <v>18.469149589538571</v>
      </c>
      <c r="FR11">
        <v>304</v>
      </c>
      <c r="FS11" s="3"/>
      <c r="FT11">
        <f t="shared" si="87"/>
        <v>7</v>
      </c>
      <c r="FU11" t="s">
        <v>1447</v>
      </c>
      <c r="FV11" t="s">
        <v>1801</v>
      </c>
      <c r="FW11">
        <v>28.777874231338501</v>
      </c>
      <c r="FX11">
        <v>353</v>
      </c>
      <c r="FY11" s="2"/>
      <c r="FZ11">
        <f t="shared" si="88"/>
        <v>29</v>
      </c>
      <c r="GA11" t="s">
        <v>1802</v>
      </c>
      <c r="GB11" t="s">
        <v>1803</v>
      </c>
      <c r="GC11">
        <v>30.915423393249512</v>
      </c>
      <c r="GD11">
        <v>359</v>
      </c>
      <c r="GE11" s="3"/>
      <c r="GF11">
        <f t="shared" si="89"/>
        <v>20</v>
      </c>
      <c r="GG11" t="s">
        <v>1804</v>
      </c>
      <c r="GH11" t="s">
        <v>1805</v>
      </c>
      <c r="GI11">
        <v>24.021233081817631</v>
      </c>
      <c r="GJ11">
        <v>362</v>
      </c>
      <c r="GK11" s="2"/>
      <c r="GL11">
        <f t="shared" si="90"/>
        <v>38</v>
      </c>
      <c r="GM11" t="s">
        <v>1806</v>
      </c>
      <c r="GN11" t="s">
        <v>1807</v>
      </c>
      <c r="GO11">
        <v>207.8150243759155</v>
      </c>
      <c r="GP11">
        <v>361</v>
      </c>
      <c r="GQ11" s="3"/>
      <c r="GR11">
        <f t="shared" si="91"/>
        <v>68</v>
      </c>
      <c r="GS11" t="s">
        <v>1808</v>
      </c>
      <c r="GT11" t="s">
        <v>1809</v>
      </c>
      <c r="GU11">
        <v>48.678709506988532</v>
      </c>
      <c r="GV11">
        <v>299</v>
      </c>
      <c r="GW11" s="2"/>
      <c r="GX11">
        <f t="shared" si="92"/>
        <v>35</v>
      </c>
      <c r="GY11" t="s">
        <v>475</v>
      </c>
      <c r="GZ11" t="s">
        <v>1810</v>
      </c>
      <c r="HA11">
        <v>9.7328236103057861</v>
      </c>
      <c r="HB11">
        <v>291</v>
      </c>
      <c r="HC11" s="3"/>
      <c r="HD11">
        <f t="shared" si="93"/>
        <v>29</v>
      </c>
      <c r="HE11" t="s">
        <v>1811</v>
      </c>
      <c r="HF11" t="s">
        <v>1812</v>
      </c>
      <c r="HG11">
        <v>19.119267463684078</v>
      </c>
      <c r="HH11">
        <v>305</v>
      </c>
      <c r="HI11" s="2"/>
      <c r="HJ11">
        <f t="shared" si="94"/>
        <v>14</v>
      </c>
      <c r="HK11" t="s">
        <v>473</v>
      </c>
      <c r="HL11" t="s">
        <v>1813</v>
      </c>
      <c r="HM11">
        <v>4.6687116622924796</v>
      </c>
      <c r="HN11">
        <v>244</v>
      </c>
      <c r="HO11" s="3"/>
      <c r="HP11">
        <f t="shared" si="95"/>
        <v>9</v>
      </c>
      <c r="HQ11" t="s">
        <v>1814</v>
      </c>
      <c r="HR11" t="s">
        <v>1815</v>
      </c>
      <c r="HS11">
        <v>46.615717649459839</v>
      </c>
      <c r="HT11">
        <v>300</v>
      </c>
      <c r="HU11" s="2"/>
      <c r="HV11">
        <f t="shared" si="96"/>
        <v>24</v>
      </c>
      <c r="HW11" t="s">
        <v>1816</v>
      </c>
      <c r="HX11" t="s">
        <v>1817</v>
      </c>
      <c r="HY11">
        <v>5.4787540435791016</v>
      </c>
      <c r="HZ11">
        <v>324</v>
      </c>
      <c r="IA11" s="3"/>
      <c r="IB11">
        <f t="shared" si="97"/>
        <v>28</v>
      </c>
      <c r="IC11" t="s">
        <v>1818</v>
      </c>
      <c r="ID11" t="s">
        <v>1819</v>
      </c>
      <c r="IE11">
        <v>21.7344217300415</v>
      </c>
      <c r="IF11">
        <v>314</v>
      </c>
      <c r="IG11" s="2"/>
      <c r="IH11">
        <f t="shared" si="98"/>
        <v>76</v>
      </c>
      <c r="II11" t="s">
        <v>1820</v>
      </c>
      <c r="IJ11" t="s">
        <v>1821</v>
      </c>
      <c r="IK11">
        <v>18.192904233932499</v>
      </c>
      <c r="IL11">
        <v>397</v>
      </c>
      <c r="IM11" s="3"/>
      <c r="IN11">
        <f t="shared" si="99"/>
        <v>13</v>
      </c>
      <c r="IO11" t="s">
        <v>1822</v>
      </c>
      <c r="IP11" t="s">
        <v>1823</v>
      </c>
      <c r="IQ11">
        <v>29.326512098312381</v>
      </c>
      <c r="IR11">
        <v>308</v>
      </c>
      <c r="IS11" s="2"/>
      <c r="IT11">
        <f t="shared" si="100"/>
        <v>27</v>
      </c>
      <c r="IU11" t="s">
        <v>1824</v>
      </c>
      <c r="IV11" t="s">
        <v>1825</v>
      </c>
      <c r="IW11">
        <v>12.09050488471985</v>
      </c>
      <c r="IX11">
        <v>276</v>
      </c>
      <c r="IY11" s="3"/>
      <c r="IZ11">
        <f t="shared" si="101"/>
        <v>27</v>
      </c>
      <c r="JA11" t="s">
        <v>1676</v>
      </c>
      <c r="JB11" t="s">
        <v>1826</v>
      </c>
      <c r="JC11">
        <v>17.865483045577999</v>
      </c>
      <c r="JD11">
        <v>285</v>
      </c>
      <c r="JE11" s="2"/>
      <c r="JF11">
        <f t="shared" si="102"/>
        <v>33</v>
      </c>
      <c r="JG11" t="s">
        <v>230</v>
      </c>
      <c r="JH11" t="s">
        <v>1827</v>
      </c>
      <c r="JI11">
        <v>13.88139724731445</v>
      </c>
      <c r="JJ11">
        <v>337</v>
      </c>
      <c r="JK11" s="3"/>
      <c r="JL11">
        <f t="shared" si="103"/>
        <v>5</v>
      </c>
      <c r="JM11" t="s">
        <v>1828</v>
      </c>
      <c r="JN11" t="s">
        <v>1829</v>
      </c>
      <c r="JO11">
        <v>36.524692296981812</v>
      </c>
      <c r="JP11">
        <v>226</v>
      </c>
      <c r="JQ11" s="2"/>
      <c r="JR11">
        <f t="shared" si="104"/>
        <v>74</v>
      </c>
      <c r="JS11" t="s">
        <v>1830</v>
      </c>
      <c r="JT11" t="s">
        <v>1831</v>
      </c>
      <c r="JU11">
        <v>31.984854221343991</v>
      </c>
      <c r="JV11">
        <v>416</v>
      </c>
      <c r="JW11" s="3"/>
      <c r="JX11">
        <f t="shared" si="105"/>
        <v>22</v>
      </c>
      <c r="JY11" t="s">
        <v>1832</v>
      </c>
      <c r="JZ11" t="s">
        <v>1833</v>
      </c>
      <c r="KA11">
        <v>18.507810354232792</v>
      </c>
      <c r="KB11">
        <v>376</v>
      </c>
      <c r="KC11" s="2"/>
      <c r="KD11">
        <f t="shared" si="106"/>
        <v>40</v>
      </c>
      <c r="KE11" t="s">
        <v>1834</v>
      </c>
      <c r="KF11" t="s">
        <v>1835</v>
      </c>
      <c r="KG11">
        <v>17.374356269836429</v>
      </c>
      <c r="KH11">
        <v>388</v>
      </c>
      <c r="KI11" s="3"/>
      <c r="KJ11">
        <f t="shared" si="107"/>
        <v>85</v>
      </c>
      <c r="KK11" t="s">
        <v>1836</v>
      </c>
      <c r="KL11" t="s">
        <v>1837</v>
      </c>
      <c r="KM11">
        <v>255.067596912384</v>
      </c>
      <c r="KN11">
        <v>479</v>
      </c>
      <c r="KO11" s="2"/>
      <c r="KP11">
        <f t="shared" si="108"/>
        <v>23</v>
      </c>
      <c r="KQ11" t="s">
        <v>1838</v>
      </c>
      <c r="KR11" t="s">
        <v>1839</v>
      </c>
      <c r="KS11">
        <v>7.9707777500152588</v>
      </c>
      <c r="KT11">
        <v>267</v>
      </c>
      <c r="KU11" s="3"/>
      <c r="KV11">
        <f t="shared" si="109"/>
        <v>6</v>
      </c>
      <c r="KW11" t="s">
        <v>1840</v>
      </c>
      <c r="KX11" t="s">
        <v>1841</v>
      </c>
      <c r="KY11">
        <v>16.969251155853271</v>
      </c>
      <c r="KZ11">
        <v>235</v>
      </c>
      <c r="LA11" s="2"/>
      <c r="LB11">
        <f t="shared" si="110"/>
        <v>30</v>
      </c>
      <c r="LC11" t="s">
        <v>1842</v>
      </c>
      <c r="LD11" t="s">
        <v>1843</v>
      </c>
      <c r="LE11">
        <v>13.642235517501829</v>
      </c>
      <c r="LF11">
        <v>417</v>
      </c>
      <c r="LG11" s="3"/>
      <c r="LH11">
        <f t="shared" si="111"/>
        <v>0</v>
      </c>
      <c r="LJ11" t="s">
        <v>1844</v>
      </c>
      <c r="LK11">
        <v>98.851583242416382</v>
      </c>
      <c r="LL11">
        <v>302</v>
      </c>
      <c r="LM11" s="2"/>
      <c r="LN11">
        <f t="shared" si="112"/>
        <v>38</v>
      </c>
      <c r="LO11" t="s">
        <v>1845</v>
      </c>
      <c r="LP11" t="s">
        <v>1846</v>
      </c>
      <c r="LQ11">
        <v>15.412369251251221</v>
      </c>
      <c r="LR11">
        <v>451</v>
      </c>
      <c r="LS11" s="3"/>
      <c r="LT11">
        <f t="shared" si="113"/>
        <v>18</v>
      </c>
      <c r="LU11" t="s">
        <v>1019</v>
      </c>
      <c r="LV11" t="s">
        <v>1847</v>
      </c>
      <c r="LW11">
        <v>27.519076108932499</v>
      </c>
      <c r="LX11">
        <v>328</v>
      </c>
      <c r="LY11" s="2"/>
      <c r="LZ11">
        <f t="shared" si="114"/>
        <v>30</v>
      </c>
      <c r="MA11" t="s">
        <v>1814</v>
      </c>
      <c r="MB11" t="s">
        <v>1848</v>
      </c>
      <c r="MC11">
        <v>23.49524021148682</v>
      </c>
      <c r="MD11">
        <v>347</v>
      </c>
      <c r="ME11" s="3"/>
      <c r="MF11">
        <f t="shared" si="115"/>
        <v>13</v>
      </c>
      <c r="MG11" t="s">
        <v>1840</v>
      </c>
      <c r="MH11" t="s">
        <v>1849</v>
      </c>
      <c r="MI11">
        <v>23.941891431808472</v>
      </c>
      <c r="MJ11">
        <v>400</v>
      </c>
      <c r="MK11" s="2"/>
      <c r="ML11">
        <f t="shared" si="116"/>
        <v>38</v>
      </c>
      <c r="MM11" t="s">
        <v>1850</v>
      </c>
      <c r="MN11" t="s">
        <v>1851</v>
      </c>
      <c r="MO11">
        <v>9.8608450889587402</v>
      </c>
      <c r="MP11">
        <v>282</v>
      </c>
      <c r="MQ11" s="3"/>
      <c r="MR11">
        <f t="shared" si="117"/>
        <v>34</v>
      </c>
      <c r="MS11" t="s">
        <v>1852</v>
      </c>
      <c r="MT11" t="s">
        <v>1853</v>
      </c>
      <c r="MU11">
        <v>19.017189979553219</v>
      </c>
      <c r="MV11">
        <v>433</v>
      </c>
      <c r="MW11" s="2"/>
      <c r="MX11">
        <f t="shared" si="118"/>
        <v>72</v>
      </c>
      <c r="MY11" t="s">
        <v>1854</v>
      </c>
      <c r="MZ11" t="s">
        <v>1181</v>
      </c>
      <c r="NA11">
        <v>37.463292837142937</v>
      </c>
      <c r="NB11">
        <v>301</v>
      </c>
      <c r="NC11" s="3"/>
      <c r="ND11">
        <f t="shared" si="119"/>
        <v>28</v>
      </c>
      <c r="NE11" t="s">
        <v>1855</v>
      </c>
      <c r="NF11" t="s">
        <v>1856</v>
      </c>
      <c r="NG11">
        <v>25.502231359481812</v>
      </c>
      <c r="NH11">
        <v>249</v>
      </c>
      <c r="NI11" s="2"/>
      <c r="NJ11">
        <f t="shared" si="120"/>
        <v>16</v>
      </c>
      <c r="NK11" t="s">
        <v>1857</v>
      </c>
      <c r="NL11" t="s">
        <v>1858</v>
      </c>
      <c r="NM11">
        <v>32.201864719390869</v>
      </c>
      <c r="NN11">
        <v>350</v>
      </c>
      <c r="NO11" s="3"/>
      <c r="NP11">
        <f t="shared" si="121"/>
        <v>21</v>
      </c>
      <c r="NQ11" t="s">
        <v>1859</v>
      </c>
      <c r="NR11" t="s">
        <v>1860</v>
      </c>
      <c r="NS11">
        <v>8.989389181137085</v>
      </c>
      <c r="NT11">
        <v>230</v>
      </c>
      <c r="NU11" s="2"/>
      <c r="NV11">
        <f t="shared" si="122"/>
        <v>48</v>
      </c>
      <c r="NW11" t="s">
        <v>1861</v>
      </c>
      <c r="NX11" t="s">
        <v>1862</v>
      </c>
      <c r="NY11">
        <v>22.035405397415161</v>
      </c>
      <c r="NZ11">
        <v>259</v>
      </c>
      <c r="OA11" s="3"/>
      <c r="OB11">
        <f t="shared" si="123"/>
        <v>44</v>
      </c>
      <c r="OC11" t="s">
        <v>1863</v>
      </c>
      <c r="OD11" t="s">
        <v>1864</v>
      </c>
      <c r="OE11">
        <v>112.2912256717682</v>
      </c>
      <c r="OF11">
        <v>303</v>
      </c>
      <c r="OG11" s="2"/>
      <c r="OH11">
        <f t="shared" si="124"/>
        <v>30</v>
      </c>
      <c r="OI11" t="s">
        <v>1865</v>
      </c>
      <c r="OJ11" t="s">
        <v>1866</v>
      </c>
      <c r="OK11">
        <v>34.713675498962402</v>
      </c>
      <c r="OL11">
        <v>412</v>
      </c>
      <c r="OM11" s="3"/>
      <c r="ON11">
        <f t="shared" si="125"/>
        <v>38</v>
      </c>
      <c r="OO11" t="s">
        <v>1867</v>
      </c>
      <c r="OP11" t="s">
        <v>1868</v>
      </c>
      <c r="OQ11">
        <v>19.026435375213619</v>
      </c>
      <c r="OR11">
        <v>284</v>
      </c>
      <c r="OS11" s="2"/>
      <c r="OT11">
        <f t="shared" si="126"/>
        <v>34</v>
      </c>
      <c r="OU11" t="s">
        <v>1869</v>
      </c>
      <c r="OV11" t="s">
        <v>1870</v>
      </c>
      <c r="OW11">
        <v>32.025907516479492</v>
      </c>
      <c r="OX11">
        <v>353</v>
      </c>
      <c r="OY11" s="3"/>
      <c r="OZ11">
        <f t="shared" si="127"/>
        <v>24</v>
      </c>
      <c r="PA11" t="s">
        <v>1871</v>
      </c>
      <c r="PB11" t="s">
        <v>1872</v>
      </c>
      <c r="PC11">
        <v>6.6915192604064941</v>
      </c>
      <c r="PD11">
        <v>334</v>
      </c>
      <c r="PE11" s="2"/>
      <c r="PF11">
        <f t="shared" si="128"/>
        <v>85</v>
      </c>
      <c r="PG11" t="s">
        <v>1873</v>
      </c>
      <c r="PH11" t="s">
        <v>1874</v>
      </c>
      <c r="PI11">
        <v>44.411901235580437</v>
      </c>
      <c r="PJ11">
        <v>391</v>
      </c>
      <c r="PK11" s="3"/>
      <c r="PL11">
        <f t="shared" si="129"/>
        <v>36</v>
      </c>
      <c r="PM11" t="s">
        <v>1875</v>
      </c>
      <c r="PN11" t="s">
        <v>1876</v>
      </c>
      <c r="PO11">
        <v>12.73038601875305</v>
      </c>
      <c r="PP11">
        <v>371</v>
      </c>
      <c r="PQ11" s="2"/>
      <c r="PR11">
        <f t="shared" si="130"/>
        <v>33</v>
      </c>
      <c r="PS11" t="s">
        <v>1877</v>
      </c>
      <c r="PT11" t="s">
        <v>1878</v>
      </c>
      <c r="PU11">
        <v>23.109462022781369</v>
      </c>
      <c r="PV11">
        <v>426</v>
      </c>
      <c r="PW11" s="3"/>
      <c r="PX11">
        <f t="shared" si="131"/>
        <v>44</v>
      </c>
      <c r="PY11" t="s">
        <v>1215</v>
      </c>
      <c r="PZ11" t="s">
        <v>1879</v>
      </c>
      <c r="QA11">
        <v>73.849069118499756</v>
      </c>
      <c r="QB11">
        <v>339</v>
      </c>
      <c r="QC11" s="2"/>
      <c r="QD11">
        <f t="shared" si="132"/>
        <v>26</v>
      </c>
      <c r="QE11" t="s">
        <v>1880</v>
      </c>
      <c r="QF11" t="s">
        <v>1881</v>
      </c>
      <c r="QG11">
        <v>21.627248287200931</v>
      </c>
      <c r="QH11">
        <v>379</v>
      </c>
      <c r="QI11" s="3"/>
      <c r="QJ11">
        <f t="shared" si="133"/>
        <v>34</v>
      </c>
      <c r="QK11" t="s">
        <v>1882</v>
      </c>
      <c r="QL11" t="s">
        <v>1883</v>
      </c>
      <c r="QM11">
        <v>25.723023653030399</v>
      </c>
      <c r="QN11">
        <v>392</v>
      </c>
      <c r="QO11" s="4"/>
      <c r="QP11">
        <f t="shared" si="134"/>
        <v>75</v>
      </c>
      <c r="QQ11" t="s">
        <v>1884</v>
      </c>
      <c r="QR11" t="s">
        <v>1885</v>
      </c>
      <c r="QS11">
        <v>306.95453095436102</v>
      </c>
      <c r="QT11">
        <v>421</v>
      </c>
      <c r="QU11" s="3"/>
      <c r="QV11">
        <f t="shared" si="135"/>
        <v>31</v>
      </c>
      <c r="QW11" t="s">
        <v>1886</v>
      </c>
      <c r="QX11" t="s">
        <v>1887</v>
      </c>
      <c r="QY11">
        <v>27.522179841995239</v>
      </c>
      <c r="QZ11">
        <v>345</v>
      </c>
      <c r="RA11" s="2"/>
      <c r="RB11">
        <f t="shared" si="136"/>
        <v>25</v>
      </c>
      <c r="RC11" t="s">
        <v>101</v>
      </c>
      <c r="RD11" t="s">
        <v>1888</v>
      </c>
      <c r="RE11">
        <v>34.961772203445427</v>
      </c>
      <c r="RF11">
        <v>370</v>
      </c>
      <c r="RG11" s="3"/>
      <c r="RH11">
        <f t="shared" si="137"/>
        <v>24</v>
      </c>
      <c r="RI11" t="s">
        <v>565</v>
      </c>
      <c r="RJ11" t="s">
        <v>1889</v>
      </c>
      <c r="RK11">
        <v>19.373279094696041</v>
      </c>
      <c r="RL11">
        <v>271</v>
      </c>
      <c r="RM11" s="2"/>
      <c r="RN11">
        <f t="shared" si="138"/>
        <v>34</v>
      </c>
      <c r="RO11" t="s">
        <v>1890</v>
      </c>
      <c r="RP11" t="s">
        <v>1891</v>
      </c>
      <c r="RQ11">
        <v>19.755630970001221</v>
      </c>
      <c r="RR11">
        <v>314</v>
      </c>
      <c r="RS11" s="3"/>
      <c r="RT11">
        <f t="shared" si="139"/>
        <v>32</v>
      </c>
      <c r="RU11" t="s">
        <v>1892</v>
      </c>
      <c r="RV11" t="s">
        <v>1893</v>
      </c>
      <c r="RW11">
        <v>62.191200256347663</v>
      </c>
      <c r="RX11">
        <v>322</v>
      </c>
      <c r="RY11" s="2"/>
      <c r="RZ11">
        <f t="shared" si="140"/>
        <v>36</v>
      </c>
      <c r="SA11" t="s">
        <v>1894</v>
      </c>
      <c r="SB11" t="s">
        <v>1895</v>
      </c>
      <c r="SC11">
        <v>20.553687334060669</v>
      </c>
      <c r="SD11">
        <v>366</v>
      </c>
      <c r="SE11" s="3"/>
      <c r="SF11">
        <f t="shared" si="141"/>
        <v>34</v>
      </c>
      <c r="SG11" t="s">
        <v>1896</v>
      </c>
      <c r="SH11" t="s">
        <v>1897</v>
      </c>
      <c r="SI11">
        <v>13.48011088371277</v>
      </c>
      <c r="SJ11">
        <v>354</v>
      </c>
      <c r="SK11" s="2"/>
      <c r="SL11">
        <f t="shared" si="142"/>
        <v>79</v>
      </c>
      <c r="SM11" t="s">
        <v>1898</v>
      </c>
      <c r="SN11" t="s">
        <v>1899</v>
      </c>
      <c r="SO11">
        <v>44.978358745574951</v>
      </c>
      <c r="SP11">
        <v>463</v>
      </c>
      <c r="SQ11" s="3"/>
      <c r="SR11">
        <f t="shared" si="143"/>
        <v>33</v>
      </c>
      <c r="SS11" t="s">
        <v>1494</v>
      </c>
      <c r="ST11" t="s">
        <v>1900</v>
      </c>
      <c r="SU11">
        <v>17.493264675140381</v>
      </c>
      <c r="SV11">
        <v>387</v>
      </c>
      <c r="SW11" s="2"/>
      <c r="SX11">
        <f t="shared" si="144"/>
        <v>32</v>
      </c>
      <c r="SY11" t="s">
        <v>1901</v>
      </c>
      <c r="SZ11" t="s">
        <v>1902</v>
      </c>
      <c r="TA11">
        <v>48.183661460876458</v>
      </c>
      <c r="TB11">
        <v>287</v>
      </c>
      <c r="TC11" s="3"/>
      <c r="TD11">
        <f t="shared" si="145"/>
        <v>73</v>
      </c>
      <c r="TE11" t="s">
        <v>1903</v>
      </c>
      <c r="TF11" t="s">
        <v>1904</v>
      </c>
      <c r="TG11">
        <v>20.917419672012329</v>
      </c>
      <c r="TH11">
        <v>363</v>
      </c>
      <c r="TI11" s="2"/>
      <c r="TJ11">
        <f t="shared" si="146"/>
        <v>13</v>
      </c>
      <c r="TK11" t="s">
        <v>1905</v>
      </c>
      <c r="TL11" t="s">
        <v>1906</v>
      </c>
      <c r="TM11">
        <v>39.639269828796387</v>
      </c>
      <c r="TN11">
        <v>357</v>
      </c>
      <c r="TO11" s="3"/>
      <c r="TP11">
        <f t="shared" si="147"/>
        <v>28</v>
      </c>
      <c r="TQ11" t="s">
        <v>1907</v>
      </c>
      <c r="TR11" t="s">
        <v>1908</v>
      </c>
      <c r="TS11">
        <v>14.90070700645447</v>
      </c>
      <c r="TT11">
        <v>295</v>
      </c>
      <c r="TU11" s="2"/>
      <c r="TV11">
        <f t="shared" si="148"/>
        <v>76</v>
      </c>
      <c r="TW11" t="s">
        <v>1909</v>
      </c>
      <c r="TX11" t="s">
        <v>1910</v>
      </c>
      <c r="TY11">
        <v>133.60704874992371</v>
      </c>
      <c r="TZ11">
        <v>293</v>
      </c>
      <c r="UA11" s="3"/>
      <c r="UB11">
        <f t="shared" si="149"/>
        <v>54</v>
      </c>
      <c r="UC11" t="s">
        <v>1911</v>
      </c>
      <c r="UD11" t="s">
        <v>1912</v>
      </c>
      <c r="UE11">
        <v>11.328394174575809</v>
      </c>
      <c r="UF11">
        <v>323</v>
      </c>
      <c r="UG11" s="2"/>
      <c r="UH11">
        <f t="shared" si="150"/>
        <v>16</v>
      </c>
      <c r="UI11" t="s">
        <v>1913</v>
      </c>
      <c r="UJ11" t="s">
        <v>1914</v>
      </c>
      <c r="UK11">
        <v>33.434021472930908</v>
      </c>
      <c r="UL11">
        <v>153</v>
      </c>
      <c r="UM11" s="3"/>
      <c r="UN11">
        <f t="shared" si="151"/>
        <v>30</v>
      </c>
      <c r="UO11" t="s">
        <v>1915</v>
      </c>
      <c r="UP11" t="s">
        <v>1916</v>
      </c>
      <c r="UQ11">
        <v>17.369050025939941</v>
      </c>
      <c r="UR11">
        <v>306</v>
      </c>
      <c r="US11" s="2"/>
      <c r="UT11">
        <f t="shared" si="152"/>
        <v>69</v>
      </c>
      <c r="UU11" t="s">
        <v>1917</v>
      </c>
      <c r="UV11" t="s">
        <v>1918</v>
      </c>
      <c r="UW11">
        <v>38.735696077346802</v>
      </c>
      <c r="UX11">
        <v>487</v>
      </c>
      <c r="UY11" s="3"/>
      <c r="UZ11">
        <f t="shared" si="153"/>
        <v>30</v>
      </c>
      <c r="VA11" t="s">
        <v>1919</v>
      </c>
      <c r="VB11" t="s">
        <v>1920</v>
      </c>
      <c r="VC11">
        <v>18.059411287307739</v>
      </c>
      <c r="VD11">
        <v>302</v>
      </c>
      <c r="VE11" s="2"/>
      <c r="VF11">
        <f t="shared" si="154"/>
        <v>10</v>
      </c>
      <c r="VG11" t="s">
        <v>1921</v>
      </c>
      <c r="VH11" t="s">
        <v>1922</v>
      </c>
      <c r="VI11">
        <v>244.39202570915219</v>
      </c>
      <c r="VJ11">
        <v>283</v>
      </c>
      <c r="VK11" s="3"/>
      <c r="VL11">
        <f t="shared" si="155"/>
        <v>66</v>
      </c>
      <c r="VM11" t="s">
        <v>1923</v>
      </c>
      <c r="VN11" t="s">
        <v>1924</v>
      </c>
      <c r="VO11">
        <v>18.469962120056149</v>
      </c>
      <c r="VP11">
        <v>473</v>
      </c>
      <c r="VQ11" s="2"/>
      <c r="VR11">
        <f t="shared" si="156"/>
        <v>0</v>
      </c>
      <c r="VT11" t="s">
        <v>1925</v>
      </c>
      <c r="VU11">
        <v>132.7554569244385</v>
      </c>
      <c r="VV11">
        <v>268</v>
      </c>
      <c r="VW11" s="3"/>
      <c r="VX11">
        <f t="shared" si="157"/>
        <v>28</v>
      </c>
      <c r="VY11" t="s">
        <v>1926</v>
      </c>
      <c r="VZ11" t="s">
        <v>1927</v>
      </c>
      <c r="WA11">
        <v>9.309373140335083</v>
      </c>
      <c r="WB11">
        <v>395</v>
      </c>
      <c r="WC11" s="2"/>
      <c r="WD11">
        <f t="shared" si="158"/>
        <v>19</v>
      </c>
      <c r="WE11" t="s">
        <v>1928</v>
      </c>
      <c r="WF11" t="s">
        <v>1929</v>
      </c>
      <c r="WG11">
        <v>24.37470269203186</v>
      </c>
      <c r="WH11">
        <v>238</v>
      </c>
      <c r="WI11" s="3"/>
      <c r="WJ11">
        <f t="shared" si="159"/>
        <v>72</v>
      </c>
      <c r="WK11" t="s">
        <v>1930</v>
      </c>
      <c r="WL11" t="s">
        <v>1931</v>
      </c>
      <c r="WM11">
        <v>15.9688446521759</v>
      </c>
      <c r="WN11">
        <v>424</v>
      </c>
      <c r="WO11" s="2"/>
      <c r="WP11">
        <f t="shared" si="160"/>
        <v>21</v>
      </c>
      <c r="WQ11" t="s">
        <v>1316</v>
      </c>
      <c r="WR11" t="s">
        <v>1932</v>
      </c>
      <c r="WS11">
        <v>14.91727614402771</v>
      </c>
      <c r="WT11">
        <v>273</v>
      </c>
      <c r="WU11" s="3"/>
      <c r="WV11">
        <f t="shared" si="161"/>
        <v>21</v>
      </c>
      <c r="WW11" t="s">
        <v>1933</v>
      </c>
      <c r="WX11" t="s">
        <v>1934</v>
      </c>
      <c r="WY11">
        <v>12.40156269073486</v>
      </c>
      <c r="WZ11">
        <v>379</v>
      </c>
      <c r="XA11" s="2"/>
      <c r="XB11">
        <f t="shared" si="162"/>
        <v>18</v>
      </c>
      <c r="XC11" t="s">
        <v>782</v>
      </c>
      <c r="XD11" t="s">
        <v>1935</v>
      </c>
      <c r="XE11">
        <v>24.974502563476559</v>
      </c>
      <c r="XF11">
        <v>348</v>
      </c>
      <c r="XG11" s="3"/>
      <c r="XH11">
        <f t="shared" si="163"/>
        <v>38</v>
      </c>
      <c r="XI11" t="s">
        <v>1936</v>
      </c>
      <c r="XJ11" t="s">
        <v>1937</v>
      </c>
      <c r="XK11">
        <v>7.489229679107666</v>
      </c>
      <c r="XL11">
        <v>298</v>
      </c>
      <c r="XM11" s="2"/>
      <c r="XN11">
        <f t="shared" si="164"/>
        <v>34</v>
      </c>
      <c r="XO11" t="s">
        <v>1033</v>
      </c>
      <c r="XP11" t="s">
        <v>1938</v>
      </c>
      <c r="XQ11">
        <v>18.71504282951355</v>
      </c>
      <c r="XR11">
        <v>305</v>
      </c>
      <c r="XS11" s="3"/>
      <c r="XT11">
        <f t="shared" si="165"/>
        <v>92</v>
      </c>
      <c r="XU11" t="s">
        <v>1939</v>
      </c>
      <c r="XV11" t="s">
        <v>1940</v>
      </c>
      <c r="XW11">
        <v>15.94490122795105</v>
      </c>
      <c r="XX11">
        <v>379</v>
      </c>
      <c r="XY11" s="2"/>
      <c r="XZ11">
        <f t="shared" si="166"/>
        <v>20</v>
      </c>
      <c r="YA11" t="s">
        <v>1167</v>
      </c>
      <c r="YB11" t="s">
        <v>1941</v>
      </c>
      <c r="YC11">
        <v>53.549537897109992</v>
      </c>
      <c r="YD11">
        <v>388</v>
      </c>
      <c r="YE11" s="3"/>
      <c r="YF11">
        <f t="shared" si="167"/>
        <v>33</v>
      </c>
      <c r="YG11" t="s">
        <v>1942</v>
      </c>
      <c r="YH11" t="s">
        <v>1943</v>
      </c>
      <c r="YI11">
        <v>8.048717737197876</v>
      </c>
      <c r="YJ11">
        <v>322</v>
      </c>
      <c r="YK11" s="2"/>
      <c r="YL11">
        <f t="shared" si="168"/>
        <v>63</v>
      </c>
      <c r="YM11" t="s">
        <v>1944</v>
      </c>
      <c r="YN11" t="s">
        <v>1945</v>
      </c>
      <c r="YO11">
        <v>23.770256280899051</v>
      </c>
      <c r="YP11">
        <v>322</v>
      </c>
      <c r="YQ11" s="3"/>
      <c r="YR11">
        <f t="shared" si="169"/>
        <v>32</v>
      </c>
      <c r="YS11" t="s">
        <v>1946</v>
      </c>
      <c r="YT11" t="s">
        <v>1947</v>
      </c>
      <c r="YU11">
        <v>12.188624858856199</v>
      </c>
      <c r="YV11">
        <v>403</v>
      </c>
      <c r="YW11" s="2"/>
      <c r="YX11">
        <f t="shared" si="170"/>
        <v>41</v>
      </c>
      <c r="YY11" t="s">
        <v>1948</v>
      </c>
      <c r="YZ11" t="s">
        <v>1949</v>
      </c>
      <c r="ZA11">
        <v>36.112285614013672</v>
      </c>
      <c r="ZB11">
        <v>393</v>
      </c>
      <c r="ZC11" s="3"/>
      <c r="ZD11">
        <f t="shared" si="171"/>
        <v>51</v>
      </c>
      <c r="ZE11" t="s">
        <v>1344</v>
      </c>
      <c r="ZF11" t="s">
        <v>1950</v>
      </c>
      <c r="ZG11">
        <v>36.507297992706299</v>
      </c>
      <c r="ZH11">
        <v>357</v>
      </c>
      <c r="ZI11" s="2"/>
      <c r="ZJ11">
        <f t="shared" si="172"/>
        <v>70</v>
      </c>
      <c r="ZK11" t="s">
        <v>1951</v>
      </c>
      <c r="ZL11" t="s">
        <v>1952</v>
      </c>
      <c r="ZM11">
        <v>238.14667725563049</v>
      </c>
      <c r="ZN11">
        <v>300</v>
      </c>
      <c r="ZO11" s="3"/>
      <c r="ZP11">
        <f t="shared" si="173"/>
        <v>24</v>
      </c>
      <c r="ZQ11" t="s">
        <v>1953</v>
      </c>
      <c r="ZR11" t="s">
        <v>1954</v>
      </c>
      <c r="ZS11">
        <v>14.915024280548099</v>
      </c>
      <c r="ZT11">
        <v>282</v>
      </c>
      <c r="ZU11" s="2"/>
      <c r="ZV11">
        <f t="shared" si="174"/>
        <v>15</v>
      </c>
      <c r="ZW11" t="s">
        <v>1955</v>
      </c>
      <c r="ZX11" t="s">
        <v>1956</v>
      </c>
      <c r="ZY11">
        <v>26.577032089233398</v>
      </c>
      <c r="ZZ11">
        <v>227</v>
      </c>
      <c r="AAA11" s="3"/>
      <c r="AAB11">
        <f t="shared" si="175"/>
        <v>20</v>
      </c>
      <c r="AAC11" t="s">
        <v>1957</v>
      </c>
      <c r="AAD11" t="s">
        <v>1958</v>
      </c>
      <c r="AAE11">
        <v>12.65299224853516</v>
      </c>
      <c r="AAF11">
        <v>315</v>
      </c>
      <c r="AAG11" s="2"/>
      <c r="AAH11">
        <f t="shared" si="176"/>
        <v>18</v>
      </c>
      <c r="AAI11" t="s">
        <v>1574</v>
      </c>
      <c r="AAJ11" t="s">
        <v>1959</v>
      </c>
      <c r="AAK11">
        <v>50.759985685348511</v>
      </c>
      <c r="AAL11">
        <v>367</v>
      </c>
      <c r="AAM11" s="3"/>
      <c r="AAN11">
        <f t="shared" si="177"/>
        <v>34</v>
      </c>
      <c r="AAO11" t="s">
        <v>18</v>
      </c>
      <c r="AAP11" t="s">
        <v>1960</v>
      </c>
      <c r="AAQ11">
        <v>5.6883466243743896</v>
      </c>
      <c r="AAR11">
        <v>346</v>
      </c>
      <c r="AAS11" s="2"/>
      <c r="AAT11">
        <f t="shared" si="178"/>
        <v>22</v>
      </c>
      <c r="AAU11" t="s">
        <v>1961</v>
      </c>
      <c r="AAV11" t="s">
        <v>1962</v>
      </c>
      <c r="AAW11">
        <v>173.30934834480291</v>
      </c>
      <c r="AAX11">
        <v>371</v>
      </c>
      <c r="AAY11" s="3"/>
      <c r="AAZ11">
        <f t="shared" si="179"/>
        <v>18</v>
      </c>
      <c r="ABA11" t="s">
        <v>1963</v>
      </c>
      <c r="ABB11" t="s">
        <v>1964</v>
      </c>
      <c r="ABC11">
        <v>6.506688117980957</v>
      </c>
      <c r="ABD11">
        <v>432</v>
      </c>
      <c r="ABE11" s="2"/>
      <c r="ABF11">
        <f t="shared" si="180"/>
        <v>24</v>
      </c>
      <c r="ABG11" t="s">
        <v>1406</v>
      </c>
      <c r="ABH11" t="s">
        <v>1965</v>
      </c>
      <c r="ABI11">
        <v>10.61886763572693</v>
      </c>
      <c r="ABJ11">
        <v>282</v>
      </c>
      <c r="ABK11" s="6"/>
      <c r="ABL11">
        <f t="shared" si="181"/>
        <v>17</v>
      </c>
      <c r="ABM11" t="s">
        <v>449</v>
      </c>
      <c r="ABN11" t="s">
        <v>1966</v>
      </c>
      <c r="ABO11">
        <v>21.743666887283329</v>
      </c>
      <c r="ABP11">
        <v>367</v>
      </c>
      <c r="ABQ11" s="2"/>
    </row>
    <row r="12" spans="1:745" x14ac:dyDescent="0.25">
      <c r="A12">
        <v>10</v>
      </c>
      <c r="B12">
        <f t="shared" si="58"/>
        <v>34</v>
      </c>
      <c r="C12" t="s">
        <v>1967</v>
      </c>
      <c r="D12" t="s">
        <v>1968</v>
      </c>
      <c r="E12">
        <v>16.161451816558841</v>
      </c>
      <c r="F12">
        <v>399</v>
      </c>
      <c r="G12" s="1"/>
      <c r="H12">
        <f t="shared" si="59"/>
        <v>62</v>
      </c>
      <c r="I12" t="s">
        <v>1969</v>
      </c>
      <c r="J12" t="s">
        <v>1970</v>
      </c>
      <c r="K12">
        <v>28.49599385261536</v>
      </c>
      <c r="L12">
        <v>414</v>
      </c>
      <c r="M12" s="2"/>
      <c r="N12">
        <f t="shared" si="60"/>
        <v>22</v>
      </c>
      <c r="O12" t="s">
        <v>1971</v>
      </c>
      <c r="P12" t="s">
        <v>1972</v>
      </c>
      <c r="Q12">
        <v>12.238301753997799</v>
      </c>
      <c r="R12">
        <v>344</v>
      </c>
      <c r="S12" s="3"/>
      <c r="T12">
        <f t="shared" si="61"/>
        <v>0</v>
      </c>
      <c r="V12" t="s">
        <v>1973</v>
      </c>
      <c r="W12">
        <v>14.780864000320429</v>
      </c>
      <c r="X12">
        <v>379</v>
      </c>
      <c r="Y12" s="2"/>
      <c r="Z12">
        <f t="shared" si="62"/>
        <v>30</v>
      </c>
      <c r="AA12" t="s">
        <v>1974</v>
      </c>
      <c r="AB12" t="s">
        <v>1975</v>
      </c>
      <c r="AC12">
        <v>11.835052251815799</v>
      </c>
      <c r="AD12">
        <v>351</v>
      </c>
      <c r="AE12" s="3"/>
      <c r="AF12">
        <f t="shared" si="63"/>
        <v>103</v>
      </c>
      <c r="AG12" t="s">
        <v>1976</v>
      </c>
      <c r="AH12" t="s">
        <v>1977</v>
      </c>
      <c r="AI12">
        <v>21.67904901504517</v>
      </c>
      <c r="AJ12">
        <v>381</v>
      </c>
      <c r="AK12" s="2"/>
      <c r="AL12">
        <f t="shared" si="64"/>
        <v>38</v>
      </c>
      <c r="AM12" t="s">
        <v>249</v>
      </c>
      <c r="AN12" t="s">
        <v>1759</v>
      </c>
      <c r="AO12">
        <v>8.0034606456756592</v>
      </c>
      <c r="AP12">
        <v>347</v>
      </c>
      <c r="AQ12" s="3"/>
      <c r="AR12">
        <f t="shared" si="65"/>
        <v>45</v>
      </c>
      <c r="AS12" t="s">
        <v>1978</v>
      </c>
      <c r="AT12" t="s">
        <v>1979</v>
      </c>
      <c r="AU12">
        <v>18.138111352920529</v>
      </c>
      <c r="AV12">
        <v>354</v>
      </c>
      <c r="AW12" s="2"/>
      <c r="AX12">
        <f t="shared" si="66"/>
        <v>29</v>
      </c>
      <c r="AY12" t="s">
        <v>1980</v>
      </c>
      <c r="AZ12" t="s">
        <v>1981</v>
      </c>
      <c r="BA12">
        <v>9.0747172832489014</v>
      </c>
      <c r="BB12">
        <v>307</v>
      </c>
      <c r="BC12" s="3"/>
      <c r="BD12">
        <f t="shared" si="67"/>
        <v>17</v>
      </c>
      <c r="BE12" t="s">
        <v>1913</v>
      </c>
      <c r="BF12" t="s">
        <v>1982</v>
      </c>
      <c r="BG12">
        <v>228.07070112228391</v>
      </c>
      <c r="BH12">
        <v>401</v>
      </c>
      <c r="BI12" s="2"/>
      <c r="BJ12">
        <f t="shared" si="68"/>
        <v>29</v>
      </c>
      <c r="BK12" t="s">
        <v>1983</v>
      </c>
      <c r="BL12" t="s">
        <v>1984</v>
      </c>
      <c r="BM12">
        <v>22.566474914550781</v>
      </c>
      <c r="BN12">
        <v>396</v>
      </c>
      <c r="BO12" s="3"/>
      <c r="BP12">
        <f t="shared" si="69"/>
        <v>99</v>
      </c>
      <c r="BQ12" t="s">
        <v>1985</v>
      </c>
      <c r="BR12" t="s">
        <v>1986</v>
      </c>
      <c r="BS12">
        <v>320.85896015167242</v>
      </c>
      <c r="BT12">
        <v>442</v>
      </c>
      <c r="BU12" s="2"/>
      <c r="BV12">
        <f t="shared" si="70"/>
        <v>23</v>
      </c>
      <c r="BW12" t="s">
        <v>38</v>
      </c>
      <c r="BX12" t="s">
        <v>1987</v>
      </c>
      <c r="BY12">
        <v>7.750532865524292</v>
      </c>
      <c r="BZ12">
        <v>393</v>
      </c>
      <c r="CA12" s="3"/>
      <c r="CB12">
        <f t="shared" si="71"/>
        <v>40</v>
      </c>
      <c r="CC12" t="s">
        <v>1988</v>
      </c>
      <c r="CD12" t="s">
        <v>1989</v>
      </c>
      <c r="CE12">
        <v>42.675740718841553</v>
      </c>
      <c r="CF12">
        <v>475</v>
      </c>
      <c r="CG12" s="2"/>
      <c r="CH12">
        <f t="shared" si="72"/>
        <v>36</v>
      </c>
      <c r="CI12" t="s">
        <v>1980</v>
      </c>
      <c r="CJ12" t="s">
        <v>1990</v>
      </c>
      <c r="CK12">
        <v>8.3582344055175781</v>
      </c>
      <c r="CL12">
        <v>272</v>
      </c>
      <c r="CM12" s="3"/>
      <c r="CN12">
        <f t="shared" si="73"/>
        <v>10</v>
      </c>
      <c r="CO12" t="s">
        <v>1991</v>
      </c>
      <c r="CP12" t="s">
        <v>1992</v>
      </c>
      <c r="CQ12">
        <v>34.390617847442627</v>
      </c>
      <c r="CR12">
        <v>244</v>
      </c>
      <c r="CS12" s="2"/>
      <c r="CT12">
        <f t="shared" si="74"/>
        <v>32</v>
      </c>
      <c r="CU12" t="s">
        <v>1993</v>
      </c>
      <c r="CV12" t="s">
        <v>1994</v>
      </c>
      <c r="CW12">
        <v>26.99189472198486</v>
      </c>
      <c r="CX12">
        <v>294</v>
      </c>
      <c r="CY12" s="3"/>
      <c r="CZ12">
        <f t="shared" si="75"/>
        <v>65</v>
      </c>
      <c r="DA12" t="s">
        <v>1995</v>
      </c>
      <c r="DB12" t="s">
        <v>1996</v>
      </c>
      <c r="DC12">
        <v>56.42611026763916</v>
      </c>
      <c r="DD12">
        <v>428</v>
      </c>
      <c r="DE12" s="2"/>
      <c r="DF12">
        <f t="shared" si="76"/>
        <v>39</v>
      </c>
      <c r="DG12" t="s">
        <v>1997</v>
      </c>
      <c r="DH12" t="s">
        <v>1998</v>
      </c>
      <c r="DI12">
        <v>31.33566951751709</v>
      </c>
      <c r="DJ12">
        <v>393</v>
      </c>
      <c r="DK12" s="3"/>
      <c r="DL12">
        <f t="shared" si="77"/>
        <v>35</v>
      </c>
      <c r="DM12" t="s">
        <v>786</v>
      </c>
      <c r="DN12" t="s">
        <v>1999</v>
      </c>
      <c r="DO12">
        <v>38.27075982093811</v>
      </c>
      <c r="DP12">
        <v>418</v>
      </c>
      <c r="DQ12" s="2"/>
      <c r="DR12">
        <f t="shared" si="78"/>
        <v>33</v>
      </c>
      <c r="DS12" t="s">
        <v>2000</v>
      </c>
      <c r="DT12" t="s">
        <v>2001</v>
      </c>
      <c r="DU12">
        <v>22.456330299377441</v>
      </c>
      <c r="DV12">
        <v>374</v>
      </c>
      <c r="DW12" s="3"/>
      <c r="DX12">
        <f t="shared" si="79"/>
        <v>0</v>
      </c>
      <c r="DZ12" t="s">
        <v>2002</v>
      </c>
      <c r="EA12">
        <v>20.229263782501221</v>
      </c>
      <c r="EB12">
        <v>322</v>
      </c>
      <c r="EC12" s="2"/>
      <c r="ED12">
        <f t="shared" si="80"/>
        <v>37</v>
      </c>
      <c r="EE12" t="s">
        <v>2003</v>
      </c>
      <c r="EF12" t="s">
        <v>2004</v>
      </c>
      <c r="EG12">
        <v>16.066904067993161</v>
      </c>
      <c r="EH12">
        <v>427</v>
      </c>
      <c r="EI12" s="3"/>
      <c r="EJ12">
        <f t="shared" si="81"/>
        <v>15</v>
      </c>
      <c r="EK12" t="s">
        <v>2005</v>
      </c>
      <c r="EL12" t="s">
        <v>2006</v>
      </c>
      <c r="EM12">
        <v>12.629452705383301</v>
      </c>
      <c r="EN12">
        <v>492</v>
      </c>
      <c r="EO12" s="2"/>
      <c r="EP12">
        <f t="shared" si="82"/>
        <v>26</v>
      </c>
      <c r="EQ12" t="s">
        <v>475</v>
      </c>
      <c r="ER12" t="s">
        <v>2007</v>
      </c>
      <c r="ES12">
        <v>7.4476222991943359</v>
      </c>
      <c r="ET12">
        <v>443</v>
      </c>
      <c r="EU12" s="3"/>
      <c r="EV12">
        <f t="shared" si="83"/>
        <v>24</v>
      </c>
      <c r="EW12" t="s">
        <v>2008</v>
      </c>
      <c r="EX12" t="s">
        <v>2009</v>
      </c>
      <c r="EY12">
        <v>17.754069328308109</v>
      </c>
      <c r="EZ12">
        <v>356</v>
      </c>
      <c r="FA12" s="2"/>
      <c r="FB12">
        <f t="shared" si="84"/>
        <v>33</v>
      </c>
      <c r="FC12" t="s">
        <v>2010</v>
      </c>
      <c r="FD12" t="s">
        <v>2011</v>
      </c>
      <c r="FE12">
        <v>18.672287464141849</v>
      </c>
      <c r="FF12">
        <v>373</v>
      </c>
      <c r="FG12" s="3"/>
      <c r="FH12">
        <f t="shared" si="85"/>
        <v>11</v>
      </c>
      <c r="FI12" t="s">
        <v>2012</v>
      </c>
      <c r="FJ12" t="s">
        <v>2013</v>
      </c>
      <c r="FK12">
        <v>32.90166974067688</v>
      </c>
      <c r="FL12">
        <v>264</v>
      </c>
      <c r="FM12" s="2"/>
      <c r="FN12">
        <f t="shared" si="86"/>
        <v>36</v>
      </c>
      <c r="FO12" t="s">
        <v>2014</v>
      </c>
      <c r="FP12" t="s">
        <v>2015</v>
      </c>
      <c r="FQ12">
        <v>15.98653411865234</v>
      </c>
      <c r="FR12">
        <v>340</v>
      </c>
      <c r="FS12" s="3"/>
      <c r="FT12">
        <f t="shared" si="87"/>
        <v>28</v>
      </c>
      <c r="FU12" t="s">
        <v>2016</v>
      </c>
      <c r="FV12" t="s">
        <v>2017</v>
      </c>
      <c r="FW12">
        <v>29.569453001022339</v>
      </c>
      <c r="FX12">
        <v>381</v>
      </c>
      <c r="FY12" s="2"/>
      <c r="FZ12">
        <f t="shared" si="88"/>
        <v>33</v>
      </c>
      <c r="GA12" t="s">
        <v>2018</v>
      </c>
      <c r="GB12" t="s">
        <v>2019</v>
      </c>
      <c r="GC12">
        <v>13.516486644744869</v>
      </c>
      <c r="GD12">
        <v>392</v>
      </c>
      <c r="GE12" s="3"/>
      <c r="GF12">
        <f t="shared" si="89"/>
        <v>125</v>
      </c>
      <c r="GG12" t="s">
        <v>2020</v>
      </c>
      <c r="GH12" t="s">
        <v>2021</v>
      </c>
      <c r="GI12">
        <v>49.361606121063232</v>
      </c>
      <c r="GJ12">
        <v>487</v>
      </c>
      <c r="GK12" s="2"/>
      <c r="GL12">
        <f t="shared" si="90"/>
        <v>31</v>
      </c>
      <c r="GM12" t="s">
        <v>2022</v>
      </c>
      <c r="GN12" t="s">
        <v>2023</v>
      </c>
      <c r="GO12">
        <v>11.084428310394291</v>
      </c>
      <c r="GP12">
        <v>392</v>
      </c>
      <c r="GQ12" s="3"/>
      <c r="GR12">
        <f t="shared" si="91"/>
        <v>54</v>
      </c>
      <c r="GS12" t="s">
        <v>2024</v>
      </c>
      <c r="GT12" t="s">
        <v>2025</v>
      </c>
      <c r="GU12">
        <v>34.222097635269172</v>
      </c>
      <c r="GV12">
        <v>353</v>
      </c>
      <c r="GW12" s="2"/>
      <c r="GX12">
        <f t="shared" si="92"/>
        <v>28</v>
      </c>
      <c r="GY12" t="s">
        <v>2026</v>
      </c>
      <c r="GZ12" t="s">
        <v>2027</v>
      </c>
      <c r="HA12">
        <v>17.848060131073002</v>
      </c>
      <c r="HB12">
        <v>319</v>
      </c>
      <c r="HC12" s="3"/>
      <c r="HD12">
        <f t="shared" si="93"/>
        <v>94</v>
      </c>
      <c r="HE12" t="s">
        <v>2028</v>
      </c>
      <c r="HF12" t="s">
        <v>2029</v>
      </c>
      <c r="HG12">
        <v>275.85955691337591</v>
      </c>
      <c r="HH12">
        <v>399</v>
      </c>
      <c r="HI12" s="2"/>
      <c r="HJ12">
        <f t="shared" si="94"/>
        <v>19</v>
      </c>
      <c r="HK12" t="s">
        <v>2030</v>
      </c>
      <c r="HL12" t="s">
        <v>2031</v>
      </c>
      <c r="HM12">
        <v>4.5659098625183114</v>
      </c>
      <c r="HN12">
        <v>263</v>
      </c>
      <c r="HO12" s="3"/>
      <c r="HP12">
        <f t="shared" si="95"/>
        <v>12</v>
      </c>
      <c r="HQ12" t="s">
        <v>2032</v>
      </c>
      <c r="HR12" t="s">
        <v>2033</v>
      </c>
      <c r="HS12">
        <v>38.282467365264893</v>
      </c>
      <c r="HT12">
        <v>312</v>
      </c>
      <c r="HU12" s="2"/>
      <c r="HV12">
        <f t="shared" si="96"/>
        <v>35</v>
      </c>
      <c r="HW12" t="s">
        <v>2034</v>
      </c>
      <c r="HX12" t="s">
        <v>2035</v>
      </c>
      <c r="HY12">
        <v>8.7522852420806885</v>
      </c>
      <c r="HZ12">
        <v>359</v>
      </c>
      <c r="IA12" s="3"/>
      <c r="IB12">
        <f t="shared" si="97"/>
        <v>10</v>
      </c>
      <c r="IC12" t="s">
        <v>2036</v>
      </c>
      <c r="ID12" t="s">
        <v>2037</v>
      </c>
      <c r="IE12">
        <v>24.660344123840328</v>
      </c>
      <c r="IF12">
        <v>324</v>
      </c>
      <c r="IG12" s="2"/>
      <c r="IH12">
        <f t="shared" si="98"/>
        <v>51</v>
      </c>
      <c r="II12" t="s">
        <v>2038</v>
      </c>
      <c r="IJ12" t="s">
        <v>2039</v>
      </c>
      <c r="IK12">
        <v>9.5706319808959961</v>
      </c>
      <c r="IL12">
        <v>448</v>
      </c>
      <c r="IM12" s="3"/>
      <c r="IN12">
        <f t="shared" si="99"/>
        <v>81</v>
      </c>
      <c r="IO12" t="s">
        <v>629</v>
      </c>
      <c r="IP12" t="s">
        <v>2040</v>
      </c>
      <c r="IQ12">
        <v>200.60543441772461</v>
      </c>
      <c r="IR12">
        <v>389</v>
      </c>
      <c r="IS12" s="2"/>
      <c r="IT12">
        <f t="shared" si="100"/>
        <v>38</v>
      </c>
      <c r="IU12" t="s">
        <v>2041</v>
      </c>
      <c r="IV12" t="s">
        <v>2042</v>
      </c>
      <c r="IW12">
        <v>11.96880173683167</v>
      </c>
      <c r="IX12">
        <v>314</v>
      </c>
      <c r="IY12" s="3"/>
      <c r="IZ12">
        <f t="shared" si="101"/>
        <v>24</v>
      </c>
      <c r="JA12" t="s">
        <v>2043</v>
      </c>
      <c r="JB12" t="s">
        <v>2044</v>
      </c>
      <c r="JC12">
        <v>19.557984828948971</v>
      </c>
      <c r="JD12">
        <v>309</v>
      </c>
      <c r="JE12" s="2"/>
      <c r="JF12">
        <f t="shared" si="102"/>
        <v>23</v>
      </c>
      <c r="JG12" t="s">
        <v>2045</v>
      </c>
      <c r="JH12" t="s">
        <v>2046</v>
      </c>
      <c r="JI12">
        <v>9.7265958786010742</v>
      </c>
      <c r="JJ12">
        <v>360</v>
      </c>
      <c r="JK12" s="3"/>
      <c r="JL12">
        <f t="shared" si="103"/>
        <v>6</v>
      </c>
      <c r="JM12" t="s">
        <v>2047</v>
      </c>
      <c r="JN12" t="s">
        <v>2048</v>
      </c>
      <c r="JO12">
        <v>30.170873165130619</v>
      </c>
      <c r="JP12">
        <v>232</v>
      </c>
      <c r="JQ12" s="2"/>
      <c r="JR12">
        <f t="shared" si="104"/>
        <v>30</v>
      </c>
      <c r="JS12" t="s">
        <v>2049</v>
      </c>
      <c r="JT12" t="s">
        <v>2050</v>
      </c>
      <c r="JU12">
        <v>13.43869519233704</v>
      </c>
      <c r="JV12">
        <v>446</v>
      </c>
      <c r="JW12" s="3"/>
      <c r="JX12">
        <f t="shared" si="105"/>
        <v>14</v>
      </c>
      <c r="JY12" t="s">
        <v>2051</v>
      </c>
      <c r="JZ12" t="s">
        <v>2052</v>
      </c>
      <c r="KA12">
        <v>43.544358015060418</v>
      </c>
      <c r="KB12">
        <v>390</v>
      </c>
      <c r="KC12" s="2"/>
      <c r="KD12">
        <f t="shared" si="106"/>
        <v>33</v>
      </c>
      <c r="KE12" t="s">
        <v>2053</v>
      </c>
      <c r="KF12" t="s">
        <v>2054</v>
      </c>
      <c r="KG12">
        <v>12.03269624710083</v>
      </c>
      <c r="KH12">
        <v>421</v>
      </c>
      <c r="KI12" s="3"/>
      <c r="KJ12">
        <f t="shared" si="107"/>
        <v>27</v>
      </c>
      <c r="KK12" t="s">
        <v>2055</v>
      </c>
      <c r="KL12" t="s">
        <v>2056</v>
      </c>
      <c r="KM12">
        <v>67.958795547485352</v>
      </c>
      <c r="KN12">
        <v>506</v>
      </c>
      <c r="KO12" s="2"/>
      <c r="KP12">
        <f t="shared" si="108"/>
        <v>33</v>
      </c>
      <c r="KQ12" t="s">
        <v>2057</v>
      </c>
      <c r="KR12" t="s">
        <v>2058</v>
      </c>
      <c r="KS12">
        <v>15.109702110290529</v>
      </c>
      <c r="KT12">
        <v>300</v>
      </c>
      <c r="KU12" s="3"/>
      <c r="KV12">
        <f t="shared" si="109"/>
        <v>11</v>
      </c>
      <c r="KW12" t="s">
        <v>2059</v>
      </c>
      <c r="KX12" t="s">
        <v>2060</v>
      </c>
      <c r="KY12">
        <v>15.44710421562195</v>
      </c>
      <c r="KZ12">
        <v>246</v>
      </c>
      <c r="LA12" s="2"/>
      <c r="LB12">
        <f t="shared" si="110"/>
        <v>40</v>
      </c>
      <c r="LC12" t="s">
        <v>1268</v>
      </c>
      <c r="LD12" t="s">
        <v>2061</v>
      </c>
      <c r="LE12">
        <v>16.44243216514587</v>
      </c>
      <c r="LF12">
        <v>457</v>
      </c>
      <c r="LG12" s="3"/>
      <c r="LH12">
        <f t="shared" si="111"/>
        <v>8</v>
      </c>
      <c r="LI12" t="s">
        <v>2062</v>
      </c>
      <c r="LJ12" t="s">
        <v>2063</v>
      </c>
      <c r="LK12">
        <v>105.02587819099431</v>
      </c>
      <c r="LL12">
        <v>310</v>
      </c>
      <c r="LM12" s="2"/>
      <c r="LN12">
        <f t="shared" si="112"/>
        <v>32</v>
      </c>
      <c r="LO12" t="s">
        <v>796</v>
      </c>
      <c r="LP12" t="s">
        <v>2064</v>
      </c>
      <c r="LQ12">
        <v>9.4939160346984863</v>
      </c>
      <c r="LR12">
        <v>483</v>
      </c>
      <c r="LS12" s="3"/>
      <c r="LT12">
        <f t="shared" si="113"/>
        <v>14</v>
      </c>
      <c r="LU12" t="s">
        <v>2065</v>
      </c>
      <c r="LV12" t="s">
        <v>2066</v>
      </c>
      <c r="LW12">
        <v>26.49852824211121</v>
      </c>
      <c r="LX12">
        <v>342</v>
      </c>
      <c r="LY12" s="2"/>
      <c r="LZ12">
        <f t="shared" si="114"/>
        <v>32</v>
      </c>
      <c r="MA12" t="s">
        <v>2067</v>
      </c>
      <c r="MB12" t="s">
        <v>2068</v>
      </c>
      <c r="MC12">
        <v>22.627594232559201</v>
      </c>
      <c r="MD12">
        <v>379</v>
      </c>
      <c r="ME12" s="3"/>
      <c r="MF12">
        <f t="shared" si="115"/>
        <v>12</v>
      </c>
      <c r="MG12" t="s">
        <v>2069</v>
      </c>
      <c r="MH12" t="s">
        <v>2070</v>
      </c>
      <c r="MI12">
        <v>19.555241584777828</v>
      </c>
      <c r="MJ12">
        <v>412</v>
      </c>
      <c r="MK12" s="2"/>
      <c r="ML12">
        <f t="shared" si="116"/>
        <v>63</v>
      </c>
      <c r="MM12" t="s">
        <v>2071</v>
      </c>
      <c r="MN12" t="s">
        <v>2072</v>
      </c>
      <c r="MO12">
        <v>22.68825268745422</v>
      </c>
      <c r="MP12">
        <v>345</v>
      </c>
      <c r="MQ12" s="3"/>
      <c r="MR12">
        <f t="shared" si="117"/>
        <v>54</v>
      </c>
      <c r="MS12" t="s">
        <v>2073</v>
      </c>
      <c r="MT12" t="s">
        <v>2074</v>
      </c>
      <c r="MU12">
        <v>45.437015533447273</v>
      </c>
      <c r="MV12">
        <v>487</v>
      </c>
      <c r="MW12" s="2"/>
      <c r="MX12">
        <f t="shared" si="118"/>
        <v>81</v>
      </c>
      <c r="MY12" t="s">
        <v>2075</v>
      </c>
      <c r="MZ12" t="s">
        <v>2076</v>
      </c>
      <c r="NA12">
        <v>176.1063973903656</v>
      </c>
      <c r="NB12">
        <v>382</v>
      </c>
      <c r="NC12" s="3"/>
      <c r="ND12">
        <f t="shared" si="119"/>
        <v>26</v>
      </c>
      <c r="NE12" t="s">
        <v>2077</v>
      </c>
      <c r="NF12" t="s">
        <v>2078</v>
      </c>
      <c r="NG12">
        <v>10.524804353713989</v>
      </c>
      <c r="NH12">
        <v>275</v>
      </c>
      <c r="NI12" s="2"/>
      <c r="NJ12">
        <f t="shared" si="120"/>
        <v>12</v>
      </c>
      <c r="NK12" t="s">
        <v>1210</v>
      </c>
      <c r="NL12" t="s">
        <v>2079</v>
      </c>
      <c r="NM12">
        <v>31.939661979675289</v>
      </c>
      <c r="NN12">
        <v>362</v>
      </c>
      <c r="NO12" s="3"/>
      <c r="NP12">
        <f t="shared" si="121"/>
        <v>40</v>
      </c>
      <c r="NQ12" t="s">
        <v>2080</v>
      </c>
      <c r="NR12" t="s">
        <v>2081</v>
      </c>
      <c r="NS12">
        <v>16.44041204452515</v>
      </c>
      <c r="NT12">
        <v>270</v>
      </c>
      <c r="NU12" s="2"/>
      <c r="NV12">
        <f t="shared" si="122"/>
        <v>38</v>
      </c>
      <c r="NW12" t="s">
        <v>2082</v>
      </c>
      <c r="NX12" t="s">
        <v>2083</v>
      </c>
      <c r="NY12">
        <v>25.258230209350589</v>
      </c>
      <c r="NZ12">
        <v>297</v>
      </c>
      <c r="OA12" s="3"/>
      <c r="OB12">
        <f t="shared" si="123"/>
        <v>26</v>
      </c>
      <c r="OC12" t="s">
        <v>1714</v>
      </c>
      <c r="OD12" t="s">
        <v>2084</v>
      </c>
      <c r="OE12">
        <v>16.239069223403931</v>
      </c>
      <c r="OF12">
        <v>329</v>
      </c>
      <c r="OG12" s="2"/>
      <c r="OH12">
        <f t="shared" si="124"/>
        <v>26</v>
      </c>
      <c r="OI12" t="s">
        <v>2085</v>
      </c>
      <c r="OJ12" t="s">
        <v>2086</v>
      </c>
      <c r="OK12">
        <v>147.62220191955569</v>
      </c>
      <c r="OL12">
        <v>438</v>
      </c>
      <c r="OM12" s="3"/>
      <c r="ON12">
        <f t="shared" si="125"/>
        <v>36</v>
      </c>
      <c r="OO12" t="s">
        <v>1559</v>
      </c>
      <c r="OP12" t="s">
        <v>2087</v>
      </c>
      <c r="OQ12">
        <v>19.190665483474731</v>
      </c>
      <c r="OR12">
        <v>320</v>
      </c>
      <c r="OS12" s="2"/>
      <c r="OT12">
        <f t="shared" si="126"/>
        <v>82</v>
      </c>
      <c r="OU12" t="s">
        <v>2088</v>
      </c>
      <c r="OV12" t="s">
        <v>2089</v>
      </c>
      <c r="OW12">
        <v>45.871610164642327</v>
      </c>
      <c r="OX12">
        <v>435</v>
      </c>
      <c r="OY12" s="3"/>
      <c r="OZ12">
        <f t="shared" si="127"/>
        <v>20</v>
      </c>
      <c r="PA12" t="s">
        <v>2090</v>
      </c>
      <c r="PB12" t="s">
        <v>2091</v>
      </c>
      <c r="PC12">
        <v>6.7241129875183114</v>
      </c>
      <c r="PD12">
        <v>354</v>
      </c>
      <c r="PE12" s="2"/>
      <c r="PF12">
        <f t="shared" si="128"/>
        <v>46</v>
      </c>
      <c r="PG12" t="s">
        <v>2092</v>
      </c>
      <c r="PH12" t="s">
        <v>2093</v>
      </c>
      <c r="PI12">
        <v>36.916885375976563</v>
      </c>
      <c r="PJ12">
        <v>437</v>
      </c>
      <c r="PK12" s="3"/>
      <c r="PL12">
        <f t="shared" si="129"/>
        <v>27</v>
      </c>
      <c r="PM12" t="s">
        <v>2094</v>
      </c>
      <c r="PN12" t="s">
        <v>2095</v>
      </c>
      <c r="PO12">
        <v>18.322011470794681</v>
      </c>
      <c r="PP12">
        <v>398</v>
      </c>
      <c r="PQ12" s="2"/>
      <c r="PR12">
        <f t="shared" si="130"/>
        <v>24</v>
      </c>
      <c r="PS12" t="s">
        <v>2096</v>
      </c>
      <c r="PT12" t="s">
        <v>2097</v>
      </c>
      <c r="PU12">
        <v>19.09089016914368</v>
      </c>
      <c r="PV12">
        <v>450</v>
      </c>
      <c r="PW12" s="3"/>
      <c r="PX12">
        <f t="shared" si="131"/>
        <v>63</v>
      </c>
      <c r="PY12" t="s">
        <v>2098</v>
      </c>
      <c r="PZ12" t="s">
        <v>2099</v>
      </c>
      <c r="QA12">
        <v>124.95076417922969</v>
      </c>
      <c r="QB12">
        <v>402</v>
      </c>
      <c r="QC12" s="2"/>
      <c r="QD12">
        <f t="shared" si="132"/>
        <v>29</v>
      </c>
      <c r="QE12" t="s">
        <v>2100</v>
      </c>
      <c r="QF12" t="s">
        <v>2101</v>
      </c>
      <c r="QG12">
        <v>26.610223054885861</v>
      </c>
      <c r="QH12">
        <v>408</v>
      </c>
      <c r="QI12" s="3"/>
      <c r="QJ12">
        <f t="shared" si="133"/>
        <v>28</v>
      </c>
      <c r="QK12" t="s">
        <v>2102</v>
      </c>
      <c r="QL12" t="s">
        <v>2103</v>
      </c>
      <c r="QM12">
        <v>21.77633714675903</v>
      </c>
      <c r="QN12">
        <v>420</v>
      </c>
      <c r="QO12" s="4"/>
      <c r="QP12">
        <f t="shared" si="134"/>
        <v>7</v>
      </c>
      <c r="QQ12" t="s">
        <v>2104</v>
      </c>
      <c r="QR12" t="s">
        <v>2105</v>
      </c>
      <c r="QS12">
        <v>82.837741851806641</v>
      </c>
      <c r="QT12">
        <v>428</v>
      </c>
      <c r="QU12" s="3"/>
      <c r="QV12">
        <f t="shared" si="135"/>
        <v>49</v>
      </c>
      <c r="QW12" t="s">
        <v>2106</v>
      </c>
      <c r="QX12" t="s">
        <v>2107</v>
      </c>
      <c r="QY12">
        <v>37.426629781723022</v>
      </c>
      <c r="QZ12">
        <v>394</v>
      </c>
      <c r="RA12" s="2"/>
      <c r="RB12">
        <f t="shared" si="136"/>
        <v>6</v>
      </c>
      <c r="RC12" t="s">
        <v>239</v>
      </c>
      <c r="RD12" t="s">
        <v>2108</v>
      </c>
      <c r="RE12">
        <v>39.671981573104858</v>
      </c>
      <c r="RF12">
        <v>376</v>
      </c>
      <c r="RG12" s="3"/>
      <c r="RH12">
        <f t="shared" si="137"/>
        <v>27</v>
      </c>
      <c r="RI12" t="s">
        <v>2109</v>
      </c>
      <c r="RJ12" t="s">
        <v>2110</v>
      </c>
      <c r="RK12">
        <v>13.13189435005188</v>
      </c>
      <c r="RL12">
        <v>298</v>
      </c>
      <c r="RM12" s="2"/>
      <c r="RN12">
        <f t="shared" si="138"/>
        <v>10</v>
      </c>
      <c r="RO12" t="s">
        <v>2111</v>
      </c>
      <c r="RP12" t="s">
        <v>2112</v>
      </c>
      <c r="RQ12">
        <v>39.493200540542603</v>
      </c>
      <c r="RR12">
        <v>324</v>
      </c>
      <c r="RS12" s="3"/>
      <c r="RT12">
        <f t="shared" si="139"/>
        <v>27</v>
      </c>
      <c r="RU12" t="s">
        <v>2113</v>
      </c>
      <c r="RV12" t="s">
        <v>2114</v>
      </c>
      <c r="RW12">
        <v>68.587127685546875</v>
      </c>
      <c r="RX12">
        <v>349</v>
      </c>
      <c r="RY12" s="2"/>
      <c r="RZ12">
        <f t="shared" si="140"/>
        <v>30</v>
      </c>
      <c r="SA12" t="s">
        <v>2000</v>
      </c>
      <c r="SB12" t="s">
        <v>2115</v>
      </c>
      <c r="SC12">
        <v>14.543012380599979</v>
      </c>
      <c r="SD12">
        <v>396</v>
      </c>
      <c r="SE12" s="3"/>
      <c r="SF12">
        <f t="shared" si="141"/>
        <v>69</v>
      </c>
      <c r="SG12" t="s">
        <v>2116</v>
      </c>
      <c r="SH12" t="s">
        <v>2117</v>
      </c>
      <c r="SI12">
        <v>33.776090145111077</v>
      </c>
      <c r="SJ12">
        <v>423</v>
      </c>
      <c r="SK12" s="2"/>
      <c r="SL12">
        <f t="shared" si="142"/>
        <v>97</v>
      </c>
      <c r="SM12" t="s">
        <v>2118</v>
      </c>
      <c r="SN12" t="s">
        <v>2119</v>
      </c>
      <c r="SO12">
        <v>157.2778043746948</v>
      </c>
      <c r="SP12">
        <v>560</v>
      </c>
      <c r="SQ12" s="3"/>
      <c r="SR12">
        <f t="shared" si="143"/>
        <v>20</v>
      </c>
      <c r="SS12" t="s">
        <v>2120</v>
      </c>
      <c r="ST12" t="s">
        <v>2121</v>
      </c>
      <c r="SU12">
        <v>6.4859826564788818</v>
      </c>
      <c r="SV12">
        <v>407</v>
      </c>
      <c r="SW12" s="2"/>
      <c r="SX12">
        <f t="shared" si="144"/>
        <v>27</v>
      </c>
      <c r="SY12" t="s">
        <v>2122</v>
      </c>
      <c r="SZ12" t="s">
        <v>2123</v>
      </c>
      <c r="TA12">
        <v>33.952280521392822</v>
      </c>
      <c r="TB12">
        <v>314</v>
      </c>
      <c r="TC12" s="3"/>
      <c r="TD12">
        <f t="shared" si="145"/>
        <v>36</v>
      </c>
      <c r="TE12" t="s">
        <v>2124</v>
      </c>
      <c r="TF12" t="s">
        <v>2125</v>
      </c>
      <c r="TG12">
        <v>168.9273841381073</v>
      </c>
      <c r="TH12">
        <v>399</v>
      </c>
      <c r="TI12" s="2"/>
      <c r="TJ12">
        <f t="shared" si="146"/>
        <v>11</v>
      </c>
      <c r="TK12" t="s">
        <v>195</v>
      </c>
      <c r="TL12" t="s">
        <v>2126</v>
      </c>
      <c r="TM12">
        <v>26.927479028701779</v>
      </c>
      <c r="TN12">
        <v>368</v>
      </c>
      <c r="TO12" s="3"/>
      <c r="TP12">
        <f t="shared" si="147"/>
        <v>72</v>
      </c>
      <c r="TQ12" t="s">
        <v>2127</v>
      </c>
      <c r="TR12" t="s">
        <v>2128</v>
      </c>
      <c r="TS12">
        <v>8.1260364055633545</v>
      </c>
      <c r="TT12">
        <v>367</v>
      </c>
      <c r="TU12" s="2"/>
      <c r="TV12">
        <f t="shared" si="148"/>
        <v>60</v>
      </c>
      <c r="TW12" t="s">
        <v>2129</v>
      </c>
      <c r="TX12" t="s">
        <v>2130</v>
      </c>
      <c r="TY12">
        <v>29.19756102561951</v>
      </c>
      <c r="TZ12">
        <v>353</v>
      </c>
      <c r="UA12" s="3"/>
      <c r="UB12">
        <f t="shared" si="149"/>
        <v>28</v>
      </c>
      <c r="UC12" t="s">
        <v>2131</v>
      </c>
      <c r="UD12" t="s">
        <v>2132</v>
      </c>
      <c r="UE12">
        <v>10.817418098449711</v>
      </c>
      <c r="UF12">
        <v>351</v>
      </c>
      <c r="UG12" s="2"/>
      <c r="UH12">
        <f t="shared" si="150"/>
        <v>9</v>
      </c>
      <c r="UI12" t="s">
        <v>2133</v>
      </c>
      <c r="UJ12" t="s">
        <v>2134</v>
      </c>
      <c r="UK12">
        <v>27.952855825424191</v>
      </c>
      <c r="UL12">
        <v>162</v>
      </c>
      <c r="UM12" s="3"/>
      <c r="UN12">
        <f t="shared" si="151"/>
        <v>33</v>
      </c>
      <c r="UO12" t="s">
        <v>2135</v>
      </c>
      <c r="UP12" t="s">
        <v>2136</v>
      </c>
      <c r="UQ12">
        <v>14.623247385025021</v>
      </c>
      <c r="UR12">
        <v>339</v>
      </c>
      <c r="US12" s="2"/>
      <c r="UT12">
        <f t="shared" si="152"/>
        <v>16</v>
      </c>
      <c r="UU12" t="s">
        <v>786</v>
      </c>
      <c r="UV12" t="s">
        <v>2137</v>
      </c>
      <c r="UW12">
        <v>32.828401327133179</v>
      </c>
      <c r="UX12">
        <v>503</v>
      </c>
      <c r="UY12" s="3"/>
      <c r="UZ12">
        <f t="shared" si="153"/>
        <v>23</v>
      </c>
      <c r="VA12" t="s">
        <v>1793</v>
      </c>
      <c r="VB12" t="s">
        <v>2138</v>
      </c>
      <c r="VC12">
        <v>11.30281352996826</v>
      </c>
      <c r="VD12">
        <v>325</v>
      </c>
      <c r="VE12" s="2"/>
      <c r="VF12">
        <f t="shared" si="154"/>
        <v>79</v>
      </c>
      <c r="VG12" t="s">
        <v>2139</v>
      </c>
      <c r="VH12" t="s">
        <v>2140</v>
      </c>
      <c r="VI12">
        <v>349.41174459457397</v>
      </c>
      <c r="VJ12">
        <v>362</v>
      </c>
      <c r="VK12" s="3"/>
      <c r="VL12">
        <f t="shared" si="155"/>
        <v>32</v>
      </c>
      <c r="VM12" t="s">
        <v>2141</v>
      </c>
      <c r="VN12" t="s">
        <v>2142</v>
      </c>
      <c r="VO12">
        <v>20.287350177764889</v>
      </c>
      <c r="VP12">
        <v>505</v>
      </c>
      <c r="VQ12" s="2"/>
      <c r="VR12">
        <f t="shared" si="156"/>
        <v>78</v>
      </c>
      <c r="VS12" t="s">
        <v>2143</v>
      </c>
      <c r="VT12" t="s">
        <v>2144</v>
      </c>
      <c r="VU12">
        <v>176.09267139434809</v>
      </c>
      <c r="VV12">
        <v>346</v>
      </c>
      <c r="VW12" s="3"/>
      <c r="VX12">
        <f t="shared" si="157"/>
        <v>16</v>
      </c>
      <c r="VY12" t="s">
        <v>2145</v>
      </c>
      <c r="VZ12" t="s">
        <v>2146</v>
      </c>
      <c r="WA12">
        <v>5.6330759525299072</v>
      </c>
      <c r="WB12">
        <v>411</v>
      </c>
      <c r="WC12" s="2"/>
      <c r="WD12">
        <f t="shared" si="158"/>
        <v>36</v>
      </c>
      <c r="WE12" t="s">
        <v>2147</v>
      </c>
      <c r="WF12" t="s">
        <v>2148</v>
      </c>
      <c r="WG12">
        <v>23.906876564025879</v>
      </c>
      <c r="WH12">
        <v>274</v>
      </c>
      <c r="WI12" s="3"/>
      <c r="WJ12">
        <f t="shared" si="159"/>
        <v>54</v>
      </c>
      <c r="WK12" t="s">
        <v>2149</v>
      </c>
      <c r="WL12" t="s">
        <v>2150</v>
      </c>
      <c r="WM12">
        <v>145.59106278419489</v>
      </c>
      <c r="WN12">
        <v>478</v>
      </c>
      <c r="WO12" s="2"/>
      <c r="WP12">
        <f t="shared" si="160"/>
        <v>35</v>
      </c>
      <c r="WQ12" t="s">
        <v>2151</v>
      </c>
      <c r="WR12" t="s">
        <v>2152</v>
      </c>
      <c r="WS12">
        <v>15.22608494758606</v>
      </c>
      <c r="WT12">
        <v>308</v>
      </c>
      <c r="WU12" s="3"/>
      <c r="WV12">
        <f t="shared" si="161"/>
        <v>50</v>
      </c>
      <c r="WW12" t="s">
        <v>2153</v>
      </c>
      <c r="WX12" t="s">
        <v>2154</v>
      </c>
      <c r="WY12">
        <v>17.29257965087891</v>
      </c>
      <c r="WZ12">
        <v>429</v>
      </c>
      <c r="XA12" s="2"/>
      <c r="XB12">
        <f t="shared" si="162"/>
        <v>15</v>
      </c>
      <c r="XC12" t="s">
        <v>1190</v>
      </c>
      <c r="XD12" t="s">
        <v>2155</v>
      </c>
      <c r="XE12">
        <v>26.255020380020142</v>
      </c>
      <c r="XF12">
        <v>363</v>
      </c>
      <c r="XG12" s="3"/>
      <c r="XH12">
        <f t="shared" si="163"/>
        <v>19</v>
      </c>
      <c r="XI12" t="s">
        <v>2156</v>
      </c>
      <c r="XJ12" t="s">
        <v>2157</v>
      </c>
      <c r="XK12">
        <v>7.7693777084350586</v>
      </c>
      <c r="XL12">
        <v>317</v>
      </c>
      <c r="XM12" s="2"/>
      <c r="XN12">
        <f t="shared" si="164"/>
        <v>18</v>
      </c>
      <c r="XO12" t="s">
        <v>2158</v>
      </c>
      <c r="XP12" t="s">
        <v>2159</v>
      </c>
      <c r="XQ12">
        <v>15.180955171585079</v>
      </c>
      <c r="XR12">
        <v>323</v>
      </c>
      <c r="XS12" s="3"/>
      <c r="XT12">
        <f t="shared" si="165"/>
        <v>58</v>
      </c>
      <c r="XU12" t="s">
        <v>2160</v>
      </c>
      <c r="XV12" t="s">
        <v>2161</v>
      </c>
      <c r="XW12">
        <v>25.863545179367069</v>
      </c>
      <c r="XX12">
        <v>437</v>
      </c>
      <c r="XY12" s="2"/>
      <c r="XZ12">
        <f t="shared" si="166"/>
        <v>26</v>
      </c>
      <c r="YA12" t="s">
        <v>2162</v>
      </c>
      <c r="YB12" t="s">
        <v>2163</v>
      </c>
      <c r="YC12">
        <v>61.842207193374627</v>
      </c>
      <c r="YD12">
        <v>414</v>
      </c>
      <c r="YE12" s="3"/>
      <c r="YF12">
        <f t="shared" si="167"/>
        <v>33</v>
      </c>
      <c r="YG12" t="s">
        <v>2164</v>
      </c>
      <c r="YH12" t="s">
        <v>2165</v>
      </c>
      <c r="YI12">
        <v>13.79196000099182</v>
      </c>
      <c r="YJ12">
        <v>355</v>
      </c>
      <c r="YK12" s="2"/>
      <c r="YL12">
        <f t="shared" si="168"/>
        <v>27</v>
      </c>
      <c r="YM12" t="s">
        <v>2166</v>
      </c>
      <c r="YN12" t="s">
        <v>2167</v>
      </c>
      <c r="YO12">
        <v>21.619314432144169</v>
      </c>
      <c r="YP12">
        <v>349</v>
      </c>
      <c r="YQ12" s="3"/>
      <c r="YR12">
        <f t="shared" si="169"/>
        <v>38</v>
      </c>
      <c r="YS12" t="s">
        <v>2168</v>
      </c>
      <c r="YT12" t="s">
        <v>2169</v>
      </c>
      <c r="YU12">
        <v>20.249026298522949</v>
      </c>
      <c r="YV12">
        <v>441</v>
      </c>
      <c r="YW12" s="2"/>
      <c r="YX12">
        <f t="shared" si="170"/>
        <v>26</v>
      </c>
      <c r="YY12" t="s">
        <v>2170</v>
      </c>
      <c r="YZ12" t="s">
        <v>2171</v>
      </c>
      <c r="ZA12">
        <v>38.943113803863532</v>
      </c>
      <c r="ZB12">
        <v>419</v>
      </c>
      <c r="ZC12" s="3"/>
      <c r="ZD12">
        <f t="shared" si="171"/>
        <v>19</v>
      </c>
      <c r="ZE12" t="s">
        <v>2172</v>
      </c>
      <c r="ZF12" t="s">
        <v>2173</v>
      </c>
      <c r="ZG12">
        <v>6.9285581111907959</v>
      </c>
      <c r="ZH12">
        <v>376</v>
      </c>
      <c r="ZI12" s="2"/>
      <c r="ZJ12">
        <f t="shared" si="172"/>
        <v>74</v>
      </c>
      <c r="ZK12" t="s">
        <v>2174</v>
      </c>
      <c r="ZL12" t="s">
        <v>2175</v>
      </c>
      <c r="ZM12">
        <v>41.420665264129639</v>
      </c>
      <c r="ZN12">
        <v>374</v>
      </c>
      <c r="ZO12" s="3"/>
      <c r="ZP12">
        <f t="shared" si="173"/>
        <v>21</v>
      </c>
      <c r="ZQ12" t="s">
        <v>2176</v>
      </c>
      <c r="ZR12" t="s">
        <v>2177</v>
      </c>
      <c r="ZS12">
        <v>8.3480417728424072</v>
      </c>
      <c r="ZT12">
        <v>303</v>
      </c>
      <c r="ZU12" s="2"/>
      <c r="ZV12">
        <f t="shared" si="174"/>
        <v>0</v>
      </c>
      <c r="ZX12" t="s">
        <v>2178</v>
      </c>
      <c r="ZY12">
        <v>24.01927542686462</v>
      </c>
      <c r="ZZ12">
        <v>227</v>
      </c>
      <c r="AAA12" s="3"/>
      <c r="AAB12">
        <f t="shared" si="175"/>
        <v>34</v>
      </c>
      <c r="AAC12" t="s">
        <v>2179</v>
      </c>
      <c r="AAD12" t="s">
        <v>2180</v>
      </c>
      <c r="AAE12">
        <v>26.27306962013245</v>
      </c>
      <c r="AAF12">
        <v>349</v>
      </c>
      <c r="AAG12" s="2"/>
      <c r="AAH12">
        <f t="shared" si="176"/>
        <v>11</v>
      </c>
      <c r="AAI12" t="s">
        <v>1009</v>
      </c>
      <c r="AAJ12" t="s">
        <v>2181</v>
      </c>
      <c r="AAK12">
        <v>44.780862331390381</v>
      </c>
      <c r="AAL12">
        <v>378</v>
      </c>
      <c r="AAM12" s="3"/>
      <c r="AAN12">
        <f t="shared" si="177"/>
        <v>23</v>
      </c>
      <c r="AAO12" t="s">
        <v>2182</v>
      </c>
      <c r="AAP12" t="s">
        <v>2183</v>
      </c>
      <c r="AAQ12">
        <v>12.60927248001099</v>
      </c>
      <c r="AAR12">
        <v>369</v>
      </c>
      <c r="AAS12" s="2"/>
      <c r="AAT12">
        <f t="shared" si="178"/>
        <v>55</v>
      </c>
      <c r="AAU12" t="s">
        <v>2184</v>
      </c>
      <c r="AAV12" t="s">
        <v>2185</v>
      </c>
      <c r="AAW12">
        <v>299.88189911842352</v>
      </c>
      <c r="AAX12">
        <v>426</v>
      </c>
      <c r="AAY12" s="3"/>
      <c r="AAZ12">
        <f t="shared" si="179"/>
        <v>33</v>
      </c>
      <c r="ABA12" t="s">
        <v>2186</v>
      </c>
      <c r="ABB12" t="s">
        <v>2187</v>
      </c>
      <c r="ABC12">
        <v>14.49801588058472</v>
      </c>
      <c r="ABD12">
        <v>465</v>
      </c>
      <c r="ABE12" s="2"/>
      <c r="ABF12">
        <f t="shared" si="180"/>
        <v>30</v>
      </c>
      <c r="ABG12" t="s">
        <v>2188</v>
      </c>
      <c r="ABH12" t="s">
        <v>2189</v>
      </c>
      <c r="ABI12">
        <v>5.0515458583831787</v>
      </c>
      <c r="ABJ12">
        <v>312</v>
      </c>
      <c r="ABK12" s="6"/>
      <c r="ABL12">
        <f t="shared" si="181"/>
        <v>32</v>
      </c>
      <c r="ABM12" t="s">
        <v>2190</v>
      </c>
      <c r="ABN12" t="s">
        <v>2191</v>
      </c>
      <c r="ABO12">
        <v>31.13698840141296</v>
      </c>
      <c r="ABP12">
        <v>399</v>
      </c>
      <c r="ABQ12" s="2"/>
    </row>
    <row r="13" spans="1:745" x14ac:dyDescent="0.25">
      <c r="A13">
        <v>11</v>
      </c>
      <c r="B13">
        <f t="shared" si="58"/>
        <v>29</v>
      </c>
      <c r="C13" t="s">
        <v>2192</v>
      </c>
      <c r="D13" t="s">
        <v>2193</v>
      </c>
      <c r="E13">
        <v>19.53613448143005</v>
      </c>
      <c r="F13">
        <v>428</v>
      </c>
      <c r="G13" s="1"/>
      <c r="H13">
        <f t="shared" si="59"/>
        <v>30</v>
      </c>
      <c r="I13" t="s">
        <v>2194</v>
      </c>
      <c r="J13" t="s">
        <v>2195</v>
      </c>
      <c r="K13">
        <v>12.550128698349001</v>
      </c>
      <c r="L13">
        <v>444</v>
      </c>
      <c r="M13" s="2"/>
      <c r="N13">
        <f t="shared" si="60"/>
        <v>21</v>
      </c>
      <c r="O13" t="s">
        <v>2196</v>
      </c>
      <c r="P13" t="s">
        <v>2197</v>
      </c>
      <c r="Q13">
        <v>11.378355503082281</v>
      </c>
      <c r="R13">
        <v>365</v>
      </c>
      <c r="S13" s="3"/>
      <c r="T13">
        <f t="shared" si="61"/>
        <v>19</v>
      </c>
      <c r="U13" t="s">
        <v>2198</v>
      </c>
      <c r="V13" t="s">
        <v>2199</v>
      </c>
      <c r="W13">
        <v>23.722389698028561</v>
      </c>
      <c r="X13">
        <v>398</v>
      </c>
      <c r="Y13" s="2"/>
      <c r="Z13">
        <f t="shared" si="62"/>
        <v>37</v>
      </c>
      <c r="AA13" t="s">
        <v>449</v>
      </c>
      <c r="AB13" t="s">
        <v>2200</v>
      </c>
      <c r="AC13">
        <v>8.1760313510894775</v>
      </c>
      <c r="AD13">
        <v>388</v>
      </c>
      <c r="AE13" s="3"/>
      <c r="AF13">
        <f t="shared" si="63"/>
        <v>18</v>
      </c>
      <c r="AG13" t="s">
        <v>2201</v>
      </c>
      <c r="AH13" t="s">
        <v>2202</v>
      </c>
      <c r="AI13">
        <v>30.97731709480286</v>
      </c>
      <c r="AJ13">
        <v>399</v>
      </c>
      <c r="AK13" s="2"/>
      <c r="AL13">
        <f t="shared" si="64"/>
        <v>18</v>
      </c>
      <c r="AM13" t="s">
        <v>2203</v>
      </c>
      <c r="AN13" t="s">
        <v>2204</v>
      </c>
      <c r="AO13">
        <v>10.202782392501829</v>
      </c>
      <c r="AP13">
        <v>365</v>
      </c>
      <c r="AQ13" s="3"/>
      <c r="AR13">
        <f t="shared" si="65"/>
        <v>28</v>
      </c>
      <c r="AS13" t="s">
        <v>2205</v>
      </c>
      <c r="AT13" t="s">
        <v>2206</v>
      </c>
      <c r="AU13">
        <v>14.556706666946409</v>
      </c>
      <c r="AV13">
        <v>382</v>
      </c>
      <c r="AW13" s="2"/>
      <c r="AX13">
        <f t="shared" si="66"/>
        <v>28</v>
      </c>
      <c r="AY13" t="s">
        <v>17</v>
      </c>
      <c r="AZ13" t="s">
        <v>2207</v>
      </c>
      <c r="BA13">
        <v>7.3105621337890616</v>
      </c>
      <c r="BB13">
        <v>335</v>
      </c>
      <c r="BC13" s="3"/>
      <c r="BD13">
        <f t="shared" si="67"/>
        <v>12</v>
      </c>
      <c r="BE13" t="s">
        <v>2104</v>
      </c>
      <c r="BF13" t="s">
        <v>2208</v>
      </c>
      <c r="BG13">
        <v>932.79736924171448</v>
      </c>
      <c r="BH13">
        <v>413</v>
      </c>
      <c r="BI13" s="2"/>
      <c r="BJ13">
        <f t="shared" si="68"/>
        <v>42</v>
      </c>
      <c r="BK13" t="s">
        <v>2209</v>
      </c>
      <c r="BL13" t="s">
        <v>2210</v>
      </c>
      <c r="BM13">
        <v>24.244125843048099</v>
      </c>
      <c r="BN13">
        <v>438</v>
      </c>
      <c r="BO13" s="3"/>
      <c r="BP13">
        <f t="shared" si="69"/>
        <v>42</v>
      </c>
      <c r="BQ13" t="s">
        <v>2211</v>
      </c>
      <c r="BR13" t="s">
        <v>2212</v>
      </c>
      <c r="BS13">
        <v>26.74442362785339</v>
      </c>
      <c r="BT13">
        <v>484</v>
      </c>
      <c r="BU13" s="2"/>
      <c r="BV13">
        <f t="shared" si="70"/>
        <v>28</v>
      </c>
      <c r="BW13" t="s">
        <v>2213</v>
      </c>
      <c r="BX13" t="s">
        <v>2214</v>
      </c>
      <c r="BY13">
        <v>13.92723941802979</v>
      </c>
      <c r="BZ13">
        <v>421</v>
      </c>
      <c r="CA13" s="3"/>
      <c r="CB13">
        <f t="shared" si="71"/>
        <v>36</v>
      </c>
      <c r="CC13" t="s">
        <v>2215</v>
      </c>
      <c r="CD13" t="s">
        <v>2216</v>
      </c>
      <c r="CE13">
        <v>17.01579833030701</v>
      </c>
      <c r="CF13">
        <v>511</v>
      </c>
      <c r="CG13" s="2"/>
      <c r="CH13">
        <f t="shared" si="72"/>
        <v>30</v>
      </c>
      <c r="CI13" t="s">
        <v>2217</v>
      </c>
      <c r="CJ13" t="s">
        <v>2218</v>
      </c>
      <c r="CK13">
        <v>75.459209680557251</v>
      </c>
      <c r="CL13">
        <v>302</v>
      </c>
      <c r="CM13" s="3"/>
      <c r="CN13">
        <f t="shared" si="73"/>
        <v>63</v>
      </c>
      <c r="CO13" t="s">
        <v>2219</v>
      </c>
      <c r="CP13" t="s">
        <v>2220</v>
      </c>
      <c r="CQ13">
        <v>64.864899396896362</v>
      </c>
      <c r="CR13">
        <v>307</v>
      </c>
      <c r="CS13" s="2"/>
      <c r="CT13">
        <f t="shared" si="74"/>
        <v>38</v>
      </c>
      <c r="CU13" t="s">
        <v>2221</v>
      </c>
      <c r="CV13" t="s">
        <v>2222</v>
      </c>
      <c r="CW13">
        <v>18.047156810760502</v>
      </c>
      <c r="CX13">
        <v>332</v>
      </c>
      <c r="CY13" s="3"/>
      <c r="CZ13">
        <f t="shared" si="75"/>
        <v>23</v>
      </c>
      <c r="DA13" t="s">
        <v>2059</v>
      </c>
      <c r="DB13" t="s">
        <v>2223</v>
      </c>
      <c r="DC13">
        <v>29.008347988128659</v>
      </c>
      <c r="DD13">
        <v>451</v>
      </c>
      <c r="DE13" s="2"/>
      <c r="DF13">
        <f t="shared" si="76"/>
        <v>33</v>
      </c>
      <c r="DG13" t="s">
        <v>1215</v>
      </c>
      <c r="DH13" t="s">
        <v>2224</v>
      </c>
      <c r="DI13">
        <v>23.54642391204834</v>
      </c>
      <c r="DJ13">
        <v>426</v>
      </c>
      <c r="DK13" s="3"/>
      <c r="DL13">
        <f t="shared" si="77"/>
        <v>12</v>
      </c>
      <c r="DM13" t="s">
        <v>1078</v>
      </c>
      <c r="DN13" t="s">
        <v>2225</v>
      </c>
      <c r="DO13">
        <v>34.135395526885993</v>
      </c>
      <c r="DP13">
        <v>430</v>
      </c>
      <c r="DQ13" s="2"/>
      <c r="DR13">
        <f t="shared" si="78"/>
        <v>33</v>
      </c>
      <c r="DS13" t="s">
        <v>2226</v>
      </c>
      <c r="DT13" t="s">
        <v>2227</v>
      </c>
      <c r="DU13">
        <v>24.32736253738403</v>
      </c>
      <c r="DV13">
        <v>407</v>
      </c>
      <c r="DW13" s="3"/>
      <c r="DX13">
        <f t="shared" si="79"/>
        <v>11</v>
      </c>
      <c r="DY13" t="s">
        <v>796</v>
      </c>
      <c r="DZ13" t="s">
        <v>2228</v>
      </c>
      <c r="EA13">
        <v>30.76499176025391</v>
      </c>
      <c r="EB13">
        <v>333</v>
      </c>
      <c r="EC13" s="2"/>
      <c r="ED13">
        <f t="shared" si="80"/>
        <v>31</v>
      </c>
      <c r="EE13" t="s">
        <v>2229</v>
      </c>
      <c r="EF13" t="s">
        <v>2230</v>
      </c>
      <c r="EG13">
        <v>7.6696674823760986</v>
      </c>
      <c r="EH13">
        <v>458</v>
      </c>
      <c r="EI13" s="3"/>
      <c r="EJ13">
        <f t="shared" si="81"/>
        <v>32</v>
      </c>
      <c r="EK13" t="s">
        <v>2231</v>
      </c>
      <c r="EL13" t="s">
        <v>2232</v>
      </c>
      <c r="EM13">
        <v>12.273804903030401</v>
      </c>
      <c r="EN13">
        <v>524</v>
      </c>
      <c r="EO13" s="2"/>
      <c r="EP13">
        <f t="shared" si="82"/>
        <v>32</v>
      </c>
      <c r="EQ13" t="s">
        <v>230</v>
      </c>
      <c r="ER13" t="s">
        <v>2233</v>
      </c>
      <c r="ES13">
        <v>23.652976036071781</v>
      </c>
      <c r="ET13">
        <v>475</v>
      </c>
      <c r="EU13" s="3"/>
      <c r="EV13">
        <f t="shared" si="83"/>
        <v>68</v>
      </c>
      <c r="EW13" t="s">
        <v>2234</v>
      </c>
      <c r="EX13" t="s">
        <v>2235</v>
      </c>
      <c r="EY13">
        <v>137.9584770202637</v>
      </c>
      <c r="EZ13">
        <v>424</v>
      </c>
      <c r="FA13" s="2"/>
      <c r="FB13">
        <f t="shared" si="84"/>
        <v>22</v>
      </c>
      <c r="FC13" t="s">
        <v>2236</v>
      </c>
      <c r="FD13" t="s">
        <v>2237</v>
      </c>
      <c r="FE13">
        <v>7.1801009178161621</v>
      </c>
      <c r="FF13">
        <v>395</v>
      </c>
      <c r="FG13" s="3"/>
      <c r="FH13">
        <f t="shared" si="85"/>
        <v>13</v>
      </c>
      <c r="FI13" t="s">
        <v>2238</v>
      </c>
      <c r="FJ13" t="s">
        <v>2239</v>
      </c>
      <c r="FK13">
        <v>32.874726057052612</v>
      </c>
      <c r="FL13">
        <v>277</v>
      </c>
      <c r="FM13" s="2"/>
      <c r="FN13">
        <f t="shared" si="86"/>
        <v>30</v>
      </c>
      <c r="FO13" t="s">
        <v>711</v>
      </c>
      <c r="FP13" t="s">
        <v>2240</v>
      </c>
      <c r="FQ13">
        <v>17.695261478424069</v>
      </c>
      <c r="FR13">
        <v>370</v>
      </c>
      <c r="FS13" s="3"/>
      <c r="FT13">
        <f t="shared" si="87"/>
        <v>15</v>
      </c>
      <c r="FU13" t="s">
        <v>1215</v>
      </c>
      <c r="FV13" t="s">
        <v>2241</v>
      </c>
      <c r="FW13">
        <v>40.388290882110603</v>
      </c>
      <c r="FX13">
        <v>396</v>
      </c>
      <c r="FY13" s="2"/>
      <c r="FZ13">
        <f t="shared" si="88"/>
        <v>38</v>
      </c>
      <c r="GA13" t="s">
        <v>1871</v>
      </c>
      <c r="GB13" t="s">
        <v>2242</v>
      </c>
      <c r="GC13">
        <v>15.66771078109741</v>
      </c>
      <c r="GD13">
        <v>430</v>
      </c>
      <c r="GE13" s="3"/>
      <c r="GF13">
        <f t="shared" si="89"/>
        <v>30</v>
      </c>
      <c r="GG13" t="s">
        <v>1712</v>
      </c>
      <c r="GH13" t="s">
        <v>2243</v>
      </c>
      <c r="GI13">
        <v>28.251516819000241</v>
      </c>
      <c r="GJ13">
        <v>517</v>
      </c>
      <c r="GK13" s="2"/>
      <c r="GL13">
        <f t="shared" si="90"/>
        <v>36</v>
      </c>
      <c r="GM13" t="s">
        <v>2244</v>
      </c>
      <c r="GN13" t="s">
        <v>2245</v>
      </c>
      <c r="GO13">
        <v>7.8191425800323486</v>
      </c>
      <c r="GP13">
        <v>428</v>
      </c>
      <c r="GQ13" s="3"/>
      <c r="GR13">
        <f t="shared" si="91"/>
        <v>10</v>
      </c>
      <c r="GS13" t="s">
        <v>2246</v>
      </c>
      <c r="GT13" t="s">
        <v>2247</v>
      </c>
      <c r="GU13">
        <v>30.389223098754879</v>
      </c>
      <c r="GV13">
        <v>363</v>
      </c>
      <c r="GW13" s="2"/>
      <c r="GX13">
        <f t="shared" si="92"/>
        <v>85</v>
      </c>
      <c r="GY13" t="s">
        <v>2248</v>
      </c>
      <c r="GZ13" t="s">
        <v>2249</v>
      </c>
      <c r="HA13">
        <v>31.245038986206051</v>
      </c>
      <c r="HB13">
        <v>404</v>
      </c>
      <c r="HC13" s="3"/>
      <c r="HD13">
        <f t="shared" si="93"/>
        <v>39</v>
      </c>
      <c r="HE13" t="s">
        <v>2250</v>
      </c>
      <c r="HF13" t="s">
        <v>2251</v>
      </c>
      <c r="HG13">
        <v>22.3335747718811</v>
      </c>
      <c r="HH13">
        <v>438</v>
      </c>
      <c r="HI13" s="2"/>
      <c r="HJ13">
        <f t="shared" si="94"/>
        <v>8</v>
      </c>
      <c r="HK13" t="s">
        <v>2252</v>
      </c>
      <c r="HL13" t="s">
        <v>2253</v>
      </c>
      <c r="HM13">
        <v>4.991830587387085</v>
      </c>
      <c r="HN13">
        <v>271</v>
      </c>
      <c r="HO13" s="3"/>
      <c r="HP13">
        <f t="shared" si="95"/>
        <v>4</v>
      </c>
      <c r="HQ13" t="s">
        <v>69</v>
      </c>
      <c r="HR13" t="s">
        <v>2254</v>
      </c>
      <c r="HS13">
        <v>35.774294853210449</v>
      </c>
      <c r="HT13">
        <v>316</v>
      </c>
      <c r="HU13" s="2"/>
      <c r="HV13">
        <f t="shared" si="96"/>
        <v>27</v>
      </c>
      <c r="HW13" t="s">
        <v>2255</v>
      </c>
      <c r="HX13" t="s">
        <v>2256</v>
      </c>
      <c r="HY13">
        <v>12.05854558944702</v>
      </c>
      <c r="HZ13">
        <v>386</v>
      </c>
      <c r="IA13" s="3"/>
      <c r="IB13">
        <f t="shared" si="97"/>
        <v>100</v>
      </c>
      <c r="IC13" t="s">
        <v>2257</v>
      </c>
      <c r="ID13" t="s">
        <v>2258</v>
      </c>
      <c r="IE13">
        <v>41.108730792999268</v>
      </c>
      <c r="IF13">
        <v>424</v>
      </c>
      <c r="IG13" s="2"/>
      <c r="IH13">
        <f t="shared" si="98"/>
        <v>54</v>
      </c>
      <c r="II13" t="s">
        <v>2259</v>
      </c>
      <c r="IJ13" t="s">
        <v>2260</v>
      </c>
      <c r="IK13">
        <v>17.638689994812012</v>
      </c>
      <c r="IL13">
        <v>502</v>
      </c>
      <c r="IM13" s="3"/>
      <c r="IN13">
        <f t="shared" si="99"/>
        <v>10</v>
      </c>
      <c r="IO13" t="s">
        <v>2261</v>
      </c>
      <c r="IP13" t="s">
        <v>2262</v>
      </c>
      <c r="IQ13">
        <v>3.785248756408691</v>
      </c>
      <c r="IR13">
        <v>399</v>
      </c>
      <c r="IS13" s="2"/>
      <c r="IT13">
        <f t="shared" si="100"/>
        <v>34</v>
      </c>
      <c r="IU13" t="s">
        <v>2263</v>
      </c>
      <c r="IV13" t="s">
        <v>2264</v>
      </c>
      <c r="IW13">
        <v>20.149325847625729</v>
      </c>
      <c r="IX13">
        <v>348</v>
      </c>
      <c r="IY13" s="3"/>
      <c r="IZ13">
        <f t="shared" si="101"/>
        <v>24</v>
      </c>
      <c r="JA13" t="s">
        <v>2265</v>
      </c>
      <c r="JB13" t="s">
        <v>2266</v>
      </c>
      <c r="JC13">
        <v>18.938949108123779</v>
      </c>
      <c r="JD13">
        <v>333</v>
      </c>
      <c r="JE13" s="2"/>
      <c r="JF13">
        <f t="shared" si="102"/>
        <v>18</v>
      </c>
      <c r="JG13" t="s">
        <v>449</v>
      </c>
      <c r="JH13" t="s">
        <v>2267</v>
      </c>
      <c r="JI13">
        <v>4.4720702171325684</v>
      </c>
      <c r="JJ13">
        <v>378</v>
      </c>
      <c r="JK13" s="3"/>
      <c r="JL13">
        <f t="shared" si="103"/>
        <v>5</v>
      </c>
      <c r="JM13" t="s">
        <v>2047</v>
      </c>
      <c r="JN13" t="s">
        <v>2268</v>
      </c>
      <c r="JO13">
        <v>29.19958591461182</v>
      </c>
      <c r="JP13">
        <v>237</v>
      </c>
      <c r="JQ13" s="2"/>
      <c r="JR13">
        <f t="shared" si="104"/>
        <v>29</v>
      </c>
      <c r="JS13" t="s">
        <v>2269</v>
      </c>
      <c r="JT13" t="s">
        <v>2270</v>
      </c>
      <c r="JU13">
        <v>53.116514205932617</v>
      </c>
      <c r="JV13">
        <v>475</v>
      </c>
      <c r="JW13" s="3"/>
      <c r="JX13">
        <f t="shared" si="105"/>
        <v>51</v>
      </c>
      <c r="JY13" t="s">
        <v>2271</v>
      </c>
      <c r="JZ13" t="s">
        <v>2272</v>
      </c>
      <c r="KA13">
        <v>34.997320413589478</v>
      </c>
      <c r="KB13">
        <v>441</v>
      </c>
      <c r="KC13" s="2"/>
      <c r="KD13">
        <f t="shared" si="106"/>
        <v>28</v>
      </c>
      <c r="KE13" t="s">
        <v>2273</v>
      </c>
      <c r="KF13" t="s">
        <v>2274</v>
      </c>
      <c r="KG13">
        <v>13.52743268013</v>
      </c>
      <c r="KH13">
        <v>449</v>
      </c>
      <c r="KI13" s="3"/>
      <c r="KJ13">
        <f t="shared" si="107"/>
        <v>79</v>
      </c>
      <c r="KK13" t="s">
        <v>2275</v>
      </c>
      <c r="KL13" t="s">
        <v>2276</v>
      </c>
      <c r="KM13">
        <v>74.919947147369385</v>
      </c>
      <c r="KN13">
        <v>585</v>
      </c>
      <c r="KO13" s="2"/>
      <c r="KP13">
        <f t="shared" si="108"/>
        <v>42</v>
      </c>
      <c r="KQ13" t="s">
        <v>2277</v>
      </c>
      <c r="KR13" t="s">
        <v>2278</v>
      </c>
      <c r="KS13">
        <v>14.26575231552124</v>
      </c>
      <c r="KT13">
        <v>342</v>
      </c>
      <c r="KU13" s="3"/>
      <c r="KV13">
        <f t="shared" si="109"/>
        <v>29</v>
      </c>
      <c r="KW13" t="s">
        <v>2279</v>
      </c>
      <c r="KX13" t="s">
        <v>2280</v>
      </c>
      <c r="KY13">
        <v>17.094317197799679</v>
      </c>
      <c r="KZ13">
        <v>275</v>
      </c>
      <c r="LA13" s="2"/>
      <c r="LB13">
        <f t="shared" si="110"/>
        <v>36</v>
      </c>
      <c r="LC13" t="s">
        <v>2281</v>
      </c>
      <c r="LD13" t="s">
        <v>2282</v>
      </c>
      <c r="LE13">
        <v>15.54185199737549</v>
      </c>
      <c r="LF13">
        <v>493</v>
      </c>
      <c r="LG13" s="3"/>
      <c r="LH13">
        <f t="shared" si="111"/>
        <v>45</v>
      </c>
      <c r="LI13" t="s">
        <v>2283</v>
      </c>
      <c r="LJ13" t="s">
        <v>2063</v>
      </c>
      <c r="LK13">
        <v>128.14602589607239</v>
      </c>
      <c r="LL13">
        <v>355</v>
      </c>
      <c r="LM13" s="2"/>
      <c r="LN13">
        <f t="shared" si="112"/>
        <v>30</v>
      </c>
      <c r="LO13" t="s">
        <v>1730</v>
      </c>
      <c r="LP13" t="s">
        <v>2284</v>
      </c>
      <c r="LQ13">
        <v>9.2737209796905518</v>
      </c>
      <c r="LR13">
        <v>513</v>
      </c>
      <c r="LS13" s="3"/>
      <c r="LT13">
        <f t="shared" si="113"/>
        <v>8</v>
      </c>
      <c r="LU13" t="s">
        <v>2051</v>
      </c>
      <c r="LV13" t="s">
        <v>2285</v>
      </c>
      <c r="LW13">
        <v>25.62310171127319</v>
      </c>
      <c r="LX13">
        <v>350</v>
      </c>
      <c r="LY13" s="2"/>
      <c r="LZ13">
        <f t="shared" si="114"/>
        <v>42</v>
      </c>
      <c r="MA13" t="s">
        <v>2286</v>
      </c>
      <c r="MB13" t="s">
        <v>2287</v>
      </c>
      <c r="MC13">
        <v>11.904060840606689</v>
      </c>
      <c r="MD13">
        <v>421</v>
      </c>
      <c r="ME13" s="3"/>
      <c r="MF13">
        <f t="shared" si="115"/>
        <v>11</v>
      </c>
      <c r="MG13" t="s">
        <v>2055</v>
      </c>
      <c r="MH13" t="s">
        <v>2288</v>
      </c>
      <c r="MI13">
        <v>22.97321438789368</v>
      </c>
      <c r="MJ13">
        <v>423</v>
      </c>
      <c r="MK13" s="2"/>
      <c r="ML13">
        <f t="shared" si="116"/>
        <v>36</v>
      </c>
      <c r="MM13" t="s">
        <v>2289</v>
      </c>
      <c r="MN13" t="s">
        <v>2290</v>
      </c>
      <c r="MO13">
        <v>21.96922326087952</v>
      </c>
      <c r="MP13">
        <v>381</v>
      </c>
      <c r="MQ13" s="3"/>
      <c r="MR13">
        <f t="shared" si="117"/>
        <v>32</v>
      </c>
      <c r="MS13" t="s">
        <v>1052</v>
      </c>
      <c r="MT13" t="s">
        <v>2291</v>
      </c>
      <c r="MU13">
        <v>16.839152574539181</v>
      </c>
      <c r="MV13">
        <v>519</v>
      </c>
      <c r="MW13" s="2"/>
      <c r="MX13">
        <f t="shared" si="118"/>
        <v>40</v>
      </c>
      <c r="MY13" t="s">
        <v>2292</v>
      </c>
      <c r="MZ13" t="s">
        <v>2293</v>
      </c>
      <c r="NA13">
        <v>41.867315530776978</v>
      </c>
      <c r="NB13">
        <v>422</v>
      </c>
      <c r="NC13" s="3"/>
      <c r="ND13">
        <f t="shared" si="119"/>
        <v>48</v>
      </c>
      <c r="NE13" t="s">
        <v>2294</v>
      </c>
      <c r="NF13" t="s">
        <v>2295</v>
      </c>
      <c r="NG13">
        <v>16.697024345397949</v>
      </c>
      <c r="NH13">
        <v>323</v>
      </c>
      <c r="NI13" s="2"/>
      <c r="NJ13">
        <f t="shared" si="120"/>
        <v>5</v>
      </c>
      <c r="NK13" t="s">
        <v>2296</v>
      </c>
      <c r="NL13" t="s">
        <v>2297</v>
      </c>
      <c r="NM13">
        <v>31.53822231292725</v>
      </c>
      <c r="NN13">
        <v>367</v>
      </c>
      <c r="NO13" s="3"/>
      <c r="NP13">
        <f t="shared" si="121"/>
        <v>31</v>
      </c>
      <c r="NQ13" t="s">
        <v>2298</v>
      </c>
      <c r="NR13" t="s">
        <v>2299</v>
      </c>
      <c r="NS13">
        <v>10.101344108581539</v>
      </c>
      <c r="NT13">
        <v>301</v>
      </c>
      <c r="NU13" s="2"/>
      <c r="NV13">
        <f t="shared" si="122"/>
        <v>30</v>
      </c>
      <c r="NW13" t="s">
        <v>2300</v>
      </c>
      <c r="NX13" t="s">
        <v>2301</v>
      </c>
      <c r="NY13">
        <v>21.38728928565979</v>
      </c>
      <c r="NZ13">
        <v>327</v>
      </c>
      <c r="OA13" s="3"/>
      <c r="OB13">
        <f t="shared" si="123"/>
        <v>28</v>
      </c>
      <c r="OC13" t="s">
        <v>2302</v>
      </c>
      <c r="OD13" t="s">
        <v>2303</v>
      </c>
      <c r="OE13">
        <v>9.8488819599151611</v>
      </c>
      <c r="OF13">
        <v>357</v>
      </c>
      <c r="OG13" s="2"/>
      <c r="OH13">
        <f t="shared" si="124"/>
        <v>15</v>
      </c>
      <c r="OI13" t="s">
        <v>2304</v>
      </c>
      <c r="OJ13" t="s">
        <v>2305</v>
      </c>
      <c r="OK13">
        <v>163.44090294837949</v>
      </c>
      <c r="OL13">
        <v>453</v>
      </c>
      <c r="OM13" s="3"/>
      <c r="ON13">
        <f t="shared" si="125"/>
        <v>26</v>
      </c>
      <c r="OO13" t="s">
        <v>423</v>
      </c>
      <c r="OP13" t="s">
        <v>2306</v>
      </c>
      <c r="OQ13">
        <v>14.24422907829285</v>
      </c>
      <c r="OR13">
        <v>346</v>
      </c>
      <c r="OS13" s="2"/>
      <c r="OT13">
        <f t="shared" si="126"/>
        <v>9</v>
      </c>
      <c r="OU13" t="s">
        <v>2307</v>
      </c>
      <c r="OV13" t="s">
        <v>2308</v>
      </c>
      <c r="OW13">
        <v>28.847246170043949</v>
      </c>
      <c r="OX13">
        <v>444</v>
      </c>
      <c r="OY13" s="3"/>
      <c r="OZ13">
        <f t="shared" si="127"/>
        <v>42</v>
      </c>
      <c r="PA13" t="s">
        <v>1623</v>
      </c>
      <c r="PB13" t="s">
        <v>2309</v>
      </c>
      <c r="PC13">
        <v>51.286031007766717</v>
      </c>
      <c r="PD13">
        <v>396</v>
      </c>
      <c r="PE13" s="2"/>
      <c r="PF13">
        <f t="shared" si="128"/>
        <v>10</v>
      </c>
      <c r="PG13" t="s">
        <v>2310</v>
      </c>
      <c r="PH13" t="s">
        <v>2311</v>
      </c>
      <c r="PI13">
        <v>26.634037971496578</v>
      </c>
      <c r="PJ13">
        <v>447</v>
      </c>
      <c r="PK13" s="3"/>
      <c r="PL13">
        <f t="shared" si="129"/>
        <v>22</v>
      </c>
      <c r="PM13" t="s">
        <v>828</v>
      </c>
      <c r="PN13" t="s">
        <v>2312</v>
      </c>
      <c r="PO13">
        <v>7.7007179260253906</v>
      </c>
      <c r="PP13">
        <v>420</v>
      </c>
      <c r="PQ13" s="2"/>
      <c r="PR13">
        <f t="shared" si="130"/>
        <v>72</v>
      </c>
      <c r="PS13" t="s">
        <v>2313</v>
      </c>
      <c r="PT13" t="s">
        <v>2314</v>
      </c>
      <c r="PU13">
        <v>41.691579103469849</v>
      </c>
      <c r="PV13">
        <v>522</v>
      </c>
      <c r="PW13" s="3"/>
      <c r="PX13">
        <f t="shared" si="131"/>
        <v>66</v>
      </c>
      <c r="PY13" t="s">
        <v>2315</v>
      </c>
      <c r="PZ13" t="s">
        <v>2316</v>
      </c>
      <c r="QA13">
        <v>18.024949312210079</v>
      </c>
      <c r="QB13">
        <v>468</v>
      </c>
      <c r="QC13" s="2"/>
      <c r="QD13">
        <f t="shared" si="132"/>
        <v>25</v>
      </c>
      <c r="QE13" t="s">
        <v>2317</v>
      </c>
      <c r="QF13" t="s">
        <v>2318</v>
      </c>
      <c r="QG13">
        <v>24.402070999145511</v>
      </c>
      <c r="QH13">
        <v>433</v>
      </c>
      <c r="QI13" s="3"/>
      <c r="QJ13">
        <f t="shared" si="133"/>
        <v>29</v>
      </c>
      <c r="QK13" t="s">
        <v>230</v>
      </c>
      <c r="QL13" t="s">
        <v>2319</v>
      </c>
      <c r="QM13">
        <v>6.4915096759796143</v>
      </c>
      <c r="QN13">
        <v>449</v>
      </c>
      <c r="QO13" s="4"/>
      <c r="QP13">
        <f t="shared" si="134"/>
        <v>63</v>
      </c>
      <c r="QQ13" t="s">
        <v>2320</v>
      </c>
      <c r="QR13" t="s">
        <v>2321</v>
      </c>
      <c r="QS13">
        <v>397.57690453529358</v>
      </c>
      <c r="QT13">
        <v>491</v>
      </c>
      <c r="QU13" s="3"/>
      <c r="QV13">
        <f t="shared" si="135"/>
        <v>33</v>
      </c>
      <c r="QW13" t="s">
        <v>2322</v>
      </c>
      <c r="QX13" t="s">
        <v>2323</v>
      </c>
      <c r="QY13">
        <v>23.092090129852291</v>
      </c>
      <c r="QZ13">
        <v>427</v>
      </c>
      <c r="RA13" s="2"/>
      <c r="RB13">
        <f t="shared" si="136"/>
        <v>7</v>
      </c>
      <c r="RC13" t="s">
        <v>2051</v>
      </c>
      <c r="RD13" t="s">
        <v>2324</v>
      </c>
      <c r="RE13">
        <v>33.229360103607178</v>
      </c>
      <c r="RF13">
        <v>383</v>
      </c>
      <c r="RG13" s="3"/>
      <c r="RH13">
        <f t="shared" si="137"/>
        <v>44</v>
      </c>
      <c r="RI13" t="s">
        <v>2325</v>
      </c>
      <c r="RJ13" t="s">
        <v>2326</v>
      </c>
      <c r="RK13">
        <v>15.66631865501404</v>
      </c>
      <c r="RL13">
        <v>342</v>
      </c>
      <c r="RM13" s="2"/>
      <c r="RN13">
        <f t="shared" si="138"/>
        <v>21</v>
      </c>
      <c r="RO13" t="s">
        <v>2327</v>
      </c>
      <c r="RP13" t="s">
        <v>2328</v>
      </c>
      <c r="RQ13">
        <v>29.112359762191769</v>
      </c>
      <c r="RR13">
        <v>345</v>
      </c>
      <c r="RS13" s="3"/>
      <c r="RT13">
        <f t="shared" si="139"/>
        <v>26</v>
      </c>
      <c r="RU13" t="s">
        <v>2329</v>
      </c>
      <c r="RV13" t="s">
        <v>2330</v>
      </c>
      <c r="RW13">
        <v>14.548316717147831</v>
      </c>
      <c r="RX13">
        <v>375</v>
      </c>
      <c r="RY13" s="2"/>
      <c r="RZ13">
        <f t="shared" si="140"/>
        <v>27</v>
      </c>
      <c r="SA13" t="s">
        <v>1268</v>
      </c>
      <c r="SB13" t="s">
        <v>2331</v>
      </c>
      <c r="SC13">
        <v>12.906863689422609</v>
      </c>
      <c r="SD13">
        <v>423</v>
      </c>
      <c r="SE13" s="3"/>
      <c r="SF13">
        <f t="shared" si="141"/>
        <v>42</v>
      </c>
      <c r="SG13" t="s">
        <v>2332</v>
      </c>
      <c r="SH13" t="s">
        <v>2333</v>
      </c>
      <c r="SI13">
        <v>15.84758019447327</v>
      </c>
      <c r="SJ13">
        <v>465</v>
      </c>
      <c r="SK13" s="2"/>
      <c r="SL13">
        <f t="shared" si="142"/>
        <v>40</v>
      </c>
      <c r="SM13" t="s">
        <v>1052</v>
      </c>
      <c r="SN13" t="s">
        <v>2334</v>
      </c>
      <c r="SO13">
        <v>5.8545804023742676</v>
      </c>
      <c r="SP13">
        <v>600</v>
      </c>
      <c r="SQ13" s="3"/>
      <c r="SR13">
        <f t="shared" si="143"/>
        <v>16</v>
      </c>
      <c r="SS13" t="s">
        <v>2335</v>
      </c>
      <c r="ST13" t="s">
        <v>2336</v>
      </c>
      <c r="SU13">
        <v>4.3646132946014404</v>
      </c>
      <c r="SV13">
        <v>423</v>
      </c>
      <c r="SW13" s="2"/>
      <c r="SX13">
        <f t="shared" si="144"/>
        <v>19</v>
      </c>
      <c r="SY13" t="s">
        <v>2337</v>
      </c>
      <c r="SZ13" t="s">
        <v>2338</v>
      </c>
      <c r="TA13">
        <v>56.511322259902947</v>
      </c>
      <c r="TB13">
        <v>333</v>
      </c>
      <c r="TC13" s="3"/>
      <c r="TD13">
        <f t="shared" si="145"/>
        <v>28</v>
      </c>
      <c r="TE13" t="s">
        <v>2339</v>
      </c>
      <c r="TF13" t="s">
        <v>2340</v>
      </c>
      <c r="TG13">
        <v>10.833226203918461</v>
      </c>
      <c r="TH13">
        <v>427</v>
      </c>
      <c r="TI13" s="2"/>
      <c r="TJ13">
        <f t="shared" si="146"/>
        <v>72</v>
      </c>
      <c r="TK13" t="s">
        <v>2341</v>
      </c>
      <c r="TL13" t="s">
        <v>2342</v>
      </c>
      <c r="TM13">
        <v>34.862148761749268</v>
      </c>
      <c r="TN13">
        <v>440</v>
      </c>
      <c r="TO13" s="3"/>
      <c r="TP13">
        <f t="shared" si="147"/>
        <v>33</v>
      </c>
      <c r="TQ13" t="s">
        <v>2343</v>
      </c>
      <c r="TR13" t="s">
        <v>2344</v>
      </c>
      <c r="TS13">
        <v>14.06288170814514</v>
      </c>
      <c r="TT13">
        <v>400</v>
      </c>
      <c r="TU13" s="2"/>
      <c r="TV13">
        <f t="shared" si="148"/>
        <v>10</v>
      </c>
      <c r="TW13" t="s">
        <v>2062</v>
      </c>
      <c r="TX13" t="s">
        <v>2345</v>
      </c>
      <c r="TY13">
        <v>37.144779443740838</v>
      </c>
      <c r="TZ13">
        <v>363</v>
      </c>
      <c r="UA13" s="3"/>
      <c r="UB13">
        <f t="shared" si="149"/>
        <v>27</v>
      </c>
      <c r="UC13" t="s">
        <v>2346</v>
      </c>
      <c r="UD13" t="s">
        <v>2347</v>
      </c>
      <c r="UE13">
        <v>14.85202217102051</v>
      </c>
      <c r="UF13">
        <v>378</v>
      </c>
      <c r="UG13" s="2"/>
      <c r="UH13">
        <f t="shared" si="150"/>
        <v>23</v>
      </c>
      <c r="UI13" t="s">
        <v>2348</v>
      </c>
      <c r="UJ13" t="s">
        <v>2349</v>
      </c>
      <c r="UK13">
        <v>33.28268837928772</v>
      </c>
      <c r="UL13">
        <v>185</v>
      </c>
      <c r="UM13" s="3"/>
      <c r="UN13">
        <f t="shared" si="151"/>
        <v>55</v>
      </c>
      <c r="UO13" t="s">
        <v>2350</v>
      </c>
      <c r="UP13" t="s">
        <v>2351</v>
      </c>
      <c r="UQ13">
        <v>16.208389759063721</v>
      </c>
      <c r="UR13">
        <v>394</v>
      </c>
      <c r="US13" s="2"/>
      <c r="UT13">
        <f t="shared" si="152"/>
        <v>10</v>
      </c>
      <c r="UU13" t="s">
        <v>1019</v>
      </c>
      <c r="UV13" t="s">
        <v>2352</v>
      </c>
      <c r="UW13">
        <v>24.49805307388306</v>
      </c>
      <c r="UX13">
        <v>513</v>
      </c>
      <c r="UY13" s="3"/>
      <c r="UZ13">
        <f t="shared" si="153"/>
        <v>32</v>
      </c>
      <c r="VA13" t="s">
        <v>2353</v>
      </c>
      <c r="VB13" t="s">
        <v>2354</v>
      </c>
      <c r="VC13">
        <v>13.30162191390991</v>
      </c>
      <c r="VD13">
        <v>357</v>
      </c>
      <c r="VE13" s="2"/>
      <c r="VF13">
        <f t="shared" si="154"/>
        <v>24</v>
      </c>
      <c r="VG13" t="s">
        <v>2355</v>
      </c>
      <c r="VH13" t="s">
        <v>2356</v>
      </c>
      <c r="VI13">
        <v>19.633508443832401</v>
      </c>
      <c r="VJ13">
        <v>386</v>
      </c>
      <c r="VK13" s="3"/>
      <c r="VL13">
        <f t="shared" si="155"/>
        <v>24</v>
      </c>
      <c r="VM13" t="s">
        <v>2357</v>
      </c>
      <c r="VN13" t="s">
        <v>2358</v>
      </c>
      <c r="VO13">
        <v>10.93230772018433</v>
      </c>
      <c r="VP13">
        <v>529</v>
      </c>
      <c r="VQ13" s="2"/>
      <c r="VR13">
        <f t="shared" si="156"/>
        <v>44</v>
      </c>
      <c r="VS13" t="s">
        <v>2359</v>
      </c>
      <c r="VT13" t="s">
        <v>2360</v>
      </c>
      <c r="VU13">
        <v>20.691604852676392</v>
      </c>
      <c r="VV13">
        <v>390</v>
      </c>
      <c r="VW13" s="3"/>
      <c r="VX13">
        <f t="shared" si="157"/>
        <v>12</v>
      </c>
      <c r="VY13" t="s">
        <v>1521</v>
      </c>
      <c r="VZ13" t="s">
        <v>2361</v>
      </c>
      <c r="WA13">
        <v>5.3185877799987793</v>
      </c>
      <c r="WB13">
        <v>423</v>
      </c>
      <c r="WC13" s="2"/>
      <c r="WD13">
        <f t="shared" si="158"/>
        <v>82</v>
      </c>
      <c r="WE13" t="s">
        <v>2362</v>
      </c>
      <c r="WF13" t="s">
        <v>2363</v>
      </c>
      <c r="WG13">
        <v>172.33085155487061</v>
      </c>
      <c r="WH13">
        <v>356</v>
      </c>
      <c r="WI13" s="3"/>
      <c r="WJ13">
        <f t="shared" si="159"/>
        <v>30</v>
      </c>
      <c r="WK13" t="s">
        <v>2364</v>
      </c>
      <c r="WL13" t="s">
        <v>2365</v>
      </c>
      <c r="WM13">
        <v>13.222773790359501</v>
      </c>
      <c r="WN13">
        <v>508</v>
      </c>
      <c r="WO13" s="2"/>
      <c r="WP13">
        <f t="shared" si="160"/>
        <v>31</v>
      </c>
      <c r="WQ13" t="s">
        <v>2366</v>
      </c>
      <c r="WR13" t="s">
        <v>2367</v>
      </c>
      <c r="WS13">
        <v>16.509567022323608</v>
      </c>
      <c r="WT13">
        <v>339</v>
      </c>
      <c r="WU13" s="3"/>
      <c r="WV13">
        <f t="shared" si="161"/>
        <v>66</v>
      </c>
      <c r="WW13" t="s">
        <v>2368</v>
      </c>
      <c r="WX13" t="s">
        <v>2369</v>
      </c>
      <c r="WY13">
        <v>29.900023937225338</v>
      </c>
      <c r="WZ13">
        <v>495</v>
      </c>
      <c r="XA13" s="2"/>
      <c r="XB13">
        <f t="shared" si="162"/>
        <v>32</v>
      </c>
      <c r="XC13" t="s">
        <v>2370</v>
      </c>
      <c r="XD13" t="s">
        <v>2371</v>
      </c>
      <c r="XE13">
        <v>21.989811658859249</v>
      </c>
      <c r="XF13">
        <v>395</v>
      </c>
      <c r="XG13" s="3"/>
      <c r="XH13">
        <f t="shared" si="163"/>
        <v>51</v>
      </c>
      <c r="XI13" t="s">
        <v>2372</v>
      </c>
      <c r="XJ13" t="s">
        <v>2373</v>
      </c>
      <c r="XK13">
        <v>10.894223213195801</v>
      </c>
      <c r="XL13">
        <v>368</v>
      </c>
      <c r="XM13" s="2"/>
      <c r="XN13">
        <f t="shared" si="164"/>
        <v>36</v>
      </c>
      <c r="XO13" t="s">
        <v>2374</v>
      </c>
      <c r="XP13" t="s">
        <v>2375</v>
      </c>
      <c r="XQ13">
        <v>14.103577852249151</v>
      </c>
      <c r="XR13">
        <v>359</v>
      </c>
      <c r="XS13" s="3"/>
      <c r="XT13">
        <f t="shared" si="165"/>
        <v>39</v>
      </c>
      <c r="XU13" t="s">
        <v>2376</v>
      </c>
      <c r="XV13" t="s">
        <v>2377</v>
      </c>
      <c r="XW13">
        <v>20.277878522872921</v>
      </c>
      <c r="XX13">
        <v>476</v>
      </c>
      <c r="XY13" s="2"/>
      <c r="XZ13">
        <f t="shared" si="166"/>
        <v>13</v>
      </c>
      <c r="YA13" t="s">
        <v>2378</v>
      </c>
      <c r="YB13" t="s">
        <v>2379</v>
      </c>
      <c r="YC13">
        <v>41.642580509185791</v>
      </c>
      <c r="YD13">
        <v>427</v>
      </c>
      <c r="YE13" s="3"/>
      <c r="YF13">
        <f t="shared" si="167"/>
        <v>32</v>
      </c>
      <c r="YG13" t="s">
        <v>2380</v>
      </c>
      <c r="YH13" t="s">
        <v>2381</v>
      </c>
      <c r="YI13">
        <v>21.55981016159058</v>
      </c>
      <c r="YJ13">
        <v>387</v>
      </c>
      <c r="YK13" s="2"/>
      <c r="YL13">
        <f t="shared" si="168"/>
        <v>48</v>
      </c>
      <c r="YM13" t="s">
        <v>2382</v>
      </c>
      <c r="YN13" t="s">
        <v>2383</v>
      </c>
      <c r="YO13">
        <v>23.621838331222531</v>
      </c>
      <c r="YP13">
        <v>397</v>
      </c>
      <c r="YQ13" s="3"/>
      <c r="YR13">
        <f t="shared" si="169"/>
        <v>27</v>
      </c>
      <c r="YS13" t="s">
        <v>2384</v>
      </c>
      <c r="YT13" t="s">
        <v>2385</v>
      </c>
      <c r="YU13">
        <v>8.2347204685211182</v>
      </c>
      <c r="YV13">
        <v>468</v>
      </c>
      <c r="YW13" s="2"/>
      <c r="YX13">
        <f t="shared" si="170"/>
        <v>26</v>
      </c>
      <c r="YY13" t="s">
        <v>1712</v>
      </c>
      <c r="YZ13" t="s">
        <v>2386</v>
      </c>
      <c r="ZA13">
        <v>30.419233798980709</v>
      </c>
      <c r="ZB13">
        <v>445</v>
      </c>
      <c r="ZC13" s="3"/>
      <c r="ZD13">
        <f t="shared" si="171"/>
        <v>24</v>
      </c>
      <c r="ZE13" t="s">
        <v>2387</v>
      </c>
      <c r="ZF13" t="s">
        <v>2388</v>
      </c>
      <c r="ZG13">
        <v>9.2909994125366211</v>
      </c>
      <c r="ZH13">
        <v>400</v>
      </c>
      <c r="ZI13" s="2"/>
      <c r="ZJ13">
        <f t="shared" si="172"/>
        <v>0</v>
      </c>
      <c r="ZL13" t="s">
        <v>2389</v>
      </c>
      <c r="ZM13">
        <v>79.046976089477539</v>
      </c>
      <c r="ZN13">
        <v>374</v>
      </c>
      <c r="ZO13" s="3"/>
      <c r="ZP13">
        <f t="shared" si="173"/>
        <v>35</v>
      </c>
      <c r="ZQ13" t="s">
        <v>2292</v>
      </c>
      <c r="ZR13" t="s">
        <v>2390</v>
      </c>
      <c r="ZS13">
        <v>21.468339920043949</v>
      </c>
      <c r="ZT13">
        <v>338</v>
      </c>
      <c r="ZU13" s="2"/>
      <c r="ZV13">
        <f t="shared" si="174"/>
        <v>13</v>
      </c>
      <c r="ZW13" t="s">
        <v>2391</v>
      </c>
      <c r="ZX13" t="s">
        <v>2392</v>
      </c>
      <c r="ZY13">
        <v>32.770208835601807</v>
      </c>
      <c r="ZZ13">
        <v>240</v>
      </c>
      <c r="AAA13" s="3"/>
      <c r="AAB13">
        <f t="shared" si="175"/>
        <v>37</v>
      </c>
      <c r="AAC13" t="s">
        <v>2393</v>
      </c>
      <c r="AAD13" t="s">
        <v>2394</v>
      </c>
      <c r="AAE13">
        <v>148.56035733222959</v>
      </c>
      <c r="AAF13">
        <v>386</v>
      </c>
      <c r="AAG13" s="2"/>
      <c r="AAH13">
        <f t="shared" si="176"/>
        <v>6</v>
      </c>
      <c r="AAI13" t="s">
        <v>2395</v>
      </c>
      <c r="AAJ13" t="s">
        <v>2396</v>
      </c>
      <c r="AAK13">
        <v>23.581748723983761</v>
      </c>
      <c r="AAL13">
        <v>384</v>
      </c>
      <c r="AAM13" s="3"/>
      <c r="AAN13">
        <f t="shared" si="177"/>
        <v>35</v>
      </c>
      <c r="AAO13" t="s">
        <v>1215</v>
      </c>
      <c r="AAP13" t="s">
        <v>2397</v>
      </c>
      <c r="AAQ13">
        <v>20.72541618347168</v>
      </c>
      <c r="AAR13">
        <v>404</v>
      </c>
      <c r="AAS13" s="2"/>
      <c r="AAT13">
        <f t="shared" si="178"/>
        <v>44</v>
      </c>
      <c r="AAU13" t="s">
        <v>2398</v>
      </c>
      <c r="AAV13" t="s">
        <v>2399</v>
      </c>
      <c r="AAW13">
        <v>36.607690572738647</v>
      </c>
      <c r="AAX13">
        <v>470</v>
      </c>
      <c r="AAY13" s="3"/>
      <c r="AAZ13">
        <f t="shared" si="179"/>
        <v>16</v>
      </c>
      <c r="ABA13" t="s">
        <v>2400</v>
      </c>
      <c r="ABB13" t="s">
        <v>2401</v>
      </c>
      <c r="ABC13">
        <v>8.1184682846069336</v>
      </c>
      <c r="ABD13">
        <v>481</v>
      </c>
      <c r="ABE13" s="2"/>
      <c r="ABF13">
        <f t="shared" si="180"/>
        <v>22</v>
      </c>
      <c r="ABG13" t="s">
        <v>2402</v>
      </c>
      <c r="ABH13" t="s">
        <v>2403</v>
      </c>
      <c r="ABI13">
        <v>5.9806685447692871</v>
      </c>
      <c r="ABJ13">
        <v>334</v>
      </c>
      <c r="ABK13" s="6"/>
      <c r="ABL13">
        <f t="shared" si="181"/>
        <v>16</v>
      </c>
      <c r="ABM13" t="s">
        <v>2404</v>
      </c>
      <c r="ABN13" t="s">
        <v>2405</v>
      </c>
      <c r="ABO13">
        <v>20.567844152450562</v>
      </c>
      <c r="ABP13">
        <v>415</v>
      </c>
      <c r="ABQ13" s="2"/>
    </row>
    <row r="14" spans="1:745" x14ac:dyDescent="0.25">
      <c r="A14">
        <v>12</v>
      </c>
      <c r="B14">
        <f t="shared" si="58"/>
        <v>37</v>
      </c>
      <c r="C14" t="s">
        <v>2406</v>
      </c>
      <c r="D14" t="s">
        <v>2407</v>
      </c>
      <c r="E14">
        <v>8.1626536846160889</v>
      </c>
      <c r="F14">
        <v>465</v>
      </c>
      <c r="G14" s="1"/>
      <c r="H14">
        <f t="shared" si="59"/>
        <v>25</v>
      </c>
      <c r="I14" t="s">
        <v>2408</v>
      </c>
      <c r="J14" t="s">
        <v>2409</v>
      </c>
      <c r="K14">
        <v>5.3431663513183594</v>
      </c>
      <c r="L14">
        <v>469</v>
      </c>
      <c r="M14" s="2"/>
      <c r="N14">
        <f t="shared" si="60"/>
        <v>18</v>
      </c>
      <c r="O14" t="s">
        <v>2387</v>
      </c>
      <c r="P14" t="s">
        <v>2410</v>
      </c>
      <c r="Q14">
        <v>8.6318328380584717</v>
      </c>
      <c r="R14">
        <v>383</v>
      </c>
      <c r="S14" s="3"/>
      <c r="T14">
        <f t="shared" si="61"/>
        <v>0</v>
      </c>
      <c r="V14" t="s">
        <v>2411</v>
      </c>
      <c r="W14">
        <v>16.32254958152771</v>
      </c>
      <c r="X14">
        <v>398</v>
      </c>
      <c r="Y14" s="2"/>
      <c r="Z14">
        <f t="shared" si="62"/>
        <v>24</v>
      </c>
      <c r="AA14" t="s">
        <v>2412</v>
      </c>
      <c r="AB14" t="s">
        <v>2413</v>
      </c>
      <c r="AC14">
        <v>9.7160365581512451</v>
      </c>
      <c r="AD14">
        <v>412</v>
      </c>
      <c r="AE14" s="3"/>
      <c r="AF14">
        <f t="shared" si="63"/>
        <v>20</v>
      </c>
      <c r="AG14" t="s">
        <v>1242</v>
      </c>
      <c r="AH14" t="s">
        <v>2414</v>
      </c>
      <c r="AI14">
        <v>22.851525783538818</v>
      </c>
      <c r="AJ14">
        <v>419</v>
      </c>
      <c r="AK14" s="2"/>
      <c r="AL14">
        <f t="shared" si="64"/>
        <v>34</v>
      </c>
      <c r="AM14" t="s">
        <v>2415</v>
      </c>
      <c r="AN14" t="s">
        <v>2416</v>
      </c>
      <c r="AO14">
        <v>32.231687784194953</v>
      </c>
      <c r="AP14">
        <v>399</v>
      </c>
      <c r="AQ14" s="3"/>
      <c r="AR14">
        <f t="shared" si="65"/>
        <v>25</v>
      </c>
      <c r="AS14" t="s">
        <v>2417</v>
      </c>
      <c r="AT14" t="s">
        <v>2418</v>
      </c>
      <c r="AU14">
        <v>12.279998540878299</v>
      </c>
      <c r="AV14">
        <v>407</v>
      </c>
      <c r="AW14" s="2"/>
      <c r="AX14">
        <f t="shared" si="66"/>
        <v>48</v>
      </c>
      <c r="AY14" t="s">
        <v>2419</v>
      </c>
      <c r="AZ14" t="s">
        <v>2420</v>
      </c>
      <c r="BA14">
        <v>14.54719400405884</v>
      </c>
      <c r="BB14">
        <v>383</v>
      </c>
      <c r="BC14" s="3"/>
      <c r="BD14">
        <f t="shared" si="67"/>
        <v>81</v>
      </c>
      <c r="BE14" t="s">
        <v>2421</v>
      </c>
      <c r="BF14" t="s">
        <v>2422</v>
      </c>
      <c r="BG14">
        <v>635.05262422561646</v>
      </c>
      <c r="BH14">
        <v>494</v>
      </c>
      <c r="BI14" s="2"/>
      <c r="BJ14">
        <f t="shared" si="68"/>
        <v>28</v>
      </c>
      <c r="BK14" t="s">
        <v>2423</v>
      </c>
      <c r="BL14" t="s">
        <v>2424</v>
      </c>
      <c r="BM14">
        <v>9.813068151473999</v>
      </c>
      <c r="BN14">
        <v>466</v>
      </c>
      <c r="BO14" s="3"/>
      <c r="BP14">
        <f t="shared" si="69"/>
        <v>28</v>
      </c>
      <c r="BQ14" t="s">
        <v>2425</v>
      </c>
      <c r="BR14" t="s">
        <v>2426</v>
      </c>
      <c r="BS14">
        <v>9.7290983200073242</v>
      </c>
      <c r="BT14">
        <v>512</v>
      </c>
      <c r="BU14" s="2"/>
      <c r="BV14">
        <f t="shared" si="70"/>
        <v>18</v>
      </c>
      <c r="BW14" t="s">
        <v>2427</v>
      </c>
      <c r="BX14" t="s">
        <v>2428</v>
      </c>
      <c r="BY14">
        <v>4.0749812126159668</v>
      </c>
      <c r="BZ14">
        <v>439</v>
      </c>
      <c r="CA14" s="3"/>
      <c r="CB14">
        <f t="shared" si="71"/>
        <v>11</v>
      </c>
      <c r="CC14" t="s">
        <v>2429</v>
      </c>
      <c r="CD14" t="s">
        <v>2430</v>
      </c>
      <c r="CE14">
        <v>4.0892179012298584</v>
      </c>
      <c r="CF14">
        <v>522</v>
      </c>
      <c r="CG14" s="2"/>
      <c r="CH14">
        <f t="shared" si="72"/>
        <v>29</v>
      </c>
      <c r="CI14" t="s">
        <v>173</v>
      </c>
      <c r="CJ14" t="s">
        <v>2431</v>
      </c>
      <c r="CK14">
        <v>21.171850919723511</v>
      </c>
      <c r="CL14">
        <v>331</v>
      </c>
      <c r="CM14" s="3"/>
      <c r="CN14">
        <f t="shared" si="73"/>
        <v>17</v>
      </c>
      <c r="CO14" t="s">
        <v>59</v>
      </c>
      <c r="CP14" t="s">
        <v>2432</v>
      </c>
      <c r="CQ14">
        <v>63.022884368896477</v>
      </c>
      <c r="CR14">
        <v>324</v>
      </c>
      <c r="CS14" s="2"/>
      <c r="CT14">
        <f t="shared" si="74"/>
        <v>28</v>
      </c>
      <c r="CU14" t="s">
        <v>2433</v>
      </c>
      <c r="CV14" t="s">
        <v>2434</v>
      </c>
      <c r="CW14">
        <v>10.024043321609501</v>
      </c>
      <c r="CX14">
        <v>360</v>
      </c>
      <c r="CY14" s="3"/>
      <c r="CZ14">
        <f t="shared" si="75"/>
        <v>32</v>
      </c>
      <c r="DA14" t="s">
        <v>2435</v>
      </c>
      <c r="DB14" t="s">
        <v>2436</v>
      </c>
      <c r="DC14">
        <v>25.702445983886719</v>
      </c>
      <c r="DD14">
        <v>483</v>
      </c>
      <c r="DE14" s="2"/>
      <c r="DF14">
        <f t="shared" si="76"/>
        <v>42</v>
      </c>
      <c r="DG14" t="s">
        <v>2437</v>
      </c>
      <c r="DH14" t="s">
        <v>2438</v>
      </c>
      <c r="DI14">
        <v>37.052231550216668</v>
      </c>
      <c r="DJ14">
        <v>468</v>
      </c>
      <c r="DK14" s="3"/>
      <c r="DL14">
        <f t="shared" si="77"/>
        <v>26</v>
      </c>
      <c r="DM14" t="s">
        <v>2439</v>
      </c>
      <c r="DN14" t="s">
        <v>2440</v>
      </c>
      <c r="DO14">
        <v>29.10385274887085</v>
      </c>
      <c r="DP14">
        <v>456</v>
      </c>
      <c r="DQ14" s="2"/>
      <c r="DR14">
        <f t="shared" si="78"/>
        <v>22</v>
      </c>
      <c r="DS14" t="s">
        <v>551</v>
      </c>
      <c r="DT14" t="s">
        <v>2441</v>
      </c>
      <c r="DU14">
        <v>9.0538945198059082</v>
      </c>
      <c r="DV14">
        <v>429</v>
      </c>
      <c r="DW14" s="3"/>
      <c r="DX14">
        <f t="shared" si="79"/>
        <v>16</v>
      </c>
      <c r="DY14" t="s">
        <v>2442</v>
      </c>
      <c r="DZ14" t="s">
        <v>2443</v>
      </c>
      <c r="EA14">
        <v>39.712724685668952</v>
      </c>
      <c r="EB14">
        <v>349</v>
      </c>
      <c r="EC14" s="2"/>
      <c r="ED14">
        <f t="shared" si="80"/>
        <v>17</v>
      </c>
      <c r="EE14" t="s">
        <v>2359</v>
      </c>
      <c r="EF14" t="s">
        <v>2444</v>
      </c>
      <c r="EG14">
        <v>4.374042272567749</v>
      </c>
      <c r="EH14">
        <v>475</v>
      </c>
      <c r="EI14" s="3"/>
      <c r="EJ14">
        <f t="shared" si="81"/>
        <v>17</v>
      </c>
      <c r="EK14" t="s">
        <v>2445</v>
      </c>
      <c r="EL14" t="s">
        <v>2446</v>
      </c>
      <c r="EM14">
        <v>4.6331040859222412</v>
      </c>
      <c r="EN14">
        <v>541</v>
      </c>
      <c r="EO14" s="2"/>
      <c r="EP14">
        <f t="shared" si="82"/>
        <v>37</v>
      </c>
      <c r="EQ14" t="s">
        <v>2447</v>
      </c>
      <c r="ER14" t="s">
        <v>2448</v>
      </c>
      <c r="ES14">
        <v>43.02285099029541</v>
      </c>
      <c r="ET14">
        <v>512</v>
      </c>
      <c r="EU14" s="3"/>
      <c r="EV14">
        <f t="shared" si="83"/>
        <v>22</v>
      </c>
      <c r="EW14" t="s">
        <v>2449</v>
      </c>
      <c r="EX14" t="s">
        <v>2450</v>
      </c>
      <c r="EY14">
        <v>7.0920534133911133</v>
      </c>
      <c r="EZ14">
        <v>446</v>
      </c>
      <c r="FA14" s="2"/>
      <c r="FB14">
        <f t="shared" si="84"/>
        <v>38</v>
      </c>
      <c r="FC14" t="s">
        <v>2451</v>
      </c>
      <c r="FD14" t="s">
        <v>2452</v>
      </c>
      <c r="FE14">
        <v>18.12740063667297</v>
      </c>
      <c r="FF14">
        <v>433</v>
      </c>
      <c r="FG14" s="3"/>
      <c r="FH14">
        <f t="shared" si="85"/>
        <v>55</v>
      </c>
      <c r="FI14" t="s">
        <v>2453</v>
      </c>
      <c r="FJ14" t="s">
        <v>2454</v>
      </c>
      <c r="FK14">
        <v>38.758760929107673</v>
      </c>
      <c r="FL14">
        <v>332</v>
      </c>
      <c r="FM14" s="2"/>
      <c r="FN14">
        <f t="shared" si="86"/>
        <v>30</v>
      </c>
      <c r="FO14" t="s">
        <v>2455</v>
      </c>
      <c r="FP14" t="s">
        <v>2456</v>
      </c>
      <c r="FQ14">
        <v>19.730493068695068</v>
      </c>
      <c r="FR14">
        <v>400</v>
      </c>
      <c r="FS14" s="3"/>
      <c r="FT14">
        <f t="shared" si="87"/>
        <v>14</v>
      </c>
      <c r="FU14" t="s">
        <v>2457</v>
      </c>
      <c r="FV14" t="s">
        <v>2458</v>
      </c>
      <c r="FW14">
        <v>45.73532509803772</v>
      </c>
      <c r="FX14">
        <v>410</v>
      </c>
      <c r="FY14" s="2"/>
      <c r="FZ14">
        <f t="shared" si="88"/>
        <v>16</v>
      </c>
      <c r="GA14" t="s">
        <v>2459</v>
      </c>
      <c r="GB14" t="s">
        <v>2460</v>
      </c>
      <c r="GC14">
        <v>12.2505214214325</v>
      </c>
      <c r="GD14">
        <v>446</v>
      </c>
      <c r="GE14" s="3"/>
      <c r="GF14">
        <f t="shared" si="89"/>
        <v>23</v>
      </c>
      <c r="GG14" t="s">
        <v>2461</v>
      </c>
      <c r="GH14" t="s">
        <v>2462</v>
      </c>
      <c r="GI14">
        <v>11.03761410713196</v>
      </c>
      <c r="GJ14">
        <v>540</v>
      </c>
      <c r="GK14" s="2"/>
      <c r="GL14">
        <f t="shared" si="90"/>
        <v>27</v>
      </c>
      <c r="GM14" t="s">
        <v>651</v>
      </c>
      <c r="GN14" t="s">
        <v>2463</v>
      </c>
      <c r="GO14">
        <v>9.3744182586669922</v>
      </c>
      <c r="GP14">
        <v>455</v>
      </c>
      <c r="GQ14" s="3"/>
      <c r="GR14">
        <f t="shared" si="91"/>
        <v>20</v>
      </c>
      <c r="GS14" t="s">
        <v>2464</v>
      </c>
      <c r="GT14" t="s">
        <v>2465</v>
      </c>
      <c r="GU14">
        <v>26.588768482208248</v>
      </c>
      <c r="GV14">
        <v>383</v>
      </c>
      <c r="GW14" s="2"/>
      <c r="GX14">
        <f t="shared" si="92"/>
        <v>28</v>
      </c>
      <c r="GY14" t="s">
        <v>2466</v>
      </c>
      <c r="GZ14" t="s">
        <v>2467</v>
      </c>
      <c r="HA14">
        <v>15.63881158828735</v>
      </c>
      <c r="HB14">
        <v>432</v>
      </c>
      <c r="HC14" s="3"/>
      <c r="HD14">
        <f t="shared" si="93"/>
        <v>59</v>
      </c>
      <c r="HE14" t="s">
        <v>2468</v>
      </c>
      <c r="HF14" t="s">
        <v>2469</v>
      </c>
      <c r="HG14">
        <v>210.137327671051</v>
      </c>
      <c r="HH14">
        <v>497</v>
      </c>
      <c r="HI14" s="2"/>
      <c r="HJ14">
        <f t="shared" si="94"/>
        <v>34</v>
      </c>
      <c r="HK14" t="s">
        <v>2470</v>
      </c>
      <c r="HL14" t="s">
        <v>2471</v>
      </c>
      <c r="HM14">
        <v>37.00903058052063</v>
      </c>
      <c r="HN14">
        <v>305</v>
      </c>
      <c r="HO14" s="3"/>
      <c r="HP14">
        <f t="shared" si="95"/>
        <v>5</v>
      </c>
      <c r="HQ14" t="s">
        <v>2472</v>
      </c>
      <c r="HR14" t="s">
        <v>2473</v>
      </c>
      <c r="HS14">
        <v>50.195934057235718</v>
      </c>
      <c r="HT14">
        <v>321</v>
      </c>
      <c r="HU14" s="2"/>
      <c r="HV14">
        <f t="shared" si="96"/>
        <v>32</v>
      </c>
      <c r="HW14" t="s">
        <v>2474</v>
      </c>
      <c r="HX14" t="s">
        <v>2475</v>
      </c>
      <c r="HY14">
        <v>11.13985276222229</v>
      </c>
      <c r="HZ14">
        <v>418</v>
      </c>
      <c r="IA14" s="3"/>
      <c r="IB14">
        <f t="shared" si="97"/>
        <v>70</v>
      </c>
      <c r="IC14" t="s">
        <v>2476</v>
      </c>
      <c r="ID14" t="s">
        <v>2477</v>
      </c>
      <c r="IE14">
        <v>128.3601636886597</v>
      </c>
      <c r="IF14">
        <v>494</v>
      </c>
      <c r="IG14" s="2"/>
      <c r="IH14">
        <f t="shared" si="98"/>
        <v>6</v>
      </c>
      <c r="II14" t="s">
        <v>2478</v>
      </c>
      <c r="IJ14" t="s">
        <v>2479</v>
      </c>
      <c r="IK14">
        <v>3.5059406757354741</v>
      </c>
      <c r="IL14">
        <v>508</v>
      </c>
      <c r="IM14" s="3"/>
      <c r="IN14">
        <f t="shared" si="99"/>
        <v>6</v>
      </c>
      <c r="IO14" t="s">
        <v>409</v>
      </c>
      <c r="IP14" t="s">
        <v>2051</v>
      </c>
      <c r="IQ14">
        <v>3.4316799640655522</v>
      </c>
      <c r="IR14">
        <v>405</v>
      </c>
      <c r="IS14" s="2"/>
      <c r="IT14">
        <f t="shared" si="100"/>
        <v>27</v>
      </c>
      <c r="IU14" t="s">
        <v>677</v>
      </c>
      <c r="IV14" t="s">
        <v>2480</v>
      </c>
      <c r="IW14">
        <v>16.884392976760861</v>
      </c>
      <c r="IX14">
        <v>375</v>
      </c>
      <c r="IY14" s="3"/>
      <c r="IZ14">
        <f t="shared" si="101"/>
        <v>23</v>
      </c>
      <c r="JA14" t="s">
        <v>2481</v>
      </c>
      <c r="JB14" t="s">
        <v>2482</v>
      </c>
      <c r="JC14">
        <v>13.21923303604126</v>
      </c>
      <c r="JD14">
        <v>356</v>
      </c>
      <c r="JE14" s="2"/>
      <c r="JF14">
        <f t="shared" si="102"/>
        <v>16</v>
      </c>
      <c r="JG14" t="s">
        <v>409</v>
      </c>
      <c r="JH14" t="s">
        <v>2483</v>
      </c>
      <c r="JI14">
        <v>4.9290831089019784</v>
      </c>
      <c r="JJ14">
        <v>394</v>
      </c>
      <c r="JK14" s="3"/>
      <c r="JL14">
        <f t="shared" si="103"/>
        <v>15</v>
      </c>
      <c r="JM14" t="s">
        <v>2484</v>
      </c>
      <c r="JN14" t="s">
        <v>2485</v>
      </c>
      <c r="JO14">
        <v>32.275804996490479</v>
      </c>
      <c r="JP14">
        <v>252</v>
      </c>
      <c r="JQ14" s="2"/>
      <c r="JR14">
        <f t="shared" si="104"/>
        <v>13</v>
      </c>
      <c r="JS14" t="s">
        <v>2486</v>
      </c>
      <c r="JT14" t="s">
        <v>2487</v>
      </c>
      <c r="JU14">
        <v>4.3922460079193124</v>
      </c>
      <c r="JV14">
        <v>488</v>
      </c>
      <c r="JW14" s="3"/>
      <c r="JX14">
        <f t="shared" si="105"/>
        <v>20</v>
      </c>
      <c r="JY14" t="s">
        <v>2488</v>
      </c>
      <c r="JZ14" t="s">
        <v>230</v>
      </c>
      <c r="KA14">
        <v>4.255171537399292</v>
      </c>
      <c r="KB14">
        <v>461</v>
      </c>
      <c r="KC14" s="2"/>
      <c r="KD14">
        <f t="shared" si="106"/>
        <v>31</v>
      </c>
      <c r="KE14" t="s">
        <v>2489</v>
      </c>
      <c r="KF14" t="s">
        <v>2490</v>
      </c>
      <c r="KG14">
        <v>15.93751502037048</v>
      </c>
      <c r="KH14">
        <v>480</v>
      </c>
      <c r="KI14" s="3"/>
      <c r="KJ14">
        <f t="shared" si="107"/>
        <v>28</v>
      </c>
      <c r="KK14" t="s">
        <v>1712</v>
      </c>
      <c r="KL14" t="s">
        <v>2491</v>
      </c>
      <c r="KM14">
        <v>5.111231803894043</v>
      </c>
      <c r="KN14">
        <v>613</v>
      </c>
      <c r="KO14" s="2"/>
      <c r="KP14">
        <f t="shared" si="108"/>
        <v>44</v>
      </c>
      <c r="KQ14" t="s">
        <v>1215</v>
      </c>
      <c r="KR14" t="s">
        <v>2492</v>
      </c>
      <c r="KS14">
        <v>67.330337524414063</v>
      </c>
      <c r="KT14">
        <v>386</v>
      </c>
      <c r="KU14" s="3"/>
      <c r="KV14">
        <f t="shared" si="109"/>
        <v>12</v>
      </c>
      <c r="KW14" t="s">
        <v>2493</v>
      </c>
      <c r="KX14" t="s">
        <v>2494</v>
      </c>
      <c r="KY14">
        <v>18.336033821105961</v>
      </c>
      <c r="KZ14">
        <v>287</v>
      </c>
      <c r="LA14" s="2"/>
      <c r="LB14">
        <f t="shared" si="110"/>
        <v>30</v>
      </c>
      <c r="LC14" t="s">
        <v>767</v>
      </c>
      <c r="LD14" t="s">
        <v>2495</v>
      </c>
      <c r="LE14">
        <v>9.7437832355499268</v>
      </c>
      <c r="LF14">
        <v>523</v>
      </c>
      <c r="LG14" s="3"/>
      <c r="LH14">
        <f t="shared" si="111"/>
        <v>29</v>
      </c>
      <c r="LI14" t="s">
        <v>2496</v>
      </c>
      <c r="LJ14" t="s">
        <v>2497</v>
      </c>
      <c r="LK14">
        <v>79.841469526290894</v>
      </c>
      <c r="LL14">
        <v>384</v>
      </c>
      <c r="LM14" s="2"/>
      <c r="LN14">
        <f t="shared" si="112"/>
        <v>34</v>
      </c>
      <c r="LO14" t="s">
        <v>2498</v>
      </c>
      <c r="LP14" t="s">
        <v>2499</v>
      </c>
      <c r="LQ14">
        <v>12.770901203155519</v>
      </c>
      <c r="LR14">
        <v>547</v>
      </c>
      <c r="LS14" s="3"/>
      <c r="LT14">
        <f t="shared" si="113"/>
        <v>78</v>
      </c>
      <c r="LU14" t="s">
        <v>2500</v>
      </c>
      <c r="LV14" t="s">
        <v>2501</v>
      </c>
      <c r="LW14">
        <v>34.839512586593628</v>
      </c>
      <c r="LX14">
        <v>428</v>
      </c>
      <c r="LY14" s="2"/>
      <c r="LZ14">
        <f t="shared" si="114"/>
        <v>26</v>
      </c>
      <c r="MA14" t="s">
        <v>1344</v>
      </c>
      <c r="MB14" t="s">
        <v>2502</v>
      </c>
      <c r="MC14">
        <v>9.3165862560272217</v>
      </c>
      <c r="MD14">
        <v>447</v>
      </c>
      <c r="ME14" s="3"/>
      <c r="MF14">
        <f t="shared" si="115"/>
        <v>39</v>
      </c>
      <c r="MG14" t="s">
        <v>2503</v>
      </c>
      <c r="MH14" t="s">
        <v>2504</v>
      </c>
      <c r="MI14">
        <v>13.62215685844421</v>
      </c>
      <c r="MJ14">
        <v>462</v>
      </c>
      <c r="MK14" s="2"/>
      <c r="ML14">
        <f t="shared" si="116"/>
        <v>23</v>
      </c>
      <c r="MM14" t="s">
        <v>2505</v>
      </c>
      <c r="MN14" t="s">
        <v>2506</v>
      </c>
      <c r="MO14">
        <v>8.8013036251068115</v>
      </c>
      <c r="MP14">
        <v>404</v>
      </c>
      <c r="MQ14" s="3"/>
      <c r="MR14">
        <f t="shared" si="117"/>
        <v>30</v>
      </c>
      <c r="MS14" t="s">
        <v>2507</v>
      </c>
      <c r="MT14" t="s">
        <v>2508</v>
      </c>
      <c r="MU14">
        <v>6.9579920768737793</v>
      </c>
      <c r="MV14">
        <v>549</v>
      </c>
      <c r="MW14" s="2"/>
      <c r="MX14">
        <f t="shared" si="118"/>
        <v>7</v>
      </c>
      <c r="MY14" t="s">
        <v>578</v>
      </c>
      <c r="MZ14" t="s">
        <v>2509</v>
      </c>
      <c r="NA14">
        <v>52.326223134994507</v>
      </c>
      <c r="NB14">
        <v>429</v>
      </c>
      <c r="NC14" s="3"/>
      <c r="ND14">
        <f t="shared" si="119"/>
        <v>29</v>
      </c>
      <c r="NE14" t="s">
        <v>2510</v>
      </c>
      <c r="NF14" t="s">
        <v>2511</v>
      </c>
      <c r="NG14">
        <v>26.651656866073608</v>
      </c>
      <c r="NH14">
        <v>352</v>
      </c>
      <c r="NI14" s="2"/>
      <c r="NJ14">
        <f t="shared" si="120"/>
        <v>31</v>
      </c>
      <c r="NK14" t="s">
        <v>2512</v>
      </c>
      <c r="NL14" t="s">
        <v>2513</v>
      </c>
      <c r="NM14">
        <v>28.31409668922424</v>
      </c>
      <c r="NN14">
        <v>398</v>
      </c>
      <c r="NO14" s="3"/>
      <c r="NP14">
        <f t="shared" si="121"/>
        <v>34</v>
      </c>
      <c r="NQ14" t="s">
        <v>2514</v>
      </c>
      <c r="NR14" t="s">
        <v>2515</v>
      </c>
      <c r="NS14">
        <v>10.6970534324646</v>
      </c>
      <c r="NT14">
        <v>335</v>
      </c>
      <c r="NU14" s="2"/>
      <c r="NV14">
        <f t="shared" si="122"/>
        <v>0</v>
      </c>
      <c r="NX14" t="s">
        <v>2516</v>
      </c>
      <c r="NY14">
        <v>151.3218891620636</v>
      </c>
      <c r="NZ14">
        <v>327</v>
      </c>
      <c r="OA14" s="3"/>
      <c r="OB14">
        <f t="shared" si="123"/>
        <v>27</v>
      </c>
      <c r="OC14" t="s">
        <v>101</v>
      </c>
      <c r="OD14" t="s">
        <v>2517</v>
      </c>
      <c r="OE14">
        <v>6.3919265270233154</v>
      </c>
      <c r="OF14">
        <v>384</v>
      </c>
      <c r="OG14" s="2"/>
      <c r="OH14">
        <f t="shared" si="124"/>
        <v>15</v>
      </c>
      <c r="OI14" t="s">
        <v>2518</v>
      </c>
      <c r="OJ14" t="s">
        <v>2519</v>
      </c>
      <c r="OK14">
        <v>211.2158043384552</v>
      </c>
      <c r="OL14">
        <v>468</v>
      </c>
      <c r="OM14" s="3"/>
      <c r="ON14">
        <f t="shared" si="125"/>
        <v>25</v>
      </c>
      <c r="OO14" t="s">
        <v>2520</v>
      </c>
      <c r="OP14" t="s">
        <v>2521</v>
      </c>
      <c r="OQ14">
        <v>20.83751392364502</v>
      </c>
      <c r="OR14">
        <v>371</v>
      </c>
      <c r="OS14" s="2"/>
      <c r="OT14">
        <f t="shared" si="126"/>
        <v>60</v>
      </c>
      <c r="OU14" t="s">
        <v>2522</v>
      </c>
      <c r="OV14" t="s">
        <v>2523</v>
      </c>
      <c r="OW14">
        <v>20.439625263214111</v>
      </c>
      <c r="OX14">
        <v>504</v>
      </c>
      <c r="OY14" s="3"/>
      <c r="OZ14">
        <f t="shared" si="127"/>
        <v>32</v>
      </c>
      <c r="PA14" t="s">
        <v>2524</v>
      </c>
      <c r="PB14" t="s">
        <v>2525</v>
      </c>
      <c r="PC14">
        <v>4.7454063892364502</v>
      </c>
      <c r="PD14">
        <v>428</v>
      </c>
      <c r="PE14" s="2"/>
      <c r="PF14">
        <f t="shared" si="128"/>
        <v>20</v>
      </c>
      <c r="PG14" t="s">
        <v>2526</v>
      </c>
      <c r="PH14" t="s">
        <v>2527</v>
      </c>
      <c r="PI14">
        <v>38.551816463470459</v>
      </c>
      <c r="PJ14">
        <v>467</v>
      </c>
      <c r="PK14" s="3"/>
      <c r="PL14">
        <f t="shared" si="129"/>
        <v>18</v>
      </c>
      <c r="PM14" t="s">
        <v>473</v>
      </c>
      <c r="PN14" t="s">
        <v>2528</v>
      </c>
      <c r="PO14">
        <v>6.3946089744567871</v>
      </c>
      <c r="PP14">
        <v>438</v>
      </c>
      <c r="PQ14" s="2"/>
      <c r="PR14">
        <f t="shared" si="130"/>
        <v>38</v>
      </c>
      <c r="PS14" t="s">
        <v>2529</v>
      </c>
      <c r="PT14" t="s">
        <v>2530</v>
      </c>
      <c r="PU14">
        <v>15.560959815979</v>
      </c>
      <c r="PV14">
        <v>560</v>
      </c>
      <c r="PW14" s="3"/>
      <c r="PX14">
        <f t="shared" si="131"/>
        <v>18</v>
      </c>
      <c r="PY14" t="s">
        <v>2531</v>
      </c>
      <c r="PZ14" t="s">
        <v>443</v>
      </c>
      <c r="QA14">
        <v>3.722981214523315</v>
      </c>
      <c r="QB14">
        <v>486</v>
      </c>
      <c r="QC14" s="2"/>
      <c r="QD14">
        <f t="shared" si="132"/>
        <v>6</v>
      </c>
      <c r="QE14" t="s">
        <v>2335</v>
      </c>
      <c r="QF14" t="s">
        <v>2532</v>
      </c>
      <c r="QG14">
        <v>25.037466287612919</v>
      </c>
      <c r="QH14">
        <v>439</v>
      </c>
      <c r="QI14" s="3"/>
      <c r="QJ14">
        <f t="shared" si="133"/>
        <v>19</v>
      </c>
      <c r="QK14" t="s">
        <v>2533</v>
      </c>
      <c r="QL14" t="s">
        <v>2534</v>
      </c>
      <c r="QM14">
        <v>5.2929143905639648</v>
      </c>
      <c r="QN14">
        <v>468</v>
      </c>
      <c r="QO14" s="4"/>
      <c r="QP14">
        <f t="shared" si="134"/>
        <v>36</v>
      </c>
      <c r="QQ14" t="s">
        <v>2535</v>
      </c>
      <c r="QR14" t="s">
        <v>2536</v>
      </c>
      <c r="QS14">
        <v>13.301396131515499</v>
      </c>
      <c r="QT14">
        <v>527</v>
      </c>
      <c r="QU14" s="3"/>
      <c r="QV14">
        <f t="shared" si="135"/>
        <v>30</v>
      </c>
      <c r="QW14" t="s">
        <v>417</v>
      </c>
      <c r="QX14" t="s">
        <v>2537</v>
      </c>
      <c r="QY14">
        <v>6.4129643440246582</v>
      </c>
      <c r="QZ14">
        <v>457</v>
      </c>
      <c r="RA14" s="2"/>
      <c r="RB14">
        <f t="shared" si="136"/>
        <v>6</v>
      </c>
      <c r="RC14" t="s">
        <v>2051</v>
      </c>
      <c r="RD14" t="s">
        <v>2538</v>
      </c>
      <c r="RE14">
        <v>37.098679780960083</v>
      </c>
      <c r="RF14">
        <v>389</v>
      </c>
      <c r="RG14" s="3"/>
      <c r="RH14">
        <f t="shared" si="137"/>
        <v>30</v>
      </c>
      <c r="RI14" t="s">
        <v>2539</v>
      </c>
      <c r="RJ14" t="s">
        <v>2540</v>
      </c>
      <c r="RK14">
        <v>13.71514368057251</v>
      </c>
      <c r="RL14">
        <v>372</v>
      </c>
      <c r="RM14" s="2"/>
      <c r="RN14">
        <f t="shared" si="138"/>
        <v>9</v>
      </c>
      <c r="RO14" t="s">
        <v>2030</v>
      </c>
      <c r="RP14" t="s">
        <v>2541</v>
      </c>
      <c r="RQ14">
        <v>36.505492448806763</v>
      </c>
      <c r="RR14">
        <v>354</v>
      </c>
      <c r="RS14" s="3"/>
      <c r="RT14">
        <f t="shared" si="139"/>
        <v>37</v>
      </c>
      <c r="RU14" t="s">
        <v>2122</v>
      </c>
      <c r="RV14" t="s">
        <v>2542</v>
      </c>
      <c r="RW14">
        <v>7.6829397678375244</v>
      </c>
      <c r="RX14">
        <v>412</v>
      </c>
      <c r="RY14" s="2"/>
      <c r="RZ14">
        <f t="shared" si="140"/>
        <v>38</v>
      </c>
      <c r="SA14" t="s">
        <v>2543</v>
      </c>
      <c r="SB14" t="s">
        <v>2544</v>
      </c>
      <c r="SC14">
        <v>106.040248632431</v>
      </c>
      <c r="SD14">
        <v>461</v>
      </c>
      <c r="SE14" s="3"/>
      <c r="SF14">
        <f t="shared" si="141"/>
        <v>32</v>
      </c>
      <c r="SG14" t="s">
        <v>2545</v>
      </c>
      <c r="SH14" t="s">
        <v>2546</v>
      </c>
      <c r="SI14">
        <v>20.958917379379269</v>
      </c>
      <c r="SJ14">
        <v>497</v>
      </c>
      <c r="SK14" s="2"/>
      <c r="SL14">
        <f t="shared" si="142"/>
        <v>33</v>
      </c>
      <c r="SM14" t="s">
        <v>746</v>
      </c>
      <c r="SN14" t="s">
        <v>2547</v>
      </c>
      <c r="SO14">
        <v>3.6714210510253911</v>
      </c>
      <c r="SP14">
        <v>633</v>
      </c>
      <c r="SQ14" s="3"/>
      <c r="ST14" t="s">
        <v>2548</v>
      </c>
      <c r="SV14">
        <v>408</v>
      </c>
      <c r="SX14">
        <f t="shared" si="144"/>
        <v>22</v>
      </c>
      <c r="SY14" t="s">
        <v>2549</v>
      </c>
      <c r="SZ14" t="s">
        <v>2550</v>
      </c>
      <c r="TA14">
        <v>49.874635219573968</v>
      </c>
      <c r="TB14">
        <v>355</v>
      </c>
      <c r="TC14" s="3"/>
      <c r="TD14">
        <f t="shared" si="145"/>
        <v>27</v>
      </c>
      <c r="TE14" t="s">
        <v>2551</v>
      </c>
      <c r="TF14" t="s">
        <v>2552</v>
      </c>
      <c r="TG14">
        <v>5.0559170246124268</v>
      </c>
      <c r="TH14">
        <v>454</v>
      </c>
      <c r="TI14" s="2"/>
      <c r="TJ14">
        <f t="shared" si="146"/>
        <v>33</v>
      </c>
      <c r="TK14" t="s">
        <v>95</v>
      </c>
      <c r="TL14" t="s">
        <v>2553</v>
      </c>
      <c r="TM14">
        <v>124.0387041568756</v>
      </c>
      <c r="TN14">
        <v>473</v>
      </c>
      <c r="TO14" s="3"/>
      <c r="TP14">
        <f t="shared" si="147"/>
        <v>29</v>
      </c>
      <c r="TQ14" t="s">
        <v>2554</v>
      </c>
      <c r="TR14" t="s">
        <v>2555</v>
      </c>
      <c r="TS14">
        <v>20.48838901519775</v>
      </c>
      <c r="TT14">
        <v>429</v>
      </c>
      <c r="TU14" s="2"/>
      <c r="TV14">
        <f t="shared" si="148"/>
        <v>82</v>
      </c>
      <c r="TW14" t="s">
        <v>2556</v>
      </c>
      <c r="TX14" t="s">
        <v>2557</v>
      </c>
      <c r="TY14">
        <v>184.91193318366999</v>
      </c>
      <c r="TZ14">
        <v>445</v>
      </c>
      <c r="UA14" s="3"/>
      <c r="UB14">
        <f t="shared" si="149"/>
        <v>56</v>
      </c>
      <c r="UC14" t="s">
        <v>2558</v>
      </c>
      <c r="UD14" t="s">
        <v>2559</v>
      </c>
      <c r="UE14">
        <v>16.089854717254639</v>
      </c>
      <c r="UF14">
        <v>434</v>
      </c>
      <c r="UG14" s="2"/>
      <c r="UH14">
        <f t="shared" si="150"/>
        <v>75</v>
      </c>
      <c r="UI14" t="s">
        <v>2560</v>
      </c>
      <c r="UJ14" t="s">
        <v>2561</v>
      </c>
      <c r="UK14">
        <v>46.536019802093513</v>
      </c>
      <c r="UL14">
        <v>260</v>
      </c>
      <c r="UM14" s="3"/>
      <c r="UN14">
        <f t="shared" si="151"/>
        <v>60</v>
      </c>
      <c r="UO14" t="s">
        <v>2562</v>
      </c>
      <c r="UP14" t="s">
        <v>2563</v>
      </c>
      <c r="UQ14">
        <v>10.53540968894958</v>
      </c>
      <c r="UR14">
        <v>454</v>
      </c>
      <c r="US14" s="2"/>
      <c r="UT14">
        <f t="shared" si="152"/>
        <v>11</v>
      </c>
      <c r="UU14" t="s">
        <v>2564</v>
      </c>
      <c r="UV14" t="s">
        <v>2565</v>
      </c>
      <c r="UW14">
        <v>25.725313901901249</v>
      </c>
      <c r="UX14">
        <v>524</v>
      </c>
      <c r="UY14" s="3"/>
      <c r="UZ14">
        <f t="shared" si="153"/>
        <v>22</v>
      </c>
      <c r="VA14" t="s">
        <v>2566</v>
      </c>
      <c r="VB14" t="s">
        <v>2567</v>
      </c>
      <c r="VC14">
        <v>12.613594532012939</v>
      </c>
      <c r="VD14">
        <v>379</v>
      </c>
      <c r="VE14" s="2"/>
      <c r="VF14">
        <f t="shared" si="154"/>
        <v>21</v>
      </c>
      <c r="VG14" t="s">
        <v>2568</v>
      </c>
      <c r="VH14" t="s">
        <v>2569</v>
      </c>
      <c r="VI14">
        <v>19.66133189201355</v>
      </c>
      <c r="VJ14">
        <v>407</v>
      </c>
      <c r="VK14" s="3"/>
      <c r="VL14">
        <f t="shared" si="155"/>
        <v>22</v>
      </c>
      <c r="VM14" t="s">
        <v>547</v>
      </c>
      <c r="VN14" t="s">
        <v>2570</v>
      </c>
      <c r="VO14">
        <v>7.4139449596405029</v>
      </c>
      <c r="VP14">
        <v>551</v>
      </c>
      <c r="VQ14" s="2"/>
      <c r="VR14">
        <f t="shared" si="156"/>
        <v>21</v>
      </c>
      <c r="VS14" t="s">
        <v>1488</v>
      </c>
      <c r="VT14" t="s">
        <v>2571</v>
      </c>
      <c r="VU14">
        <v>16.373377323150631</v>
      </c>
      <c r="VV14">
        <v>411</v>
      </c>
      <c r="VW14" s="3"/>
      <c r="VX14">
        <f t="shared" si="157"/>
        <v>8</v>
      </c>
      <c r="VY14" t="s">
        <v>1913</v>
      </c>
      <c r="VZ14" t="s">
        <v>2572</v>
      </c>
      <c r="WA14">
        <v>5.3726069927215576</v>
      </c>
      <c r="WB14">
        <v>431</v>
      </c>
      <c r="WC14" s="2"/>
      <c r="WD14">
        <f t="shared" si="158"/>
        <v>27</v>
      </c>
      <c r="WE14" t="s">
        <v>2573</v>
      </c>
      <c r="WF14" t="s">
        <v>2574</v>
      </c>
      <c r="WG14">
        <v>25.47322249412537</v>
      </c>
      <c r="WH14">
        <v>383</v>
      </c>
      <c r="WI14" s="3"/>
      <c r="WJ14">
        <f t="shared" si="159"/>
        <v>28</v>
      </c>
      <c r="WK14" t="s">
        <v>2575</v>
      </c>
      <c r="WL14" t="s">
        <v>2576</v>
      </c>
      <c r="WM14">
        <v>8.7821633815765381</v>
      </c>
      <c r="WN14">
        <v>536</v>
      </c>
      <c r="WO14" s="2"/>
      <c r="WP14">
        <f t="shared" si="160"/>
        <v>33</v>
      </c>
      <c r="WQ14" t="s">
        <v>1190</v>
      </c>
      <c r="WR14" t="s">
        <v>2577</v>
      </c>
      <c r="WS14">
        <v>18.62819409370422</v>
      </c>
      <c r="WT14">
        <v>372</v>
      </c>
      <c r="WU14" s="3"/>
      <c r="WV14">
        <f t="shared" si="161"/>
        <v>35</v>
      </c>
      <c r="WW14" t="s">
        <v>2578</v>
      </c>
      <c r="WX14" t="s">
        <v>2579</v>
      </c>
      <c r="WY14">
        <v>21.746984004974369</v>
      </c>
      <c r="WZ14">
        <v>530</v>
      </c>
      <c r="XA14" s="2"/>
      <c r="XB14">
        <f t="shared" si="162"/>
        <v>14</v>
      </c>
      <c r="XC14" t="s">
        <v>2580</v>
      </c>
      <c r="XD14" t="s">
        <v>2581</v>
      </c>
      <c r="XE14">
        <v>26.93988037109375</v>
      </c>
      <c r="XF14">
        <v>409</v>
      </c>
      <c r="XG14" s="3"/>
      <c r="XH14">
        <f t="shared" si="163"/>
        <v>19</v>
      </c>
      <c r="XI14" t="s">
        <v>2582</v>
      </c>
      <c r="XJ14" t="s">
        <v>2583</v>
      </c>
      <c r="XK14">
        <v>11.459820508956909</v>
      </c>
      <c r="XL14">
        <v>387</v>
      </c>
      <c r="XM14" s="2"/>
      <c r="XN14">
        <f t="shared" si="164"/>
        <v>33</v>
      </c>
      <c r="XO14" t="s">
        <v>2584</v>
      </c>
      <c r="XP14" t="s">
        <v>2585</v>
      </c>
      <c r="XQ14">
        <v>91.816709518432617</v>
      </c>
      <c r="XR14">
        <v>392</v>
      </c>
      <c r="XS14" s="3"/>
      <c r="XT14">
        <f t="shared" si="165"/>
        <v>34</v>
      </c>
      <c r="XU14" t="s">
        <v>2586</v>
      </c>
      <c r="XV14" t="s">
        <v>2587</v>
      </c>
      <c r="XW14">
        <v>15.877073287963871</v>
      </c>
      <c r="XX14">
        <v>510</v>
      </c>
      <c r="XY14" s="2"/>
      <c r="XZ14">
        <f t="shared" si="166"/>
        <v>12</v>
      </c>
      <c r="YA14" t="s">
        <v>2588</v>
      </c>
      <c r="YB14" t="s">
        <v>2589</v>
      </c>
      <c r="YC14">
        <v>34.123053789138787</v>
      </c>
      <c r="YD14">
        <v>439</v>
      </c>
      <c r="YE14" s="3"/>
      <c r="YF14">
        <f t="shared" si="167"/>
        <v>26</v>
      </c>
      <c r="YG14" t="s">
        <v>1547</v>
      </c>
      <c r="YH14" t="s">
        <v>2590</v>
      </c>
      <c r="YI14">
        <v>17.61394906044006</v>
      </c>
      <c r="YJ14">
        <v>413</v>
      </c>
      <c r="YK14" s="2"/>
      <c r="YL14">
        <f t="shared" si="168"/>
        <v>38</v>
      </c>
      <c r="YM14" t="s">
        <v>2591</v>
      </c>
      <c r="YN14" t="s">
        <v>2592</v>
      </c>
      <c r="YO14">
        <v>17.013882875442501</v>
      </c>
      <c r="YP14">
        <v>435</v>
      </c>
      <c r="YQ14" s="3"/>
      <c r="YR14">
        <f t="shared" si="169"/>
        <v>42</v>
      </c>
      <c r="YS14" t="s">
        <v>95</v>
      </c>
      <c r="YT14" t="s">
        <v>2593</v>
      </c>
      <c r="YU14">
        <v>8.1877815723419189</v>
      </c>
      <c r="YV14">
        <v>510</v>
      </c>
      <c r="YW14" s="2"/>
      <c r="YX14">
        <f t="shared" si="170"/>
        <v>8</v>
      </c>
      <c r="YY14" t="s">
        <v>2594</v>
      </c>
      <c r="YZ14" t="s">
        <v>2595</v>
      </c>
      <c r="ZA14">
        <v>45.033959627151489</v>
      </c>
      <c r="ZB14">
        <v>453</v>
      </c>
      <c r="ZC14" s="3"/>
      <c r="ZD14">
        <f t="shared" si="171"/>
        <v>38</v>
      </c>
      <c r="ZE14" t="s">
        <v>2596</v>
      </c>
      <c r="ZF14" t="s">
        <v>2597</v>
      </c>
      <c r="ZG14">
        <v>86.977055788040161</v>
      </c>
      <c r="ZH14">
        <v>438</v>
      </c>
      <c r="ZI14" s="2"/>
      <c r="ZJ14">
        <f t="shared" si="172"/>
        <v>28</v>
      </c>
      <c r="ZK14" t="s">
        <v>2598</v>
      </c>
      <c r="ZL14" t="s">
        <v>2599</v>
      </c>
      <c r="ZM14">
        <v>132.56757569313049</v>
      </c>
      <c r="ZN14">
        <v>402</v>
      </c>
      <c r="ZO14" s="3"/>
      <c r="ZP14">
        <f t="shared" si="173"/>
        <v>42</v>
      </c>
      <c r="ZQ14" t="s">
        <v>2600</v>
      </c>
      <c r="ZR14" t="s">
        <v>2601</v>
      </c>
      <c r="ZS14">
        <v>17.318154335021969</v>
      </c>
      <c r="ZT14">
        <v>380</v>
      </c>
      <c r="ZU14" s="2"/>
      <c r="ZV14">
        <f t="shared" si="174"/>
        <v>14</v>
      </c>
      <c r="ZW14" t="s">
        <v>1015</v>
      </c>
      <c r="ZX14" t="s">
        <v>2602</v>
      </c>
      <c r="ZY14">
        <v>22.575754642486569</v>
      </c>
      <c r="ZZ14">
        <v>254</v>
      </c>
      <c r="AAA14" s="3"/>
      <c r="AAB14">
        <f t="shared" si="175"/>
        <v>82</v>
      </c>
      <c r="AAC14" t="s">
        <v>2603</v>
      </c>
      <c r="AAD14" t="s">
        <v>2604</v>
      </c>
      <c r="AAE14">
        <v>246.65535116195679</v>
      </c>
      <c r="AAF14">
        <v>468</v>
      </c>
      <c r="AAG14" s="2"/>
      <c r="AAH14">
        <f t="shared" si="176"/>
        <v>14</v>
      </c>
      <c r="AAI14" t="s">
        <v>118</v>
      </c>
      <c r="AAJ14" t="s">
        <v>2605</v>
      </c>
      <c r="AAK14">
        <v>30.594331502914429</v>
      </c>
      <c r="AAL14">
        <v>398</v>
      </c>
      <c r="AAM14" s="3"/>
      <c r="AAN14">
        <f t="shared" si="177"/>
        <v>29</v>
      </c>
      <c r="AAO14" t="s">
        <v>2606</v>
      </c>
      <c r="AAP14" t="s">
        <v>2607</v>
      </c>
      <c r="AAQ14">
        <v>14.591383695602421</v>
      </c>
      <c r="AAR14">
        <v>433</v>
      </c>
      <c r="AAS14" s="2"/>
      <c r="AAT14">
        <f t="shared" si="178"/>
        <v>25</v>
      </c>
      <c r="AAU14" t="s">
        <v>1486</v>
      </c>
      <c r="AAV14" t="s">
        <v>1486</v>
      </c>
      <c r="AAW14">
        <v>4.4485299587249756</v>
      </c>
      <c r="AAX14">
        <v>495</v>
      </c>
      <c r="AAY14" s="3"/>
      <c r="AAZ14">
        <f t="shared" si="179"/>
        <v>5</v>
      </c>
      <c r="ABA14" t="s">
        <v>2608</v>
      </c>
      <c r="ABB14" t="s">
        <v>2609</v>
      </c>
      <c r="ABC14">
        <v>4.6065874099731454</v>
      </c>
      <c r="ABD14">
        <v>486</v>
      </c>
      <c r="ABE14" s="2"/>
      <c r="ABF14">
        <f t="shared" si="180"/>
        <v>23</v>
      </c>
      <c r="ABG14" t="s">
        <v>1215</v>
      </c>
      <c r="ABH14" t="s">
        <v>2610</v>
      </c>
      <c r="ABI14">
        <v>9.2091901302337646</v>
      </c>
      <c r="ABJ14">
        <v>357</v>
      </c>
      <c r="ABK14" s="6"/>
      <c r="ABL14">
        <f t="shared" si="181"/>
        <v>23</v>
      </c>
      <c r="ABM14" t="s">
        <v>1652</v>
      </c>
      <c r="ABN14" t="s">
        <v>2611</v>
      </c>
      <c r="ABO14">
        <v>22.824616193771359</v>
      </c>
      <c r="ABP14">
        <v>438</v>
      </c>
      <c r="ABQ14" s="2"/>
    </row>
    <row r="15" spans="1:745" x14ac:dyDescent="0.25">
      <c r="A15">
        <v>13</v>
      </c>
      <c r="B15">
        <f t="shared" si="58"/>
        <v>16</v>
      </c>
      <c r="C15" t="s">
        <v>2335</v>
      </c>
      <c r="D15" t="s">
        <v>2612</v>
      </c>
      <c r="E15">
        <v>4.0897822380065918</v>
      </c>
      <c r="F15">
        <v>481</v>
      </c>
      <c r="G15" s="1"/>
      <c r="H15">
        <f t="shared" si="59"/>
        <v>9</v>
      </c>
      <c r="I15" t="s">
        <v>1488</v>
      </c>
      <c r="J15" t="s">
        <v>2472</v>
      </c>
      <c r="K15">
        <v>3.7195475101470952</v>
      </c>
      <c r="L15">
        <v>478</v>
      </c>
      <c r="M15" s="2"/>
      <c r="N15">
        <f t="shared" si="60"/>
        <v>16</v>
      </c>
      <c r="O15" t="s">
        <v>2613</v>
      </c>
      <c r="P15" t="s">
        <v>2614</v>
      </c>
      <c r="Q15">
        <v>9.0018622875213623</v>
      </c>
      <c r="R15">
        <v>399</v>
      </c>
      <c r="S15" s="3"/>
      <c r="T15">
        <f t="shared" si="61"/>
        <v>9</v>
      </c>
      <c r="U15" t="s">
        <v>2307</v>
      </c>
      <c r="V15" t="s">
        <v>2615</v>
      </c>
      <c r="W15">
        <v>33.596650838851929</v>
      </c>
      <c r="X15">
        <v>407</v>
      </c>
      <c r="Y15" s="2"/>
      <c r="Z15">
        <f t="shared" si="62"/>
        <v>10</v>
      </c>
      <c r="AA15" t="s">
        <v>1428</v>
      </c>
      <c r="AB15" t="s">
        <v>2616</v>
      </c>
      <c r="AC15">
        <v>3.9232099056243901</v>
      </c>
      <c r="AD15">
        <v>422</v>
      </c>
      <c r="AE15" s="3"/>
      <c r="AF15">
        <f t="shared" si="63"/>
        <v>16</v>
      </c>
      <c r="AG15" t="s">
        <v>2032</v>
      </c>
      <c r="AH15" t="s">
        <v>2617</v>
      </c>
      <c r="AI15">
        <v>7.8636040687561044</v>
      </c>
      <c r="AJ15">
        <v>435</v>
      </c>
      <c r="AK15" s="2"/>
      <c r="AL15">
        <f t="shared" si="64"/>
        <v>36</v>
      </c>
      <c r="AM15" t="s">
        <v>2618</v>
      </c>
      <c r="AN15" t="s">
        <v>2619</v>
      </c>
      <c r="AO15">
        <v>45.780774354934692</v>
      </c>
      <c r="AP15">
        <v>435</v>
      </c>
      <c r="AQ15" s="3"/>
      <c r="AR15">
        <f t="shared" si="65"/>
        <v>24</v>
      </c>
      <c r="AS15" t="s">
        <v>2620</v>
      </c>
      <c r="AT15" t="s">
        <v>2621</v>
      </c>
      <c r="AU15">
        <v>9.0470960140228271</v>
      </c>
      <c r="AV15">
        <v>431</v>
      </c>
      <c r="AW15" s="2"/>
      <c r="AZ15" t="s">
        <v>2622</v>
      </c>
      <c r="BB15">
        <v>366</v>
      </c>
      <c r="BH15">
        <v>511</v>
      </c>
      <c r="BJ15">
        <f t="shared" si="68"/>
        <v>33</v>
      </c>
      <c r="BK15" t="s">
        <v>95</v>
      </c>
      <c r="BL15" t="s">
        <v>2623</v>
      </c>
      <c r="BM15">
        <v>8.0517351627349854</v>
      </c>
      <c r="BN15">
        <v>499</v>
      </c>
      <c r="BO15" s="3"/>
      <c r="BP15">
        <f t="shared" si="69"/>
        <v>14</v>
      </c>
      <c r="BQ15" t="s">
        <v>2335</v>
      </c>
      <c r="BR15" t="s">
        <v>2624</v>
      </c>
      <c r="BS15">
        <v>4.041684627532959</v>
      </c>
      <c r="BT15">
        <v>526</v>
      </c>
      <c r="BU15" s="2"/>
      <c r="BV15">
        <f t="shared" si="70"/>
        <v>14</v>
      </c>
      <c r="BW15" t="s">
        <v>101</v>
      </c>
      <c r="BX15" t="s">
        <v>2625</v>
      </c>
      <c r="BY15">
        <v>3.5126059055328369</v>
      </c>
      <c r="BZ15">
        <v>453</v>
      </c>
      <c r="CA15" s="3"/>
      <c r="CB15">
        <f t="shared" si="71"/>
        <v>7</v>
      </c>
      <c r="CC15" t="s">
        <v>69</v>
      </c>
      <c r="CD15" t="s">
        <v>2626</v>
      </c>
      <c r="CE15">
        <v>3.755856990814209</v>
      </c>
      <c r="CF15">
        <v>529</v>
      </c>
      <c r="CG15" s="2"/>
      <c r="CH15">
        <f t="shared" si="72"/>
        <v>21</v>
      </c>
      <c r="CI15" t="s">
        <v>2627</v>
      </c>
      <c r="CJ15" t="s">
        <v>2628</v>
      </c>
      <c r="CK15">
        <v>9.7926912307739258</v>
      </c>
      <c r="CL15">
        <v>352</v>
      </c>
      <c r="CM15" s="3"/>
      <c r="CN15">
        <f t="shared" si="73"/>
        <v>89</v>
      </c>
      <c r="CO15" t="s">
        <v>2629</v>
      </c>
      <c r="CP15" t="s">
        <v>2630</v>
      </c>
      <c r="CQ15">
        <v>410.11951923370361</v>
      </c>
      <c r="CR15">
        <v>413</v>
      </c>
      <c r="CS15" s="2"/>
      <c r="CT15">
        <f t="shared" si="74"/>
        <v>32</v>
      </c>
      <c r="CU15" t="s">
        <v>2135</v>
      </c>
      <c r="CV15" t="s">
        <v>2631</v>
      </c>
      <c r="CW15">
        <v>12.405265808105471</v>
      </c>
      <c r="CX15">
        <v>392</v>
      </c>
      <c r="CY15" s="3"/>
      <c r="CZ15">
        <f t="shared" si="75"/>
        <v>48</v>
      </c>
      <c r="DA15" t="s">
        <v>2632</v>
      </c>
      <c r="DB15" t="s">
        <v>2633</v>
      </c>
      <c r="DC15">
        <v>33.141098499298103</v>
      </c>
      <c r="DD15">
        <v>531</v>
      </c>
      <c r="DE15" s="2"/>
      <c r="DF15">
        <f t="shared" si="76"/>
        <v>24</v>
      </c>
      <c r="DG15" t="s">
        <v>2634</v>
      </c>
      <c r="DH15" t="s">
        <v>2635</v>
      </c>
      <c r="DI15">
        <v>9.931779146194458</v>
      </c>
      <c r="DJ15">
        <v>492</v>
      </c>
      <c r="DK15" s="3"/>
      <c r="DL15">
        <f t="shared" si="77"/>
        <v>13</v>
      </c>
      <c r="DM15" t="s">
        <v>2636</v>
      </c>
      <c r="DN15" t="s">
        <v>1019</v>
      </c>
      <c r="DO15">
        <v>3.375363826751709</v>
      </c>
      <c r="DP15">
        <v>469</v>
      </c>
      <c r="DQ15" s="2"/>
      <c r="DR15">
        <f t="shared" si="78"/>
        <v>21</v>
      </c>
      <c r="DS15" t="s">
        <v>1033</v>
      </c>
      <c r="DT15" t="s">
        <v>2637</v>
      </c>
      <c r="DU15">
        <v>14.178812503814701</v>
      </c>
      <c r="DV15">
        <v>450</v>
      </c>
      <c r="DW15" s="3"/>
      <c r="DX15">
        <f t="shared" si="79"/>
        <v>10</v>
      </c>
      <c r="DY15" t="s">
        <v>2638</v>
      </c>
      <c r="DZ15" t="s">
        <v>2639</v>
      </c>
      <c r="EA15">
        <v>37.696420431137078</v>
      </c>
      <c r="EB15">
        <v>359</v>
      </c>
      <c r="EC15" s="2"/>
      <c r="ED15">
        <f t="shared" si="80"/>
        <v>20</v>
      </c>
      <c r="EE15" t="s">
        <v>2640</v>
      </c>
      <c r="EF15" t="s">
        <v>2641</v>
      </c>
      <c r="EG15">
        <v>3.768787145614624</v>
      </c>
      <c r="EH15">
        <v>495</v>
      </c>
      <c r="EI15" s="3"/>
      <c r="EL15" t="s">
        <v>2051</v>
      </c>
      <c r="EN15">
        <v>540</v>
      </c>
      <c r="EP15">
        <f t="shared" si="82"/>
        <v>23</v>
      </c>
      <c r="EQ15" t="s">
        <v>2642</v>
      </c>
      <c r="ER15" t="s">
        <v>2643</v>
      </c>
      <c r="ES15">
        <v>4.2139706611633301</v>
      </c>
      <c r="ET15">
        <v>535</v>
      </c>
      <c r="EU15" s="3"/>
      <c r="EX15" t="s">
        <v>2644</v>
      </c>
      <c r="EZ15">
        <v>441</v>
      </c>
      <c r="FB15">
        <f t="shared" si="84"/>
        <v>57</v>
      </c>
      <c r="FC15" t="s">
        <v>2645</v>
      </c>
      <c r="FD15" t="s">
        <v>2646</v>
      </c>
      <c r="FE15">
        <v>147.01313781738281</v>
      </c>
      <c r="FF15">
        <v>490</v>
      </c>
      <c r="FG15" s="3"/>
      <c r="FH15">
        <f t="shared" si="85"/>
        <v>24</v>
      </c>
      <c r="FI15" t="s">
        <v>2647</v>
      </c>
      <c r="FJ15" t="s">
        <v>2648</v>
      </c>
      <c r="FK15">
        <v>17.29143857955933</v>
      </c>
      <c r="FL15">
        <v>356</v>
      </c>
      <c r="FM15" s="2"/>
      <c r="FN15">
        <f t="shared" si="86"/>
        <v>29</v>
      </c>
      <c r="FO15" t="s">
        <v>2649</v>
      </c>
      <c r="FP15" t="s">
        <v>2650</v>
      </c>
      <c r="FQ15">
        <v>25.960406303405762</v>
      </c>
      <c r="FR15">
        <v>429</v>
      </c>
      <c r="FS15" s="3"/>
      <c r="FT15">
        <f t="shared" si="87"/>
        <v>54</v>
      </c>
      <c r="FU15" t="s">
        <v>2651</v>
      </c>
      <c r="FV15" t="s">
        <v>2652</v>
      </c>
      <c r="FW15">
        <v>26.20256519317627</v>
      </c>
      <c r="FX15">
        <v>464</v>
      </c>
      <c r="FY15" s="2"/>
      <c r="FZ15">
        <f t="shared" si="88"/>
        <v>16</v>
      </c>
      <c r="GA15" t="s">
        <v>2653</v>
      </c>
      <c r="GB15" t="s">
        <v>2654</v>
      </c>
      <c r="GC15">
        <v>10.25999116897583</v>
      </c>
      <c r="GD15">
        <v>462</v>
      </c>
      <c r="GE15" s="3"/>
      <c r="GF15">
        <f t="shared" si="89"/>
        <v>10</v>
      </c>
      <c r="GG15" t="s">
        <v>2655</v>
      </c>
      <c r="GH15" t="s">
        <v>2656</v>
      </c>
      <c r="GI15">
        <v>4.2764747142791748</v>
      </c>
      <c r="GJ15">
        <v>550</v>
      </c>
      <c r="GK15" s="2"/>
      <c r="GL15">
        <f t="shared" si="90"/>
        <v>21</v>
      </c>
      <c r="GM15" t="s">
        <v>2657</v>
      </c>
      <c r="GN15" t="s">
        <v>2658</v>
      </c>
      <c r="GO15">
        <v>9.9218630790710449</v>
      </c>
      <c r="GP15">
        <v>476</v>
      </c>
      <c r="GQ15" s="3"/>
      <c r="GR15">
        <f t="shared" si="91"/>
        <v>33</v>
      </c>
      <c r="GS15" t="s">
        <v>2659</v>
      </c>
      <c r="GT15" t="s">
        <v>2660</v>
      </c>
      <c r="GU15">
        <v>15.974364042282099</v>
      </c>
      <c r="GV15">
        <v>416</v>
      </c>
      <c r="GW15" s="2"/>
      <c r="GZ15" t="s">
        <v>2661</v>
      </c>
      <c r="HB15">
        <v>424</v>
      </c>
      <c r="HH15">
        <v>505</v>
      </c>
      <c r="HJ15">
        <f t="shared" si="94"/>
        <v>34</v>
      </c>
      <c r="HK15" t="s">
        <v>2662</v>
      </c>
      <c r="HL15" t="s">
        <v>2663</v>
      </c>
      <c r="HM15">
        <v>25.312104940414429</v>
      </c>
      <c r="HN15">
        <v>339</v>
      </c>
      <c r="HO15" s="3"/>
      <c r="HP15">
        <f t="shared" si="95"/>
        <v>3</v>
      </c>
      <c r="HQ15" t="s">
        <v>2051</v>
      </c>
      <c r="HR15" t="s">
        <v>2664</v>
      </c>
      <c r="HS15">
        <v>68.427051305770874</v>
      </c>
      <c r="HT15">
        <v>324</v>
      </c>
      <c r="HU15" s="2"/>
      <c r="HV15">
        <f t="shared" si="96"/>
        <v>46</v>
      </c>
      <c r="HW15" t="s">
        <v>2665</v>
      </c>
      <c r="HX15" t="s">
        <v>2666</v>
      </c>
      <c r="HY15">
        <v>20.637352705001831</v>
      </c>
      <c r="HZ15">
        <v>464</v>
      </c>
      <c r="IA15" s="3"/>
      <c r="IB15">
        <f t="shared" si="97"/>
        <v>5</v>
      </c>
      <c r="IC15" t="s">
        <v>2051</v>
      </c>
      <c r="ID15" t="s">
        <v>2051</v>
      </c>
      <c r="IE15">
        <v>3.3551709651947021</v>
      </c>
      <c r="IF15">
        <v>499</v>
      </c>
      <c r="IG15" s="2"/>
      <c r="IJ15" t="s">
        <v>1569</v>
      </c>
      <c r="IL15">
        <v>498</v>
      </c>
      <c r="IR15">
        <v>415</v>
      </c>
      <c r="IT15">
        <f t="shared" si="100"/>
        <v>31</v>
      </c>
      <c r="IU15" t="s">
        <v>2667</v>
      </c>
      <c r="IV15" t="s">
        <v>2668</v>
      </c>
      <c r="IW15">
        <v>11.39612913131714</v>
      </c>
      <c r="IX15">
        <v>406</v>
      </c>
      <c r="IY15" s="3"/>
      <c r="IZ15">
        <f t="shared" si="101"/>
        <v>23</v>
      </c>
      <c r="JA15" t="s">
        <v>2669</v>
      </c>
      <c r="JB15" t="s">
        <v>2670</v>
      </c>
      <c r="JC15">
        <v>8.7945454120635986</v>
      </c>
      <c r="JD15">
        <v>379</v>
      </c>
      <c r="JE15" s="2"/>
      <c r="JF15">
        <f t="shared" si="102"/>
        <v>14</v>
      </c>
      <c r="JG15" t="s">
        <v>668</v>
      </c>
      <c r="JH15" t="s">
        <v>2671</v>
      </c>
      <c r="JI15">
        <v>6.3785994052886963</v>
      </c>
      <c r="JJ15">
        <v>408</v>
      </c>
      <c r="JK15" s="3"/>
      <c r="JL15">
        <f t="shared" si="103"/>
        <v>13</v>
      </c>
      <c r="JM15" t="s">
        <v>2672</v>
      </c>
      <c r="JN15" t="s">
        <v>2673</v>
      </c>
      <c r="JO15">
        <v>30.42721605300903</v>
      </c>
      <c r="JP15">
        <v>265</v>
      </c>
      <c r="JQ15" s="2"/>
      <c r="JT15" t="s">
        <v>2674</v>
      </c>
      <c r="JV15">
        <v>483</v>
      </c>
      <c r="KB15">
        <v>466</v>
      </c>
      <c r="KD15">
        <f t="shared" si="106"/>
        <v>25</v>
      </c>
      <c r="KE15" t="s">
        <v>2307</v>
      </c>
      <c r="KF15" t="s">
        <v>2675</v>
      </c>
      <c r="KG15">
        <v>4.8910770416259766</v>
      </c>
      <c r="KH15">
        <v>505</v>
      </c>
      <c r="KI15" s="3"/>
      <c r="KJ15">
        <f t="shared" si="107"/>
        <v>23</v>
      </c>
      <c r="KK15" t="s">
        <v>24</v>
      </c>
      <c r="KL15" t="s">
        <v>2676</v>
      </c>
      <c r="KM15">
        <v>4.5627243518829346</v>
      </c>
      <c r="KN15">
        <v>636</v>
      </c>
      <c r="KO15" s="2"/>
      <c r="KP15">
        <f t="shared" si="108"/>
        <v>23</v>
      </c>
      <c r="KQ15" t="s">
        <v>2677</v>
      </c>
      <c r="KR15" t="s">
        <v>2678</v>
      </c>
      <c r="KS15">
        <v>10.01830172538757</v>
      </c>
      <c r="KT15">
        <v>409</v>
      </c>
      <c r="KU15" s="3"/>
      <c r="KV15">
        <f t="shared" si="109"/>
        <v>40</v>
      </c>
      <c r="KW15" t="s">
        <v>2679</v>
      </c>
      <c r="KX15" t="s">
        <v>2680</v>
      </c>
      <c r="KY15">
        <v>18.47850489616394</v>
      </c>
      <c r="KZ15">
        <v>327</v>
      </c>
      <c r="LA15" s="2"/>
      <c r="LB15">
        <f t="shared" si="110"/>
        <v>26</v>
      </c>
      <c r="LC15" t="s">
        <v>1720</v>
      </c>
      <c r="LD15" t="s">
        <v>2681</v>
      </c>
      <c r="LE15">
        <v>16.548551797866821</v>
      </c>
      <c r="LF15">
        <v>549</v>
      </c>
      <c r="LG15" s="3"/>
      <c r="LH15">
        <f t="shared" si="111"/>
        <v>17</v>
      </c>
      <c r="LI15" t="s">
        <v>2682</v>
      </c>
      <c r="LJ15" t="s">
        <v>2683</v>
      </c>
      <c r="LK15">
        <v>7.0563557147979736</v>
      </c>
      <c r="LL15">
        <v>401</v>
      </c>
      <c r="LM15" s="2"/>
      <c r="LP15" t="s">
        <v>2684</v>
      </c>
      <c r="LR15">
        <v>523</v>
      </c>
      <c r="LX15">
        <v>452</v>
      </c>
      <c r="LZ15">
        <f t="shared" si="114"/>
        <v>25</v>
      </c>
      <c r="MA15" t="s">
        <v>1220</v>
      </c>
      <c r="MB15" t="s">
        <v>2685</v>
      </c>
      <c r="MC15">
        <v>8.6205227375030518</v>
      </c>
      <c r="MD15">
        <v>472</v>
      </c>
      <c r="ME15" s="3"/>
      <c r="MF15">
        <f t="shared" si="115"/>
        <v>13</v>
      </c>
      <c r="MG15" t="s">
        <v>2051</v>
      </c>
      <c r="MH15" t="s">
        <v>2686</v>
      </c>
      <c r="MI15">
        <v>4.2158932685852051</v>
      </c>
      <c r="MJ15">
        <v>475</v>
      </c>
      <c r="MK15" s="2"/>
      <c r="ML15">
        <f t="shared" si="116"/>
        <v>13</v>
      </c>
      <c r="MM15" t="s">
        <v>1276</v>
      </c>
      <c r="MN15" t="s">
        <v>1019</v>
      </c>
      <c r="MO15">
        <v>3.540796041488647</v>
      </c>
      <c r="MP15">
        <v>417</v>
      </c>
      <c r="MQ15" s="3"/>
      <c r="MT15" t="s">
        <v>2687</v>
      </c>
      <c r="MV15">
        <v>544</v>
      </c>
      <c r="MX15">
        <f t="shared" si="118"/>
        <v>24</v>
      </c>
      <c r="MY15" t="s">
        <v>2335</v>
      </c>
      <c r="MZ15" t="s">
        <v>2688</v>
      </c>
      <c r="NA15">
        <v>40.024220705032349</v>
      </c>
      <c r="NB15">
        <v>453</v>
      </c>
      <c r="NC15" s="3"/>
      <c r="ND15">
        <f t="shared" si="119"/>
        <v>54</v>
      </c>
      <c r="NE15" t="s">
        <v>2689</v>
      </c>
      <c r="NF15" t="s">
        <v>2690</v>
      </c>
      <c r="NG15">
        <v>16.583735466003422</v>
      </c>
      <c r="NH15">
        <v>406</v>
      </c>
      <c r="NI15" s="2"/>
      <c r="NJ15">
        <f t="shared" si="120"/>
        <v>17</v>
      </c>
      <c r="NK15" t="s">
        <v>2059</v>
      </c>
      <c r="NL15" t="s">
        <v>2691</v>
      </c>
      <c r="NM15">
        <v>26.341272830963131</v>
      </c>
      <c r="NN15">
        <v>415</v>
      </c>
      <c r="NO15" s="3"/>
      <c r="NP15">
        <f t="shared" si="121"/>
        <v>39</v>
      </c>
      <c r="NQ15" t="s">
        <v>2692</v>
      </c>
      <c r="NR15" t="s">
        <v>2693</v>
      </c>
      <c r="NS15">
        <v>25.224579095840451</v>
      </c>
      <c r="NT15">
        <v>374</v>
      </c>
      <c r="NU15" s="2"/>
      <c r="NV15">
        <f t="shared" si="122"/>
        <v>87</v>
      </c>
      <c r="NW15" t="s">
        <v>2694</v>
      </c>
      <c r="NX15" t="s">
        <v>2695</v>
      </c>
      <c r="NY15">
        <v>386.93432140350342</v>
      </c>
      <c r="NZ15">
        <v>414</v>
      </c>
      <c r="OA15" s="3"/>
      <c r="OB15">
        <f t="shared" si="123"/>
        <v>16</v>
      </c>
      <c r="OC15" t="s">
        <v>239</v>
      </c>
      <c r="OD15" t="s">
        <v>2696</v>
      </c>
      <c r="OE15">
        <v>6.3067853450775146</v>
      </c>
      <c r="OF15">
        <v>400</v>
      </c>
      <c r="OG15" s="2"/>
      <c r="OH15">
        <f t="shared" si="124"/>
        <v>10</v>
      </c>
      <c r="OI15" t="s">
        <v>27</v>
      </c>
      <c r="OJ15" t="s">
        <v>2697</v>
      </c>
      <c r="OK15">
        <v>217.31185293197629</v>
      </c>
      <c r="OL15">
        <v>478</v>
      </c>
      <c r="OM15" s="3"/>
      <c r="ON15">
        <f t="shared" si="125"/>
        <v>63</v>
      </c>
      <c r="OO15" t="s">
        <v>2698</v>
      </c>
      <c r="OP15" t="s">
        <v>2699</v>
      </c>
      <c r="OQ15">
        <v>14.34474301338196</v>
      </c>
      <c r="OR15">
        <v>434</v>
      </c>
      <c r="OS15" s="2"/>
      <c r="OT15">
        <f t="shared" si="126"/>
        <v>16</v>
      </c>
      <c r="OU15" t="s">
        <v>2700</v>
      </c>
      <c r="OV15" t="s">
        <v>2701</v>
      </c>
      <c r="OW15">
        <v>4.4356491565704346</v>
      </c>
      <c r="OX15">
        <v>520</v>
      </c>
      <c r="OY15" s="3"/>
      <c r="OZ15">
        <f t="shared" si="127"/>
        <v>11</v>
      </c>
      <c r="PA15" t="s">
        <v>59</v>
      </c>
      <c r="PB15" t="s">
        <v>2702</v>
      </c>
      <c r="PC15">
        <v>3.879138708114624</v>
      </c>
      <c r="PD15">
        <v>439</v>
      </c>
      <c r="PE15" s="2"/>
      <c r="PF15">
        <f t="shared" si="128"/>
        <v>14</v>
      </c>
      <c r="PG15" t="s">
        <v>2703</v>
      </c>
      <c r="PH15" t="s">
        <v>2704</v>
      </c>
      <c r="PI15">
        <v>25.674224138259891</v>
      </c>
      <c r="PJ15">
        <v>481</v>
      </c>
      <c r="PK15" s="3"/>
      <c r="PL15">
        <f t="shared" si="129"/>
        <v>20</v>
      </c>
      <c r="PM15" t="s">
        <v>1730</v>
      </c>
      <c r="PN15" t="s">
        <v>2705</v>
      </c>
      <c r="PO15">
        <v>4.9934384822845459</v>
      </c>
      <c r="PP15">
        <v>458</v>
      </c>
      <c r="PQ15" s="2"/>
      <c r="PT15" t="s">
        <v>2706</v>
      </c>
      <c r="PV15">
        <v>554</v>
      </c>
      <c r="QB15">
        <v>492</v>
      </c>
      <c r="QD15">
        <f t="shared" si="132"/>
        <v>25</v>
      </c>
      <c r="QE15" t="s">
        <v>2707</v>
      </c>
      <c r="QF15" t="s">
        <v>2708</v>
      </c>
      <c r="QG15">
        <v>18.7422034740448</v>
      </c>
      <c r="QH15">
        <v>464</v>
      </c>
      <c r="QI15" s="3"/>
      <c r="QJ15">
        <f t="shared" si="133"/>
        <v>23</v>
      </c>
      <c r="QK15" t="s">
        <v>2709</v>
      </c>
      <c r="QL15" t="s">
        <v>2710</v>
      </c>
      <c r="QM15">
        <v>8.5110476016998291</v>
      </c>
      <c r="QN15">
        <v>491</v>
      </c>
      <c r="QO15" s="4"/>
      <c r="QP15">
        <f t="shared" si="134"/>
        <v>18</v>
      </c>
      <c r="QQ15" t="s">
        <v>1588</v>
      </c>
      <c r="QR15" t="s">
        <v>2711</v>
      </c>
      <c r="QS15">
        <v>4.8462545871734619</v>
      </c>
      <c r="QT15">
        <v>545</v>
      </c>
      <c r="QU15" s="3"/>
      <c r="QV15">
        <f t="shared" si="135"/>
        <v>30</v>
      </c>
      <c r="QW15" t="s">
        <v>417</v>
      </c>
      <c r="QX15" t="s">
        <v>2537</v>
      </c>
      <c r="QY15">
        <v>6.1943261623382568</v>
      </c>
      <c r="QZ15">
        <v>487</v>
      </c>
      <c r="RA15" s="2"/>
      <c r="RB15">
        <f t="shared" si="136"/>
        <v>79</v>
      </c>
      <c r="RC15" t="s">
        <v>2712</v>
      </c>
      <c r="RD15" t="s">
        <v>2713</v>
      </c>
      <c r="RE15">
        <v>29.724233627319339</v>
      </c>
      <c r="RF15">
        <v>468</v>
      </c>
      <c r="RG15" s="3"/>
      <c r="RH15">
        <f t="shared" si="137"/>
        <v>60</v>
      </c>
      <c r="RI15" t="s">
        <v>2714</v>
      </c>
      <c r="RJ15" t="s">
        <v>2715</v>
      </c>
      <c r="RK15">
        <v>19.953373193740841</v>
      </c>
      <c r="RL15">
        <v>432</v>
      </c>
      <c r="RM15" s="2"/>
      <c r="RN15">
        <f t="shared" si="138"/>
        <v>15</v>
      </c>
      <c r="RO15" t="s">
        <v>2716</v>
      </c>
      <c r="RP15" t="s">
        <v>2717</v>
      </c>
      <c r="RQ15">
        <v>36.776015758514397</v>
      </c>
      <c r="RR15">
        <v>369</v>
      </c>
      <c r="RS15" s="3"/>
      <c r="RT15">
        <f t="shared" si="139"/>
        <v>21</v>
      </c>
      <c r="RU15" t="s">
        <v>2718</v>
      </c>
      <c r="RV15" t="s">
        <v>2719</v>
      </c>
      <c r="RW15">
        <v>9.125493049621582</v>
      </c>
      <c r="RX15">
        <v>433</v>
      </c>
      <c r="RY15" s="2"/>
      <c r="RZ15">
        <f t="shared" si="140"/>
        <v>27</v>
      </c>
      <c r="SA15" t="s">
        <v>2718</v>
      </c>
      <c r="SB15" t="s">
        <v>2720</v>
      </c>
      <c r="SC15">
        <v>4.0709872245788574</v>
      </c>
      <c r="SD15">
        <v>488</v>
      </c>
      <c r="SE15" s="3"/>
      <c r="SH15" t="s">
        <v>2721</v>
      </c>
      <c r="SJ15">
        <v>482</v>
      </c>
      <c r="SX15">
        <f t="shared" si="144"/>
        <v>19</v>
      </c>
      <c r="SY15" t="s">
        <v>2722</v>
      </c>
      <c r="SZ15" t="s">
        <v>2723</v>
      </c>
      <c r="TA15">
        <v>46.322079658508301</v>
      </c>
      <c r="TB15">
        <v>374</v>
      </c>
      <c r="TC15" s="3"/>
      <c r="TD15">
        <f t="shared" si="145"/>
        <v>36</v>
      </c>
      <c r="TE15" t="s">
        <v>2724</v>
      </c>
      <c r="TF15" t="s">
        <v>2725</v>
      </c>
      <c r="TG15">
        <v>80.685143232345581</v>
      </c>
      <c r="TH15">
        <v>490</v>
      </c>
      <c r="TI15" s="2"/>
      <c r="TJ15">
        <f t="shared" si="146"/>
        <v>100</v>
      </c>
      <c r="TK15" t="s">
        <v>2726</v>
      </c>
      <c r="TL15" t="s">
        <v>2727</v>
      </c>
      <c r="TM15">
        <v>160.58884429931641</v>
      </c>
      <c r="TN15">
        <v>573</v>
      </c>
      <c r="TO15" s="3"/>
      <c r="TR15" t="s">
        <v>2728</v>
      </c>
      <c r="TT15">
        <v>424</v>
      </c>
      <c r="TX15" t="s">
        <v>2729</v>
      </c>
      <c r="TZ15">
        <v>431</v>
      </c>
      <c r="UF15">
        <v>448</v>
      </c>
      <c r="UH15">
        <f t="shared" si="150"/>
        <v>26</v>
      </c>
      <c r="UI15" t="s">
        <v>2730</v>
      </c>
      <c r="UJ15" t="s">
        <v>2731</v>
      </c>
      <c r="UK15">
        <v>40.199994802474983</v>
      </c>
      <c r="UL15">
        <v>286</v>
      </c>
      <c r="UM15" s="3"/>
      <c r="UN15">
        <f t="shared" si="151"/>
        <v>52</v>
      </c>
      <c r="UO15" t="s">
        <v>2732</v>
      </c>
      <c r="UP15" t="s">
        <v>2733</v>
      </c>
      <c r="UQ15">
        <v>93.222750425338745</v>
      </c>
      <c r="UR15">
        <v>506</v>
      </c>
      <c r="US15" s="2"/>
      <c r="UT15">
        <f t="shared" si="152"/>
        <v>90</v>
      </c>
      <c r="UU15" t="s">
        <v>2734</v>
      </c>
      <c r="UV15" t="s">
        <v>2735</v>
      </c>
      <c r="UW15">
        <v>27.044632196426392</v>
      </c>
      <c r="UX15">
        <v>614</v>
      </c>
      <c r="UY15" s="3"/>
      <c r="UZ15">
        <f t="shared" si="153"/>
        <v>67</v>
      </c>
      <c r="VA15" t="s">
        <v>2736</v>
      </c>
      <c r="VB15" t="s">
        <v>2737</v>
      </c>
      <c r="VC15">
        <v>13.982525587081909</v>
      </c>
      <c r="VD15">
        <v>446</v>
      </c>
      <c r="VE15" s="2"/>
      <c r="VF15">
        <f t="shared" si="154"/>
        <v>21</v>
      </c>
      <c r="VG15" t="s">
        <v>2738</v>
      </c>
      <c r="VH15" t="s">
        <v>2739</v>
      </c>
      <c r="VI15">
        <v>9.2875444889068604</v>
      </c>
      <c r="VJ15">
        <v>428</v>
      </c>
      <c r="VK15" s="3"/>
      <c r="VL15">
        <f t="shared" si="155"/>
        <v>28</v>
      </c>
      <c r="VM15" t="s">
        <v>1087</v>
      </c>
      <c r="VN15" t="s">
        <v>2740</v>
      </c>
      <c r="VO15">
        <v>12.83851265907288</v>
      </c>
      <c r="VP15">
        <v>579</v>
      </c>
      <c r="VQ15" s="2"/>
      <c r="VR15">
        <f t="shared" si="156"/>
        <v>57</v>
      </c>
      <c r="VS15" t="s">
        <v>2741</v>
      </c>
      <c r="VT15" t="s">
        <v>2742</v>
      </c>
      <c r="VU15">
        <v>19.241514921188351</v>
      </c>
      <c r="VV15">
        <v>468</v>
      </c>
      <c r="VW15" s="3"/>
      <c r="VX15">
        <f t="shared" si="157"/>
        <v>19</v>
      </c>
      <c r="VY15" t="s">
        <v>2743</v>
      </c>
      <c r="VZ15" t="s">
        <v>2744</v>
      </c>
      <c r="WA15">
        <v>9.3684029579162598</v>
      </c>
      <c r="WB15">
        <v>450</v>
      </c>
      <c r="WC15" s="2"/>
      <c r="WD15">
        <f t="shared" si="158"/>
        <v>32</v>
      </c>
      <c r="WE15" t="s">
        <v>2745</v>
      </c>
      <c r="WF15" t="s">
        <v>2746</v>
      </c>
      <c r="WG15">
        <v>30.366332292556759</v>
      </c>
      <c r="WH15">
        <v>415</v>
      </c>
      <c r="WI15" s="3"/>
      <c r="WJ15">
        <f t="shared" si="159"/>
        <v>40</v>
      </c>
      <c r="WK15" t="s">
        <v>2343</v>
      </c>
      <c r="WL15" t="s">
        <v>2747</v>
      </c>
      <c r="WM15">
        <v>10.80037689208984</v>
      </c>
      <c r="WN15">
        <v>576</v>
      </c>
      <c r="WO15" s="2"/>
      <c r="WP15">
        <f t="shared" si="160"/>
        <v>19</v>
      </c>
      <c r="WQ15" t="s">
        <v>95</v>
      </c>
      <c r="WR15" t="s">
        <v>2748</v>
      </c>
      <c r="WS15">
        <v>29.755362749099731</v>
      </c>
      <c r="WT15">
        <v>391</v>
      </c>
      <c r="WU15" s="3"/>
      <c r="WV15">
        <f t="shared" si="161"/>
        <v>26</v>
      </c>
      <c r="WW15" t="s">
        <v>2749</v>
      </c>
      <c r="WX15" t="s">
        <v>2750</v>
      </c>
      <c r="WY15">
        <v>24.56174898147583</v>
      </c>
      <c r="WZ15">
        <v>556</v>
      </c>
      <c r="XA15" s="2"/>
      <c r="XB15">
        <f t="shared" si="162"/>
        <v>7</v>
      </c>
      <c r="XC15" t="s">
        <v>2238</v>
      </c>
      <c r="XD15" t="s">
        <v>2751</v>
      </c>
      <c r="XE15">
        <v>18.959188938140869</v>
      </c>
      <c r="XF15">
        <v>416</v>
      </c>
      <c r="XG15" s="3"/>
      <c r="XH15">
        <f t="shared" si="163"/>
        <v>19</v>
      </c>
      <c r="XI15" t="s">
        <v>2752</v>
      </c>
      <c r="XJ15" t="s">
        <v>2753</v>
      </c>
      <c r="XK15">
        <v>10.482177495956419</v>
      </c>
      <c r="XL15">
        <v>406</v>
      </c>
      <c r="XM15" s="2"/>
      <c r="XN15">
        <f t="shared" si="164"/>
        <v>13</v>
      </c>
      <c r="XO15" t="s">
        <v>2754</v>
      </c>
      <c r="XP15" t="s">
        <v>2755</v>
      </c>
      <c r="XQ15">
        <v>6.9249787330627441</v>
      </c>
      <c r="XR15">
        <v>405</v>
      </c>
      <c r="XS15" s="3"/>
      <c r="XT15">
        <f t="shared" si="165"/>
        <v>19</v>
      </c>
      <c r="XU15" t="s">
        <v>1488</v>
      </c>
      <c r="XV15" t="s">
        <v>2756</v>
      </c>
      <c r="XW15">
        <v>5.3305375576019287</v>
      </c>
      <c r="XX15">
        <v>529</v>
      </c>
      <c r="XY15" s="2"/>
      <c r="XZ15">
        <f t="shared" si="166"/>
        <v>12</v>
      </c>
      <c r="YA15" t="s">
        <v>1167</v>
      </c>
      <c r="YB15" t="s">
        <v>2757</v>
      </c>
      <c r="YC15">
        <v>44.323851346969597</v>
      </c>
      <c r="YD15">
        <v>451</v>
      </c>
      <c r="YE15" s="3"/>
      <c r="YF15">
        <f t="shared" si="167"/>
        <v>28</v>
      </c>
      <c r="YG15" t="s">
        <v>2758</v>
      </c>
      <c r="YH15" t="s">
        <v>2759</v>
      </c>
      <c r="YI15">
        <v>19.146609306335449</v>
      </c>
      <c r="YJ15">
        <v>441</v>
      </c>
      <c r="YK15" s="2"/>
      <c r="YL15">
        <f t="shared" si="168"/>
        <v>27</v>
      </c>
      <c r="YM15" t="s">
        <v>1712</v>
      </c>
      <c r="YN15" t="s">
        <v>2760</v>
      </c>
      <c r="YO15">
        <v>3.9205925464630131</v>
      </c>
      <c r="YP15">
        <v>462</v>
      </c>
      <c r="YQ15" s="3"/>
      <c r="YR15">
        <f t="shared" si="169"/>
        <v>14</v>
      </c>
      <c r="YS15" t="s">
        <v>2761</v>
      </c>
      <c r="YT15" t="s">
        <v>2762</v>
      </c>
      <c r="YU15">
        <v>4.7004806995391846</v>
      </c>
      <c r="YV15">
        <v>524</v>
      </c>
      <c r="YW15" s="2"/>
      <c r="YX15">
        <f t="shared" si="170"/>
        <v>66</v>
      </c>
      <c r="YY15" t="s">
        <v>2763</v>
      </c>
      <c r="YZ15" t="s">
        <v>2764</v>
      </c>
      <c r="ZA15">
        <v>36.041779041290283</v>
      </c>
      <c r="ZB15">
        <v>519</v>
      </c>
      <c r="ZC15" s="3"/>
      <c r="ZD15">
        <f t="shared" si="171"/>
        <v>72</v>
      </c>
      <c r="ZE15" t="s">
        <v>2765</v>
      </c>
      <c r="ZF15" t="s">
        <v>2766</v>
      </c>
      <c r="ZG15">
        <v>27.74783182144165</v>
      </c>
      <c r="ZH15">
        <v>510</v>
      </c>
      <c r="ZI15" s="2"/>
      <c r="ZJ15">
        <f t="shared" si="172"/>
        <v>12</v>
      </c>
      <c r="ZK15" t="s">
        <v>828</v>
      </c>
      <c r="ZL15" t="s">
        <v>2767</v>
      </c>
      <c r="ZM15">
        <v>196.98194265365601</v>
      </c>
      <c r="ZN15">
        <v>414</v>
      </c>
      <c r="ZO15" s="3"/>
      <c r="ZP15">
        <f t="shared" si="173"/>
        <v>27</v>
      </c>
      <c r="ZQ15" t="s">
        <v>2768</v>
      </c>
      <c r="ZR15" t="s">
        <v>2769</v>
      </c>
      <c r="ZS15">
        <v>9.6069340705871582</v>
      </c>
      <c r="ZT15">
        <v>407</v>
      </c>
      <c r="ZU15" s="2"/>
      <c r="ZV15">
        <f t="shared" si="174"/>
        <v>12</v>
      </c>
      <c r="ZW15" t="s">
        <v>239</v>
      </c>
      <c r="ZX15" t="s">
        <v>2770</v>
      </c>
      <c r="ZY15">
        <v>52.935279369354248</v>
      </c>
      <c r="ZZ15">
        <v>266</v>
      </c>
      <c r="AAA15" s="3"/>
      <c r="AAB15">
        <f t="shared" si="175"/>
        <v>52</v>
      </c>
      <c r="AAC15" t="s">
        <v>2771</v>
      </c>
      <c r="AAD15" t="s">
        <v>2772</v>
      </c>
      <c r="AAE15">
        <v>10.094805479049681</v>
      </c>
      <c r="AAF15">
        <v>520</v>
      </c>
      <c r="AAG15" s="2"/>
      <c r="AAH15">
        <f t="shared" si="176"/>
        <v>12</v>
      </c>
      <c r="AAI15" t="s">
        <v>1019</v>
      </c>
      <c r="AAJ15" t="s">
        <v>2773</v>
      </c>
      <c r="AAK15">
        <v>15.561199426650999</v>
      </c>
      <c r="AAL15">
        <v>410</v>
      </c>
      <c r="AAM15" s="3"/>
      <c r="AAN15">
        <f t="shared" si="177"/>
        <v>32</v>
      </c>
      <c r="AAO15" t="s">
        <v>1712</v>
      </c>
      <c r="AAP15" t="s">
        <v>2774</v>
      </c>
      <c r="AAQ15">
        <v>7.8123295307159424</v>
      </c>
      <c r="AAR15">
        <v>465</v>
      </c>
      <c r="AAS15" s="2"/>
      <c r="AAT15">
        <f t="shared" si="178"/>
        <v>16</v>
      </c>
      <c r="AAW15">
        <v>3.299871683120728</v>
      </c>
      <c r="AAX15">
        <v>511</v>
      </c>
      <c r="AAY15" s="3"/>
      <c r="AAZ15">
        <f t="shared" si="179"/>
        <v>-3</v>
      </c>
      <c r="ABA15" t="s">
        <v>1488</v>
      </c>
      <c r="ABB15" t="s">
        <v>2775</v>
      </c>
      <c r="ABC15">
        <v>4.0300891399383536</v>
      </c>
      <c r="ABD15">
        <v>483</v>
      </c>
      <c r="ABE15" s="2"/>
      <c r="ABF15">
        <f t="shared" si="180"/>
        <v>18</v>
      </c>
      <c r="ABG15" t="s">
        <v>2647</v>
      </c>
      <c r="ABH15" t="s">
        <v>2776</v>
      </c>
      <c r="ABI15">
        <v>6.9765157699584961</v>
      </c>
      <c r="ABJ15">
        <v>375</v>
      </c>
      <c r="ABK15" s="6"/>
      <c r="ABL15">
        <f t="shared" si="181"/>
        <v>12</v>
      </c>
      <c r="ABM15" t="s">
        <v>1840</v>
      </c>
      <c r="ABN15" t="s">
        <v>2777</v>
      </c>
      <c r="ABO15">
        <v>26.998508453369141</v>
      </c>
      <c r="ABP15">
        <v>450</v>
      </c>
      <c r="ABQ15" s="2"/>
    </row>
    <row r="16" spans="1:745" x14ac:dyDescent="0.25">
      <c r="A16">
        <v>14</v>
      </c>
      <c r="D16" t="s">
        <v>2778</v>
      </c>
      <c r="F16">
        <v>470</v>
      </c>
      <c r="L16">
        <v>489</v>
      </c>
      <c r="N16">
        <f t="shared" si="60"/>
        <v>14</v>
      </c>
      <c r="O16" t="s">
        <v>2779</v>
      </c>
      <c r="P16" t="s">
        <v>2780</v>
      </c>
      <c r="Q16">
        <v>19.94522500038147</v>
      </c>
      <c r="R16">
        <v>413</v>
      </c>
      <c r="S16" s="3"/>
      <c r="T16">
        <f t="shared" si="61"/>
        <v>8</v>
      </c>
      <c r="U16" t="s">
        <v>2781</v>
      </c>
      <c r="V16" t="s">
        <v>2782</v>
      </c>
      <c r="W16">
        <v>23.91802883148193</v>
      </c>
      <c r="X16">
        <v>415</v>
      </c>
      <c r="Y16" s="2"/>
      <c r="Z16">
        <f t="shared" si="62"/>
        <v>9</v>
      </c>
      <c r="AA16" t="s">
        <v>2783</v>
      </c>
      <c r="AB16" t="s">
        <v>2784</v>
      </c>
      <c r="AC16">
        <v>3.7177290916442871</v>
      </c>
      <c r="AD16">
        <v>431</v>
      </c>
      <c r="AE16" s="3"/>
      <c r="AF16">
        <f t="shared" si="63"/>
        <v>15</v>
      </c>
      <c r="AG16" t="s">
        <v>1443</v>
      </c>
      <c r="AH16" t="s">
        <v>2785</v>
      </c>
      <c r="AI16">
        <v>5.1214945316314697</v>
      </c>
      <c r="AJ16">
        <v>450</v>
      </c>
      <c r="AK16" s="2"/>
      <c r="AL16">
        <f t="shared" si="64"/>
        <v>21</v>
      </c>
      <c r="AM16" t="s">
        <v>2786</v>
      </c>
      <c r="AN16" t="s">
        <v>2787</v>
      </c>
      <c r="AO16">
        <v>5.6006312370300293</v>
      </c>
      <c r="AP16">
        <v>456</v>
      </c>
      <c r="AQ16" s="3"/>
      <c r="AR16">
        <f t="shared" si="65"/>
        <v>11</v>
      </c>
      <c r="AS16" t="s">
        <v>2788</v>
      </c>
      <c r="AT16" t="s">
        <v>2479</v>
      </c>
      <c r="AU16">
        <v>4.0316615104675293</v>
      </c>
      <c r="AV16">
        <v>442</v>
      </c>
      <c r="AW16" s="2"/>
      <c r="BJ16">
        <f t="shared" si="68"/>
        <v>26</v>
      </c>
      <c r="BK16" t="s">
        <v>1194</v>
      </c>
      <c r="BL16" t="s">
        <v>2789</v>
      </c>
      <c r="BM16">
        <v>4.0357227325439453</v>
      </c>
      <c r="BN16">
        <v>525</v>
      </c>
      <c r="BO16" s="3"/>
      <c r="BP16">
        <f t="shared" si="69"/>
        <v>8</v>
      </c>
      <c r="BQ16" t="s">
        <v>69</v>
      </c>
      <c r="BR16" t="s">
        <v>2790</v>
      </c>
      <c r="BS16">
        <v>3.7144992351531978</v>
      </c>
      <c r="BT16">
        <v>534</v>
      </c>
      <c r="BU16" s="2"/>
      <c r="BV16">
        <f t="shared" si="70"/>
        <v>22</v>
      </c>
      <c r="BW16" t="s">
        <v>2472</v>
      </c>
      <c r="BX16" t="s">
        <v>2472</v>
      </c>
      <c r="BY16">
        <v>3.0274217128753662</v>
      </c>
      <c r="BZ16">
        <v>475</v>
      </c>
      <c r="CA16" s="3"/>
      <c r="CD16" t="s">
        <v>1569</v>
      </c>
      <c r="CF16">
        <v>519</v>
      </c>
      <c r="CH16">
        <f t="shared" si="72"/>
        <v>23</v>
      </c>
      <c r="CI16" t="s">
        <v>2791</v>
      </c>
      <c r="CJ16" t="s">
        <v>2792</v>
      </c>
      <c r="CK16">
        <v>14.22805213928223</v>
      </c>
      <c r="CL16">
        <v>375</v>
      </c>
      <c r="CM16" s="3"/>
      <c r="CN16">
        <f t="shared" si="73"/>
        <v>33</v>
      </c>
      <c r="CO16" t="s">
        <v>2793</v>
      </c>
      <c r="CP16" t="s">
        <v>2794</v>
      </c>
      <c r="CQ16">
        <v>46.305850267410278</v>
      </c>
      <c r="CR16">
        <v>446</v>
      </c>
      <c r="CS16" s="2"/>
      <c r="CT16">
        <f t="shared" si="74"/>
        <v>36</v>
      </c>
      <c r="CU16" t="s">
        <v>2795</v>
      </c>
      <c r="CV16" t="s">
        <v>2796</v>
      </c>
      <c r="CW16">
        <v>22.513962984085079</v>
      </c>
      <c r="CX16">
        <v>428</v>
      </c>
      <c r="CY16" s="3"/>
      <c r="CZ16">
        <f t="shared" si="75"/>
        <v>14</v>
      </c>
      <c r="DA16" t="s">
        <v>2104</v>
      </c>
      <c r="DB16" t="s">
        <v>2797</v>
      </c>
      <c r="DC16">
        <v>4.2342426776885986</v>
      </c>
      <c r="DD16">
        <v>545</v>
      </c>
      <c r="DE16" s="2"/>
      <c r="DH16" t="s">
        <v>1304</v>
      </c>
      <c r="DJ16">
        <v>486</v>
      </c>
      <c r="DP16">
        <v>475</v>
      </c>
      <c r="DR16">
        <f t="shared" si="78"/>
        <v>21</v>
      </c>
      <c r="DS16" t="s">
        <v>2798</v>
      </c>
      <c r="DT16" t="s">
        <v>2799</v>
      </c>
      <c r="DU16">
        <v>20.389810085296631</v>
      </c>
      <c r="DV16">
        <v>471</v>
      </c>
      <c r="DW16" s="3"/>
      <c r="DX16">
        <f t="shared" si="79"/>
        <v>42</v>
      </c>
      <c r="DY16" t="s">
        <v>2800</v>
      </c>
      <c r="DZ16" t="s">
        <v>2801</v>
      </c>
      <c r="EA16">
        <v>23.580386161804199</v>
      </c>
      <c r="EB16">
        <v>401</v>
      </c>
      <c r="EC16" s="2"/>
      <c r="FB16">
        <f t="shared" si="84"/>
        <v>18</v>
      </c>
      <c r="FC16" t="s">
        <v>2802</v>
      </c>
      <c r="FD16" t="s">
        <v>2803</v>
      </c>
      <c r="FE16">
        <v>6.6578903198242188</v>
      </c>
      <c r="FF16">
        <v>508</v>
      </c>
      <c r="FG16" s="3"/>
      <c r="FH16">
        <f t="shared" si="85"/>
        <v>14</v>
      </c>
      <c r="FI16" t="s">
        <v>2804</v>
      </c>
      <c r="FJ16" t="s">
        <v>2805</v>
      </c>
      <c r="FK16">
        <v>7.0495748519897461</v>
      </c>
      <c r="FL16">
        <v>370</v>
      </c>
      <c r="FM16" s="2"/>
      <c r="FN16">
        <f t="shared" si="86"/>
        <v>24</v>
      </c>
      <c r="FO16" t="s">
        <v>2806</v>
      </c>
      <c r="FP16" t="s">
        <v>2807</v>
      </c>
      <c r="FQ16">
        <v>7.2298200130462646</v>
      </c>
      <c r="FR16">
        <v>453</v>
      </c>
      <c r="FS16" s="3"/>
      <c r="FT16">
        <f t="shared" si="87"/>
        <v>9</v>
      </c>
      <c r="FU16" t="s">
        <v>2808</v>
      </c>
      <c r="FV16" t="s">
        <v>2564</v>
      </c>
      <c r="FW16">
        <v>3.5208091735839839</v>
      </c>
      <c r="FX16">
        <v>473</v>
      </c>
      <c r="FY16" s="2"/>
      <c r="GB16" t="s">
        <v>2809</v>
      </c>
      <c r="GD16">
        <v>460</v>
      </c>
      <c r="GJ16">
        <v>552</v>
      </c>
      <c r="GL16">
        <f t="shared" si="90"/>
        <v>18</v>
      </c>
      <c r="GM16" t="s">
        <v>2810</v>
      </c>
      <c r="GN16" t="s">
        <v>2811</v>
      </c>
      <c r="GO16">
        <v>8.1259093284606934</v>
      </c>
      <c r="GP16">
        <v>494</v>
      </c>
      <c r="GQ16" s="3"/>
      <c r="GR16">
        <f t="shared" si="91"/>
        <v>13</v>
      </c>
      <c r="GS16" t="s">
        <v>786</v>
      </c>
      <c r="GT16" t="s">
        <v>2641</v>
      </c>
      <c r="GU16">
        <v>3.7458868026733398</v>
      </c>
      <c r="GV16">
        <v>429</v>
      </c>
      <c r="GW16" s="2"/>
      <c r="HJ16">
        <f t="shared" si="94"/>
        <v>19</v>
      </c>
      <c r="HK16" t="s">
        <v>505</v>
      </c>
      <c r="HL16" t="s">
        <v>2812</v>
      </c>
      <c r="HM16">
        <v>9.6818130016326904</v>
      </c>
      <c r="HN16">
        <v>358</v>
      </c>
      <c r="HO16" s="3"/>
      <c r="HP16">
        <f t="shared" si="95"/>
        <v>79</v>
      </c>
      <c r="HQ16" t="s">
        <v>2813</v>
      </c>
      <c r="HR16" t="s">
        <v>2814</v>
      </c>
      <c r="HS16">
        <v>37.376927375793457</v>
      </c>
      <c r="HT16">
        <v>403</v>
      </c>
      <c r="HU16" s="2"/>
      <c r="HX16" t="s">
        <v>2686</v>
      </c>
      <c r="HZ16">
        <v>461</v>
      </c>
      <c r="IF16">
        <v>502</v>
      </c>
      <c r="IT16">
        <f t="shared" si="100"/>
        <v>16</v>
      </c>
      <c r="IU16" t="s">
        <v>1488</v>
      </c>
      <c r="IV16" t="s">
        <v>2815</v>
      </c>
      <c r="IW16">
        <v>4.1014158725738534</v>
      </c>
      <c r="IX16">
        <v>422</v>
      </c>
      <c r="IY16" s="3"/>
      <c r="IZ16">
        <f t="shared" si="101"/>
        <v>12</v>
      </c>
      <c r="JA16" t="s">
        <v>2221</v>
      </c>
      <c r="JB16" t="s">
        <v>2816</v>
      </c>
      <c r="JC16">
        <v>3.7073287963867192</v>
      </c>
      <c r="JD16">
        <v>391</v>
      </c>
      <c r="JE16" s="2"/>
      <c r="JF16">
        <f t="shared" si="102"/>
        <v>14</v>
      </c>
      <c r="JG16" t="s">
        <v>2636</v>
      </c>
      <c r="JH16" t="s">
        <v>2817</v>
      </c>
      <c r="JI16">
        <v>4.9818565845489502</v>
      </c>
      <c r="JJ16">
        <v>422</v>
      </c>
      <c r="JK16" s="3"/>
      <c r="JL16">
        <f t="shared" si="103"/>
        <v>187</v>
      </c>
      <c r="JM16" t="s">
        <v>2818</v>
      </c>
      <c r="JN16" t="s">
        <v>2819</v>
      </c>
      <c r="JO16">
        <v>32.508913278579712</v>
      </c>
      <c r="JP16">
        <v>452</v>
      </c>
      <c r="JQ16" s="2"/>
      <c r="KD16">
        <f t="shared" si="106"/>
        <v>21</v>
      </c>
      <c r="KE16" t="s">
        <v>1486</v>
      </c>
      <c r="KF16" t="s">
        <v>2820</v>
      </c>
      <c r="KG16">
        <v>4.6027071475982666</v>
      </c>
      <c r="KH16">
        <v>526</v>
      </c>
      <c r="KI16" s="3"/>
      <c r="KJ16">
        <f t="shared" si="107"/>
        <v>13</v>
      </c>
      <c r="KK16" t="s">
        <v>2051</v>
      </c>
      <c r="KL16" t="s">
        <v>2821</v>
      </c>
      <c r="KM16">
        <v>4.2267801761627197</v>
      </c>
      <c r="KN16">
        <v>649</v>
      </c>
      <c r="KO16" s="2"/>
      <c r="KP16">
        <f t="shared" si="108"/>
        <v>36</v>
      </c>
      <c r="KQ16" t="s">
        <v>2822</v>
      </c>
      <c r="KR16" t="s">
        <v>2823</v>
      </c>
      <c r="KS16">
        <v>7.9504578113555908</v>
      </c>
      <c r="KT16">
        <v>445</v>
      </c>
      <c r="KU16" s="3"/>
      <c r="KV16">
        <f t="shared" si="109"/>
        <v>20</v>
      </c>
      <c r="KW16" t="s">
        <v>2824</v>
      </c>
      <c r="KX16" t="s">
        <v>2825</v>
      </c>
      <c r="KY16">
        <v>20.217664241790771</v>
      </c>
      <c r="KZ16">
        <v>347</v>
      </c>
      <c r="LA16" s="2"/>
      <c r="LB16">
        <f t="shared" si="110"/>
        <v>24</v>
      </c>
      <c r="LC16" t="s">
        <v>2647</v>
      </c>
      <c r="LD16" t="s">
        <v>2826</v>
      </c>
      <c r="LE16">
        <v>8.5512862205505371</v>
      </c>
      <c r="LF16">
        <v>573</v>
      </c>
      <c r="LG16" s="3"/>
      <c r="LH16">
        <f t="shared" si="111"/>
        <v>8</v>
      </c>
      <c r="LI16" t="s">
        <v>2827</v>
      </c>
      <c r="LJ16" t="s">
        <v>2828</v>
      </c>
      <c r="LK16">
        <v>3.756212472915649</v>
      </c>
      <c r="LL16">
        <v>409</v>
      </c>
      <c r="LM16" s="2"/>
      <c r="LZ16">
        <f t="shared" si="114"/>
        <v>20</v>
      </c>
      <c r="MA16" t="s">
        <v>475</v>
      </c>
      <c r="MB16" t="s">
        <v>2829</v>
      </c>
      <c r="MC16">
        <v>4.5970311164855957</v>
      </c>
      <c r="MD16">
        <v>492</v>
      </c>
      <c r="ME16" s="3"/>
      <c r="MF16">
        <f t="shared" si="115"/>
        <v>10</v>
      </c>
      <c r="MG16" t="s">
        <v>1256</v>
      </c>
      <c r="MH16" t="s">
        <v>2478</v>
      </c>
      <c r="MI16">
        <v>3.6808269023895259</v>
      </c>
      <c r="MJ16">
        <v>485</v>
      </c>
      <c r="MK16" s="2"/>
      <c r="MX16">
        <f t="shared" si="118"/>
        <v>30</v>
      </c>
      <c r="MY16" t="s">
        <v>2830</v>
      </c>
      <c r="MZ16" t="s">
        <v>2831</v>
      </c>
      <c r="NA16">
        <v>36.48350977897644</v>
      </c>
      <c r="NB16">
        <v>483</v>
      </c>
      <c r="NC16" s="3"/>
      <c r="ND16">
        <f t="shared" si="119"/>
        <v>22</v>
      </c>
      <c r="NE16" t="s">
        <v>2832</v>
      </c>
      <c r="NF16" t="s">
        <v>2833</v>
      </c>
      <c r="NG16">
        <v>5.5992636680603027</v>
      </c>
      <c r="NH16">
        <v>428</v>
      </c>
      <c r="NI16" s="2"/>
      <c r="NJ16">
        <f t="shared" si="120"/>
        <v>34</v>
      </c>
      <c r="NK16" t="s">
        <v>2834</v>
      </c>
      <c r="NL16" t="s">
        <v>2835</v>
      </c>
      <c r="NM16">
        <v>33.437038660049438</v>
      </c>
      <c r="NN16">
        <v>449</v>
      </c>
      <c r="NO16" s="3"/>
      <c r="NP16">
        <f t="shared" si="121"/>
        <v>25</v>
      </c>
      <c r="NQ16" t="s">
        <v>2836</v>
      </c>
      <c r="NR16" t="s">
        <v>2837</v>
      </c>
      <c r="NS16">
        <v>7.1333541870117188</v>
      </c>
      <c r="NT16">
        <v>399</v>
      </c>
      <c r="NU16" s="2"/>
      <c r="NV16">
        <f t="shared" si="122"/>
        <v>58</v>
      </c>
      <c r="NW16" t="s">
        <v>2073</v>
      </c>
      <c r="NX16" t="s">
        <v>2838</v>
      </c>
      <c r="NY16">
        <v>21.111444711685181</v>
      </c>
      <c r="NZ16">
        <v>472</v>
      </c>
      <c r="OA16" s="3"/>
      <c r="OB16">
        <f t="shared" si="123"/>
        <v>27</v>
      </c>
      <c r="OC16" t="s">
        <v>9</v>
      </c>
      <c r="OD16" t="s">
        <v>2839</v>
      </c>
      <c r="OE16">
        <v>10.754382371902469</v>
      </c>
      <c r="OF16">
        <v>427</v>
      </c>
      <c r="OG16" s="2"/>
      <c r="OH16">
        <f t="shared" si="124"/>
        <v>69</v>
      </c>
      <c r="OI16" t="s">
        <v>2840</v>
      </c>
      <c r="OJ16" t="s">
        <v>2841</v>
      </c>
      <c r="OK16">
        <v>242.85914778709409</v>
      </c>
      <c r="OL16">
        <v>547</v>
      </c>
      <c r="OM16" s="3"/>
      <c r="OP16" t="s">
        <v>2842</v>
      </c>
      <c r="OR16">
        <v>423</v>
      </c>
      <c r="OT16">
        <f t="shared" si="126"/>
        <v>19</v>
      </c>
      <c r="OU16" t="s">
        <v>2843</v>
      </c>
      <c r="OV16" t="s">
        <v>2051</v>
      </c>
      <c r="OW16">
        <v>3.4249567985534668</v>
      </c>
      <c r="OX16">
        <v>539</v>
      </c>
      <c r="OY16" s="3"/>
      <c r="PB16" t="s">
        <v>2844</v>
      </c>
      <c r="PD16">
        <v>429</v>
      </c>
      <c r="PF16">
        <f t="shared" si="128"/>
        <v>35</v>
      </c>
      <c r="PG16" t="s">
        <v>1445</v>
      </c>
      <c r="PH16" t="s">
        <v>2845</v>
      </c>
      <c r="PI16">
        <v>18.811656475067139</v>
      </c>
      <c r="PJ16">
        <v>516</v>
      </c>
      <c r="PK16" s="3"/>
      <c r="PL16">
        <f t="shared" si="129"/>
        <v>7</v>
      </c>
      <c r="PM16" t="s">
        <v>2051</v>
      </c>
      <c r="PN16" t="s">
        <v>2846</v>
      </c>
      <c r="PO16">
        <v>3.1763825416564941</v>
      </c>
      <c r="PP16">
        <v>465</v>
      </c>
      <c r="PQ16" s="2"/>
      <c r="QD16">
        <f t="shared" si="132"/>
        <v>18</v>
      </c>
      <c r="QE16" t="s">
        <v>786</v>
      </c>
      <c r="QF16" t="s">
        <v>2847</v>
      </c>
      <c r="QG16">
        <v>8.2022027969360352</v>
      </c>
      <c r="QH16">
        <v>482</v>
      </c>
      <c r="QI16" s="3"/>
      <c r="QJ16">
        <f t="shared" si="133"/>
        <v>10</v>
      </c>
      <c r="QK16" t="s">
        <v>782</v>
      </c>
      <c r="QL16" t="s">
        <v>2848</v>
      </c>
      <c r="QM16">
        <v>3.881064891815186</v>
      </c>
      <c r="QN16">
        <v>501</v>
      </c>
      <c r="QO16" s="4"/>
      <c r="QP16">
        <f t="shared" si="134"/>
        <v>23</v>
      </c>
      <c r="QQ16" t="s">
        <v>2849</v>
      </c>
      <c r="QR16" t="s">
        <v>2478</v>
      </c>
      <c r="QS16">
        <v>3.9753601551055908</v>
      </c>
      <c r="QT16">
        <v>568</v>
      </c>
      <c r="QU16" s="3"/>
      <c r="QX16" t="s">
        <v>2537</v>
      </c>
      <c r="QZ16">
        <v>471</v>
      </c>
      <c r="RB16">
        <f t="shared" si="136"/>
        <v>45</v>
      </c>
      <c r="RC16" t="s">
        <v>2850</v>
      </c>
      <c r="RD16" t="s">
        <v>2851</v>
      </c>
      <c r="RE16">
        <v>255.165602684021</v>
      </c>
      <c r="RF16">
        <v>513</v>
      </c>
      <c r="RG16" s="3"/>
      <c r="RH16">
        <f t="shared" si="137"/>
        <v>26</v>
      </c>
      <c r="RI16" t="s">
        <v>1344</v>
      </c>
      <c r="RJ16" t="s">
        <v>2852</v>
      </c>
      <c r="RK16">
        <v>6.6446413993835449</v>
      </c>
      <c r="RL16">
        <v>458</v>
      </c>
      <c r="RM16" s="2"/>
      <c r="RN16">
        <f t="shared" si="138"/>
        <v>94</v>
      </c>
      <c r="RO16" t="s">
        <v>2853</v>
      </c>
      <c r="RP16" t="s">
        <v>2854</v>
      </c>
      <c r="RQ16">
        <v>37.635897636413567</v>
      </c>
      <c r="RR16">
        <v>463</v>
      </c>
      <c r="RS16" s="3"/>
      <c r="RV16" t="s">
        <v>2855</v>
      </c>
      <c r="RX16">
        <v>409</v>
      </c>
      <c r="SX16">
        <f t="shared" si="144"/>
        <v>23</v>
      </c>
      <c r="SY16" t="s">
        <v>2856</v>
      </c>
      <c r="SZ16" t="s">
        <v>2857</v>
      </c>
      <c r="TA16">
        <v>24.459621906280521</v>
      </c>
      <c r="TB16">
        <v>397</v>
      </c>
      <c r="TC16" s="3"/>
      <c r="TD16">
        <f t="shared" si="145"/>
        <v>6</v>
      </c>
      <c r="TE16" t="s">
        <v>2858</v>
      </c>
      <c r="TF16" t="s">
        <v>2859</v>
      </c>
      <c r="TG16">
        <v>3.6345679759979248</v>
      </c>
      <c r="TH16">
        <v>496</v>
      </c>
      <c r="TI16" s="2"/>
      <c r="UH16">
        <f t="shared" si="150"/>
        <v>19</v>
      </c>
      <c r="UI16" t="s">
        <v>2860</v>
      </c>
      <c r="UJ16" t="s">
        <v>2861</v>
      </c>
      <c r="UK16">
        <v>207.4972460269928</v>
      </c>
      <c r="UL16">
        <v>305</v>
      </c>
      <c r="UM16" s="3"/>
      <c r="UN16">
        <f t="shared" si="151"/>
        <v>20</v>
      </c>
      <c r="UO16" t="s">
        <v>1250</v>
      </c>
      <c r="UP16" t="s">
        <v>2862</v>
      </c>
      <c r="UQ16">
        <v>14.1673686504364</v>
      </c>
      <c r="UR16">
        <v>526</v>
      </c>
      <c r="US16" s="2"/>
      <c r="UT16">
        <f t="shared" si="152"/>
        <v>24</v>
      </c>
      <c r="UU16" t="s">
        <v>1190</v>
      </c>
      <c r="UV16" t="s">
        <v>2863</v>
      </c>
      <c r="UW16">
        <v>8.818742036819458</v>
      </c>
      <c r="UX16">
        <v>638</v>
      </c>
      <c r="UY16" s="3"/>
      <c r="UZ16">
        <f t="shared" si="153"/>
        <v>30</v>
      </c>
      <c r="VA16" t="s">
        <v>2864</v>
      </c>
      <c r="VB16" t="s">
        <v>2865</v>
      </c>
      <c r="VC16">
        <v>5.0797276496887207</v>
      </c>
      <c r="VD16">
        <v>476</v>
      </c>
      <c r="VE16" s="2"/>
      <c r="VF16">
        <f t="shared" si="154"/>
        <v>20</v>
      </c>
      <c r="VG16" t="s">
        <v>2866</v>
      </c>
      <c r="VH16" t="s">
        <v>2867</v>
      </c>
      <c r="VI16">
        <v>6.3544890880584717</v>
      </c>
      <c r="VJ16">
        <v>448</v>
      </c>
      <c r="VK16" s="3"/>
      <c r="VL16">
        <f t="shared" si="155"/>
        <v>12</v>
      </c>
      <c r="VM16" t="s">
        <v>2868</v>
      </c>
      <c r="VN16" t="s">
        <v>2869</v>
      </c>
      <c r="VO16">
        <v>4.2398808002471924</v>
      </c>
      <c r="VP16">
        <v>591</v>
      </c>
      <c r="VQ16" s="2"/>
      <c r="VR16">
        <f t="shared" si="156"/>
        <v>21</v>
      </c>
      <c r="VS16" t="s">
        <v>2870</v>
      </c>
      <c r="VT16" t="s">
        <v>2871</v>
      </c>
      <c r="VU16">
        <v>8.2602598667144775</v>
      </c>
      <c r="VV16">
        <v>489</v>
      </c>
      <c r="VW16" s="3"/>
      <c r="VX16">
        <f t="shared" si="157"/>
        <v>14</v>
      </c>
      <c r="VY16" t="s">
        <v>1040</v>
      </c>
      <c r="VZ16" t="s">
        <v>2872</v>
      </c>
      <c r="WA16">
        <v>4.7224216461181641</v>
      </c>
      <c r="WB16">
        <v>464</v>
      </c>
      <c r="WC16" s="2"/>
      <c r="WD16">
        <f t="shared" si="158"/>
        <v>24</v>
      </c>
      <c r="WE16" t="s">
        <v>2873</v>
      </c>
      <c r="WF16" t="s">
        <v>2874</v>
      </c>
      <c r="WG16">
        <v>7.6998672485351563</v>
      </c>
      <c r="WH16">
        <v>439</v>
      </c>
      <c r="WI16" s="3"/>
      <c r="WJ16">
        <f t="shared" si="159"/>
        <v>16</v>
      </c>
      <c r="WK16" t="s">
        <v>2875</v>
      </c>
      <c r="WL16" t="s">
        <v>2876</v>
      </c>
      <c r="WM16">
        <v>4.1076571941375732</v>
      </c>
      <c r="WN16">
        <v>592</v>
      </c>
      <c r="WO16" s="2"/>
      <c r="WP16">
        <f t="shared" si="160"/>
        <v>27</v>
      </c>
      <c r="WQ16" t="s">
        <v>2877</v>
      </c>
      <c r="WR16" t="s">
        <v>2878</v>
      </c>
      <c r="WS16">
        <v>23.888026475906369</v>
      </c>
      <c r="WT16">
        <v>418</v>
      </c>
      <c r="WU16" s="3"/>
      <c r="WV16">
        <f t="shared" si="161"/>
        <v>20</v>
      </c>
      <c r="WW16" t="s">
        <v>2879</v>
      </c>
      <c r="WX16" t="s">
        <v>2880</v>
      </c>
      <c r="WY16">
        <v>6.7355186939239502</v>
      </c>
      <c r="WZ16">
        <v>576</v>
      </c>
      <c r="XA16" s="2"/>
      <c r="XB16">
        <f t="shared" si="162"/>
        <v>4</v>
      </c>
      <c r="XC16" t="s">
        <v>584</v>
      </c>
      <c r="XD16" t="s">
        <v>2881</v>
      </c>
      <c r="XE16">
        <v>31.757721900939941</v>
      </c>
      <c r="XF16">
        <v>420</v>
      </c>
      <c r="XG16" s="3"/>
      <c r="XH16">
        <f t="shared" si="163"/>
        <v>22</v>
      </c>
      <c r="XI16" t="s">
        <v>2882</v>
      </c>
      <c r="XJ16" t="s">
        <v>2883</v>
      </c>
      <c r="XK16">
        <v>9.3682830333709717</v>
      </c>
      <c r="XL16">
        <v>428</v>
      </c>
      <c r="XM16" s="2"/>
      <c r="XN16">
        <f t="shared" si="164"/>
        <v>13</v>
      </c>
      <c r="XO16" t="s">
        <v>2884</v>
      </c>
      <c r="XP16" t="s">
        <v>2885</v>
      </c>
      <c r="XQ16">
        <v>5.8055481910705566</v>
      </c>
      <c r="XR16">
        <v>418</v>
      </c>
      <c r="XS16" s="3"/>
      <c r="XT16">
        <f t="shared" si="165"/>
        <v>16</v>
      </c>
      <c r="XU16" t="s">
        <v>69</v>
      </c>
      <c r="XV16" t="s">
        <v>1019</v>
      </c>
      <c r="XW16">
        <v>3.6159441471099849</v>
      </c>
      <c r="XX16">
        <v>545</v>
      </c>
      <c r="XY16" s="2"/>
      <c r="XZ16">
        <f t="shared" si="166"/>
        <v>10</v>
      </c>
      <c r="YA16" t="s">
        <v>2828</v>
      </c>
      <c r="YB16" t="s">
        <v>2886</v>
      </c>
      <c r="YC16">
        <v>40.639100313186653</v>
      </c>
      <c r="YD16">
        <v>461</v>
      </c>
      <c r="YE16" s="3"/>
      <c r="YF16">
        <f t="shared" si="167"/>
        <v>25</v>
      </c>
      <c r="YG16" t="s">
        <v>2133</v>
      </c>
      <c r="YH16" t="s">
        <v>2887</v>
      </c>
      <c r="YI16">
        <v>9.6490180492401123</v>
      </c>
      <c r="YJ16">
        <v>466</v>
      </c>
      <c r="YK16" s="2"/>
      <c r="YL16">
        <f t="shared" si="168"/>
        <v>17</v>
      </c>
      <c r="YM16" t="s">
        <v>2888</v>
      </c>
      <c r="YN16" t="s">
        <v>2030</v>
      </c>
      <c r="YO16">
        <v>3.5104506015777588</v>
      </c>
      <c r="YP16">
        <v>479</v>
      </c>
      <c r="YQ16" s="3"/>
      <c r="YT16" t="s">
        <v>2889</v>
      </c>
      <c r="YV16">
        <v>519</v>
      </c>
      <c r="YX16">
        <f t="shared" si="170"/>
        <v>30</v>
      </c>
      <c r="YY16" t="s">
        <v>2890</v>
      </c>
      <c r="YZ16" t="s">
        <v>2891</v>
      </c>
      <c r="ZA16">
        <v>11.464289903640751</v>
      </c>
      <c r="ZB16">
        <v>549</v>
      </c>
      <c r="ZC16" s="3"/>
      <c r="ZD16">
        <f t="shared" si="171"/>
        <v>27</v>
      </c>
      <c r="ZE16" t="s">
        <v>2892</v>
      </c>
      <c r="ZF16" t="s">
        <v>2893</v>
      </c>
      <c r="ZG16">
        <v>7.9679989814758301</v>
      </c>
      <c r="ZH16">
        <v>537</v>
      </c>
      <c r="ZI16" s="2"/>
      <c r="ZJ16">
        <f t="shared" si="172"/>
        <v>87</v>
      </c>
      <c r="ZK16" t="s">
        <v>2894</v>
      </c>
      <c r="ZL16" t="s">
        <v>2895</v>
      </c>
      <c r="ZM16">
        <v>198.59421730041501</v>
      </c>
      <c r="ZN16">
        <v>501</v>
      </c>
      <c r="ZO16" s="3"/>
      <c r="ZP16">
        <f t="shared" si="173"/>
        <v>18</v>
      </c>
      <c r="ZQ16" t="s">
        <v>2896</v>
      </c>
      <c r="ZR16" t="s">
        <v>2897</v>
      </c>
      <c r="ZS16">
        <v>6.3287522792816162</v>
      </c>
      <c r="ZT16">
        <v>425</v>
      </c>
      <c r="ZU16" s="2"/>
      <c r="ZV16">
        <f t="shared" si="174"/>
        <v>13</v>
      </c>
      <c r="ZW16" t="s">
        <v>1385</v>
      </c>
      <c r="ZX16" t="s">
        <v>2898</v>
      </c>
      <c r="ZY16">
        <v>48.100785493850708</v>
      </c>
      <c r="ZZ16">
        <v>279</v>
      </c>
      <c r="AAA16" s="3"/>
      <c r="AAB16">
        <f t="shared" si="175"/>
        <v>28</v>
      </c>
      <c r="AAC16" t="s">
        <v>2899</v>
      </c>
      <c r="AAD16" t="s">
        <v>2900</v>
      </c>
      <c r="AAE16">
        <v>12.839217185974119</v>
      </c>
      <c r="AAF16">
        <v>548</v>
      </c>
      <c r="AAG16" s="2"/>
      <c r="AAH16">
        <f t="shared" si="176"/>
        <v>33</v>
      </c>
      <c r="AAI16" t="s">
        <v>2901</v>
      </c>
      <c r="AAJ16" t="s">
        <v>2902</v>
      </c>
      <c r="AAK16">
        <v>13.35128116607666</v>
      </c>
      <c r="AAL16">
        <v>443</v>
      </c>
      <c r="AAM16" s="3"/>
      <c r="AAN16">
        <f t="shared" si="177"/>
        <v>12</v>
      </c>
      <c r="AAO16" t="s">
        <v>1714</v>
      </c>
      <c r="AAP16" t="s">
        <v>2903</v>
      </c>
      <c r="AAQ16">
        <v>4.4700634479522714</v>
      </c>
      <c r="AAR16">
        <v>477</v>
      </c>
      <c r="AAS16" s="2"/>
      <c r="ABF16">
        <f t="shared" si="180"/>
        <v>11</v>
      </c>
      <c r="ABG16" t="s">
        <v>38</v>
      </c>
      <c r="ABH16" t="s">
        <v>2904</v>
      </c>
      <c r="ABI16">
        <v>5.0194563865661621</v>
      </c>
      <c r="ABJ16">
        <v>386</v>
      </c>
      <c r="ABK16" s="6"/>
      <c r="ABL16">
        <f t="shared" si="181"/>
        <v>11</v>
      </c>
      <c r="ABM16" t="s">
        <v>2104</v>
      </c>
      <c r="ABN16" t="s">
        <v>2905</v>
      </c>
      <c r="ABO16">
        <v>34.660802602767937</v>
      </c>
      <c r="ABP16">
        <v>461</v>
      </c>
      <c r="ABQ16" s="2"/>
    </row>
    <row r="17" spans="1:745" x14ac:dyDescent="0.25">
      <c r="A17">
        <v>15</v>
      </c>
      <c r="N17">
        <f t="shared" si="60"/>
        <v>23</v>
      </c>
      <c r="O17" t="s">
        <v>2906</v>
      </c>
      <c r="P17" t="s">
        <v>2907</v>
      </c>
      <c r="Q17">
        <v>15.70759224891663</v>
      </c>
      <c r="R17">
        <v>436</v>
      </c>
      <c r="S17" s="3"/>
      <c r="T17">
        <f t="shared" si="61"/>
        <v>10</v>
      </c>
      <c r="U17" t="s">
        <v>1033</v>
      </c>
      <c r="V17" t="s">
        <v>2908</v>
      </c>
      <c r="W17">
        <v>16.2458336353302</v>
      </c>
      <c r="X17">
        <v>425</v>
      </c>
      <c r="Y17" s="2"/>
      <c r="Z17">
        <f t="shared" si="62"/>
        <v>0</v>
      </c>
      <c r="AB17" t="s">
        <v>1569</v>
      </c>
      <c r="AC17">
        <v>3.3348345756530762</v>
      </c>
      <c r="AD17">
        <v>431</v>
      </c>
      <c r="AE17" s="3"/>
      <c r="AF17">
        <f t="shared" si="63"/>
        <v>7</v>
      </c>
      <c r="AG17" t="s">
        <v>2051</v>
      </c>
      <c r="AH17" t="s">
        <v>2909</v>
      </c>
      <c r="AI17">
        <v>3.530109167098999</v>
      </c>
      <c r="AJ17">
        <v>457</v>
      </c>
      <c r="AK17" s="2"/>
      <c r="AL17">
        <f t="shared" si="64"/>
        <v>13</v>
      </c>
      <c r="AM17" t="s">
        <v>2910</v>
      </c>
      <c r="AN17" t="s">
        <v>2911</v>
      </c>
      <c r="AO17">
        <v>4.3098511695861816</v>
      </c>
      <c r="AP17">
        <v>469</v>
      </c>
      <c r="AQ17" s="3"/>
      <c r="AR17">
        <f t="shared" si="65"/>
        <v>0</v>
      </c>
      <c r="AT17" t="s">
        <v>1569</v>
      </c>
      <c r="AU17">
        <v>3.5747194290161128</v>
      </c>
      <c r="AV17">
        <v>442</v>
      </c>
      <c r="AW17" s="2"/>
      <c r="BJ17">
        <f t="shared" si="68"/>
        <v>12</v>
      </c>
      <c r="BK17" t="s">
        <v>2912</v>
      </c>
      <c r="BL17" t="s">
        <v>2913</v>
      </c>
      <c r="BM17">
        <v>3.9901835918426509</v>
      </c>
      <c r="BN17">
        <v>537</v>
      </c>
      <c r="BO17" s="3"/>
      <c r="BP17">
        <f t="shared" si="69"/>
        <v>6</v>
      </c>
      <c r="BQ17" t="s">
        <v>2051</v>
      </c>
      <c r="BR17" t="s">
        <v>2909</v>
      </c>
      <c r="BS17">
        <v>3.6422586441040039</v>
      </c>
      <c r="BT17">
        <v>540</v>
      </c>
      <c r="BU17" s="2"/>
      <c r="CH17">
        <f t="shared" si="72"/>
        <v>33</v>
      </c>
      <c r="CI17" t="s">
        <v>2914</v>
      </c>
      <c r="CJ17" t="s">
        <v>2915</v>
      </c>
      <c r="CK17">
        <v>14.477988719940191</v>
      </c>
      <c r="CL17">
        <v>408</v>
      </c>
      <c r="CM17" s="3"/>
      <c r="CN17">
        <f t="shared" si="73"/>
        <v>41</v>
      </c>
      <c r="CO17" t="s">
        <v>2916</v>
      </c>
      <c r="CP17" t="s">
        <v>2917</v>
      </c>
      <c r="CQ17">
        <v>5.5868391990661621</v>
      </c>
      <c r="CR17">
        <v>487</v>
      </c>
      <c r="CS17" s="2"/>
      <c r="CT17">
        <f t="shared" si="74"/>
        <v>16</v>
      </c>
      <c r="CU17" t="s">
        <v>2918</v>
      </c>
      <c r="CV17" t="s">
        <v>2919</v>
      </c>
      <c r="CW17">
        <v>4.3803567886352539</v>
      </c>
      <c r="CX17">
        <v>444</v>
      </c>
      <c r="CY17" s="3"/>
      <c r="CZ17">
        <f t="shared" si="75"/>
        <v>11</v>
      </c>
      <c r="DA17" t="s">
        <v>1880</v>
      </c>
      <c r="DB17" t="s">
        <v>2920</v>
      </c>
      <c r="DC17">
        <v>3.7158336639404301</v>
      </c>
      <c r="DD17">
        <v>556</v>
      </c>
      <c r="DE17" s="2"/>
      <c r="DR17">
        <f t="shared" si="78"/>
        <v>32</v>
      </c>
      <c r="DS17" t="s">
        <v>2921</v>
      </c>
      <c r="DT17" t="s">
        <v>2922</v>
      </c>
      <c r="DU17">
        <v>34.073400735855103</v>
      </c>
      <c r="DV17">
        <v>503</v>
      </c>
      <c r="DW17" s="3"/>
      <c r="DX17">
        <f t="shared" si="79"/>
        <v>24</v>
      </c>
      <c r="DY17" t="s">
        <v>2923</v>
      </c>
      <c r="DZ17" t="s">
        <v>1793</v>
      </c>
      <c r="EA17">
        <v>4.1892435550689697</v>
      </c>
      <c r="EB17">
        <v>425</v>
      </c>
      <c r="EC17" s="2"/>
      <c r="FB17">
        <f t="shared" si="84"/>
        <v>11</v>
      </c>
      <c r="FC17" t="s">
        <v>479</v>
      </c>
      <c r="FD17" t="s">
        <v>2924</v>
      </c>
      <c r="FE17">
        <v>4.8023021221160889</v>
      </c>
      <c r="FF17">
        <v>519</v>
      </c>
      <c r="FG17" s="3"/>
      <c r="FH17">
        <f t="shared" si="85"/>
        <v>11</v>
      </c>
      <c r="FI17" t="s">
        <v>771</v>
      </c>
      <c r="FJ17" t="s">
        <v>2925</v>
      </c>
      <c r="FK17">
        <v>4.0070264339447021</v>
      </c>
      <c r="FL17">
        <v>381</v>
      </c>
      <c r="FM17" s="2"/>
      <c r="FP17" t="s">
        <v>2051</v>
      </c>
      <c r="FR17">
        <v>452</v>
      </c>
      <c r="FX17">
        <v>474</v>
      </c>
      <c r="GL17">
        <f t="shared" si="90"/>
        <v>17</v>
      </c>
      <c r="GM17" t="s">
        <v>2926</v>
      </c>
      <c r="GN17" t="s">
        <v>2927</v>
      </c>
      <c r="GO17">
        <v>5.5710136890411377</v>
      </c>
      <c r="GP17">
        <v>511</v>
      </c>
      <c r="GQ17" s="3"/>
      <c r="GR17">
        <f t="shared" si="91"/>
        <v>5</v>
      </c>
      <c r="GS17" t="s">
        <v>173</v>
      </c>
      <c r="GT17" t="s">
        <v>1019</v>
      </c>
      <c r="GU17">
        <v>3.628144264221191</v>
      </c>
      <c r="GV17">
        <v>434</v>
      </c>
      <c r="GW17" s="2"/>
      <c r="HJ17">
        <f t="shared" si="94"/>
        <v>61</v>
      </c>
      <c r="HK17" t="s">
        <v>2928</v>
      </c>
      <c r="HL17" t="s">
        <v>2929</v>
      </c>
      <c r="HM17">
        <v>21.534358978271481</v>
      </c>
      <c r="HN17">
        <v>419</v>
      </c>
      <c r="HO17" s="3"/>
      <c r="HP17">
        <f t="shared" si="95"/>
        <v>27</v>
      </c>
      <c r="HQ17" t="s">
        <v>2425</v>
      </c>
      <c r="HR17" t="s">
        <v>2930</v>
      </c>
      <c r="HS17">
        <v>7.2675631046295166</v>
      </c>
      <c r="HT17">
        <v>430</v>
      </c>
      <c r="HU17" s="2"/>
      <c r="IT17">
        <f t="shared" si="100"/>
        <v>0</v>
      </c>
      <c r="IV17" t="s">
        <v>782</v>
      </c>
      <c r="IW17">
        <v>3.3588721752166748</v>
      </c>
      <c r="IX17">
        <v>422</v>
      </c>
      <c r="IY17" s="3"/>
      <c r="IZ17">
        <f t="shared" si="101"/>
        <v>8</v>
      </c>
      <c r="JA17" t="s">
        <v>2051</v>
      </c>
      <c r="JB17" t="s">
        <v>2931</v>
      </c>
      <c r="JC17">
        <v>3.725266695022583</v>
      </c>
      <c r="JD17">
        <v>399</v>
      </c>
      <c r="JE17" s="2"/>
      <c r="JF17">
        <f t="shared" si="102"/>
        <v>21</v>
      </c>
      <c r="JG17" t="s">
        <v>2932</v>
      </c>
      <c r="JH17" t="s">
        <v>2933</v>
      </c>
      <c r="JI17">
        <v>5.2786588668823242</v>
      </c>
      <c r="JJ17">
        <v>443</v>
      </c>
      <c r="JK17" s="3"/>
      <c r="JL17">
        <f t="shared" si="103"/>
        <v>38</v>
      </c>
      <c r="JM17" t="s">
        <v>2934</v>
      </c>
      <c r="JN17" t="s">
        <v>2935</v>
      </c>
      <c r="JO17">
        <v>20.33543944358826</v>
      </c>
      <c r="JP17">
        <v>490</v>
      </c>
      <c r="JQ17" s="2"/>
      <c r="KD17">
        <f t="shared" si="106"/>
        <v>0</v>
      </c>
      <c r="KF17" t="s">
        <v>1569</v>
      </c>
      <c r="KG17">
        <v>3.4907159805297852</v>
      </c>
      <c r="KH17">
        <v>526</v>
      </c>
      <c r="KI17" s="3"/>
      <c r="KJ17">
        <f t="shared" si="107"/>
        <v>12</v>
      </c>
      <c r="KK17" t="s">
        <v>2936</v>
      </c>
      <c r="KL17" t="s">
        <v>2062</v>
      </c>
      <c r="KM17">
        <v>3.7451834678649898</v>
      </c>
      <c r="KN17">
        <v>661</v>
      </c>
      <c r="KO17" s="2"/>
      <c r="KP17">
        <f t="shared" si="108"/>
        <v>32</v>
      </c>
      <c r="KQ17" t="s">
        <v>1988</v>
      </c>
      <c r="KR17" t="s">
        <v>2937</v>
      </c>
      <c r="KS17">
        <v>21.230632066726681</v>
      </c>
      <c r="KT17">
        <v>477</v>
      </c>
      <c r="KU17" s="3"/>
      <c r="KV17">
        <f t="shared" si="109"/>
        <v>12</v>
      </c>
      <c r="KW17" t="s">
        <v>2938</v>
      </c>
      <c r="KX17" t="s">
        <v>2939</v>
      </c>
      <c r="KY17">
        <v>4.468489408493042</v>
      </c>
      <c r="KZ17">
        <v>359</v>
      </c>
      <c r="LA17" s="2"/>
      <c r="LD17" t="s">
        <v>2940</v>
      </c>
      <c r="LF17">
        <v>563</v>
      </c>
      <c r="LL17">
        <v>419</v>
      </c>
      <c r="MB17" t="s">
        <v>2941</v>
      </c>
      <c r="MD17">
        <v>479</v>
      </c>
      <c r="MJ17">
        <v>498</v>
      </c>
      <c r="MX17">
        <f t="shared" si="118"/>
        <v>9</v>
      </c>
      <c r="MY17" t="s">
        <v>479</v>
      </c>
      <c r="MZ17" t="s">
        <v>2942</v>
      </c>
      <c r="NA17">
        <v>4.7228827476501456</v>
      </c>
      <c r="NB17">
        <v>492</v>
      </c>
      <c r="NC17" s="3"/>
      <c r="ND17">
        <f t="shared" si="119"/>
        <v>10</v>
      </c>
      <c r="NE17" t="s">
        <v>2943</v>
      </c>
      <c r="NF17" t="s">
        <v>2944</v>
      </c>
      <c r="NG17">
        <v>4.019874095916748</v>
      </c>
      <c r="NH17">
        <v>438</v>
      </c>
      <c r="NI17" s="2"/>
      <c r="NJ17">
        <f t="shared" si="120"/>
        <v>14</v>
      </c>
      <c r="NK17" t="s">
        <v>2945</v>
      </c>
      <c r="NL17" t="s">
        <v>2946</v>
      </c>
      <c r="NM17">
        <v>4.8896987438201904</v>
      </c>
      <c r="NN17">
        <v>463</v>
      </c>
      <c r="NO17" s="3"/>
      <c r="NP17">
        <f t="shared" si="121"/>
        <v>14</v>
      </c>
      <c r="NQ17" t="s">
        <v>2672</v>
      </c>
      <c r="NR17" t="s">
        <v>2947</v>
      </c>
      <c r="NS17">
        <v>4.053227424621582</v>
      </c>
      <c r="NT17">
        <v>413</v>
      </c>
      <c r="NU17" s="2"/>
      <c r="NV17">
        <f t="shared" si="122"/>
        <v>10</v>
      </c>
      <c r="NW17" t="s">
        <v>578</v>
      </c>
      <c r="NX17" t="s">
        <v>2948</v>
      </c>
      <c r="NY17">
        <v>3.144227266311646</v>
      </c>
      <c r="NZ17">
        <v>482</v>
      </c>
      <c r="OA17" s="3"/>
      <c r="OB17">
        <f t="shared" si="123"/>
        <v>9</v>
      </c>
      <c r="OC17" t="s">
        <v>1242</v>
      </c>
      <c r="OD17" t="s">
        <v>2949</v>
      </c>
      <c r="OE17">
        <v>4.6505577564239502</v>
      </c>
      <c r="OF17">
        <v>436</v>
      </c>
      <c r="OG17" s="2"/>
      <c r="PF17">
        <f t="shared" si="128"/>
        <v>18</v>
      </c>
      <c r="PG17" t="s">
        <v>409</v>
      </c>
      <c r="PH17" t="s">
        <v>2950</v>
      </c>
      <c r="PI17">
        <v>4.1910426616668701</v>
      </c>
      <c r="PJ17">
        <v>534</v>
      </c>
      <c r="PK17" s="3"/>
      <c r="PL17">
        <f t="shared" si="129"/>
        <v>6</v>
      </c>
      <c r="PM17" t="s">
        <v>2051</v>
      </c>
      <c r="PN17" t="s">
        <v>2790</v>
      </c>
      <c r="PO17">
        <v>3.4199256896972661</v>
      </c>
      <c r="PP17">
        <v>471</v>
      </c>
      <c r="PQ17" s="2"/>
      <c r="QD17">
        <f t="shared" si="132"/>
        <v>6</v>
      </c>
      <c r="QE17" t="s">
        <v>2478</v>
      </c>
      <c r="QF17" t="s">
        <v>2951</v>
      </c>
      <c r="QG17">
        <v>4.1241135597229004</v>
      </c>
      <c r="QH17">
        <v>488</v>
      </c>
      <c r="QI17" s="3"/>
      <c r="QJ17">
        <f t="shared" si="133"/>
        <v>6</v>
      </c>
      <c r="QK17" t="s">
        <v>796</v>
      </c>
      <c r="QL17" t="s">
        <v>2909</v>
      </c>
      <c r="QM17">
        <v>3.6962201595306401</v>
      </c>
      <c r="QN17">
        <v>507</v>
      </c>
      <c r="QO17" s="4"/>
      <c r="RB17">
        <f t="shared" si="136"/>
        <v>19</v>
      </c>
      <c r="RC17" t="s">
        <v>2952</v>
      </c>
      <c r="RD17" t="s">
        <v>2953</v>
      </c>
      <c r="RE17">
        <v>10.20083117485046</v>
      </c>
      <c r="RF17">
        <v>532</v>
      </c>
      <c r="RG17" s="3"/>
      <c r="RH17">
        <f t="shared" si="137"/>
        <v>15</v>
      </c>
      <c r="RI17" t="s">
        <v>2954</v>
      </c>
      <c r="RJ17" t="s">
        <v>2955</v>
      </c>
      <c r="RK17">
        <v>6.0260210037231454</v>
      </c>
      <c r="RL17">
        <v>473</v>
      </c>
      <c r="RM17" s="2"/>
      <c r="SX17">
        <f t="shared" si="144"/>
        <v>20</v>
      </c>
      <c r="SY17" t="s">
        <v>2956</v>
      </c>
      <c r="SZ17" t="s">
        <v>2957</v>
      </c>
      <c r="TA17">
        <v>5.8455133438110352</v>
      </c>
      <c r="TB17">
        <v>417</v>
      </c>
      <c r="TC17" s="3"/>
      <c r="TD17">
        <f t="shared" si="145"/>
        <v>6</v>
      </c>
      <c r="TE17" t="s">
        <v>2051</v>
      </c>
      <c r="TF17" t="s">
        <v>2051</v>
      </c>
      <c r="TG17">
        <v>3.2933073043823242</v>
      </c>
      <c r="TH17">
        <v>502</v>
      </c>
      <c r="TI17" s="2"/>
      <c r="UH17">
        <f t="shared" si="150"/>
        <v>87</v>
      </c>
      <c r="UI17" t="s">
        <v>2958</v>
      </c>
      <c r="UJ17" t="s">
        <v>2959</v>
      </c>
      <c r="UK17">
        <v>189.68767690658569</v>
      </c>
      <c r="UL17">
        <v>392</v>
      </c>
      <c r="UM17" s="3"/>
      <c r="UP17" t="s">
        <v>2960</v>
      </c>
      <c r="UR17">
        <v>512</v>
      </c>
      <c r="UT17">
        <f t="shared" si="152"/>
        <v>17</v>
      </c>
      <c r="UU17" t="s">
        <v>551</v>
      </c>
      <c r="UV17" t="s">
        <v>2961</v>
      </c>
      <c r="UW17">
        <v>5.333714485168457</v>
      </c>
      <c r="UX17">
        <v>655</v>
      </c>
      <c r="UY17" s="3"/>
      <c r="UZ17">
        <f t="shared" si="153"/>
        <v>13</v>
      </c>
      <c r="VA17" t="s">
        <v>1215</v>
      </c>
      <c r="VB17" t="s">
        <v>2962</v>
      </c>
      <c r="VC17">
        <v>4.181384801864624</v>
      </c>
      <c r="VD17">
        <v>489</v>
      </c>
      <c r="VE17" s="2"/>
      <c r="VF17">
        <f t="shared" si="154"/>
        <v>27</v>
      </c>
      <c r="VG17" t="s">
        <v>2307</v>
      </c>
      <c r="VH17" t="s">
        <v>782</v>
      </c>
      <c r="VI17">
        <v>3.3483893871307369</v>
      </c>
      <c r="VJ17">
        <v>475</v>
      </c>
      <c r="VK17" s="3"/>
      <c r="VN17" t="s">
        <v>1569</v>
      </c>
      <c r="VP17">
        <v>581</v>
      </c>
      <c r="VR17">
        <f t="shared" si="156"/>
        <v>20</v>
      </c>
      <c r="VS17" t="s">
        <v>2963</v>
      </c>
      <c r="VT17" t="s">
        <v>2051</v>
      </c>
      <c r="VU17">
        <v>3.514594554901123</v>
      </c>
      <c r="VV17">
        <v>509</v>
      </c>
      <c r="VW17" s="3"/>
      <c r="VZ17" t="s">
        <v>2964</v>
      </c>
      <c r="WB17">
        <v>450</v>
      </c>
      <c r="WD17">
        <f t="shared" si="158"/>
        <v>32</v>
      </c>
      <c r="WE17" t="s">
        <v>409</v>
      </c>
      <c r="WF17" t="s">
        <v>2965</v>
      </c>
      <c r="WG17">
        <v>4.6301884651184082</v>
      </c>
      <c r="WH17">
        <v>471</v>
      </c>
      <c r="WI17" s="3"/>
      <c r="WL17" t="s">
        <v>2966</v>
      </c>
      <c r="WN17">
        <v>580</v>
      </c>
      <c r="WP17">
        <f t="shared" si="160"/>
        <v>22</v>
      </c>
      <c r="WQ17" t="s">
        <v>2967</v>
      </c>
      <c r="WR17" t="s">
        <v>2968</v>
      </c>
      <c r="WS17">
        <v>7.8576669692993164</v>
      </c>
      <c r="WT17">
        <v>440</v>
      </c>
      <c r="WU17" s="3"/>
      <c r="WV17">
        <f t="shared" si="161"/>
        <v>6</v>
      </c>
      <c r="WW17" t="s">
        <v>2969</v>
      </c>
      <c r="WX17" t="s">
        <v>1210</v>
      </c>
      <c r="WY17">
        <v>3.8128647804260249</v>
      </c>
      <c r="WZ17">
        <v>582</v>
      </c>
      <c r="XA17" s="2"/>
      <c r="XB17">
        <f t="shared" si="162"/>
        <v>59</v>
      </c>
      <c r="XC17" t="s">
        <v>2970</v>
      </c>
      <c r="XD17" t="s">
        <v>2971</v>
      </c>
      <c r="XE17">
        <v>41.440909147262573</v>
      </c>
      <c r="XF17">
        <v>479</v>
      </c>
      <c r="XG17" s="3"/>
      <c r="XH17">
        <f t="shared" si="163"/>
        <v>60</v>
      </c>
      <c r="XI17" t="s">
        <v>2714</v>
      </c>
      <c r="XJ17" t="s">
        <v>2972</v>
      </c>
      <c r="XK17">
        <v>20.125427484512329</v>
      </c>
      <c r="XL17">
        <v>488</v>
      </c>
      <c r="XM17" s="2"/>
      <c r="XP17" t="s">
        <v>2973</v>
      </c>
      <c r="XR17">
        <v>413</v>
      </c>
      <c r="XX17">
        <v>550</v>
      </c>
      <c r="XZ17">
        <f t="shared" si="166"/>
        <v>30</v>
      </c>
      <c r="YA17" t="s">
        <v>2974</v>
      </c>
      <c r="YB17" t="s">
        <v>2975</v>
      </c>
      <c r="YC17">
        <v>23.688917398452759</v>
      </c>
      <c r="YD17">
        <v>491</v>
      </c>
      <c r="YE17" s="3"/>
      <c r="YF17">
        <f t="shared" si="167"/>
        <v>30</v>
      </c>
      <c r="YG17" t="s">
        <v>2976</v>
      </c>
      <c r="YH17" t="s">
        <v>2977</v>
      </c>
      <c r="YI17">
        <v>95.444719791412354</v>
      </c>
      <c r="YJ17">
        <v>496</v>
      </c>
      <c r="YK17" s="2"/>
      <c r="YX17">
        <f t="shared" si="170"/>
        <v>16</v>
      </c>
      <c r="YY17" t="s">
        <v>2978</v>
      </c>
      <c r="YZ17" t="s">
        <v>2979</v>
      </c>
      <c r="ZA17">
        <v>3.760280847549438</v>
      </c>
      <c r="ZB17">
        <v>565</v>
      </c>
      <c r="ZC17" s="3"/>
      <c r="ZD17">
        <f t="shared" si="171"/>
        <v>13</v>
      </c>
      <c r="ZE17" t="s">
        <v>2038</v>
      </c>
      <c r="ZF17" t="s">
        <v>2641</v>
      </c>
      <c r="ZG17">
        <v>3.5356380939483638</v>
      </c>
      <c r="ZH17">
        <v>550</v>
      </c>
      <c r="ZI17" s="2"/>
      <c r="ZJ17">
        <f t="shared" si="172"/>
        <v>34</v>
      </c>
      <c r="ZK17" t="s">
        <v>1268</v>
      </c>
      <c r="ZL17" t="s">
        <v>2980</v>
      </c>
      <c r="ZM17">
        <v>14.94603872299194</v>
      </c>
      <c r="ZN17">
        <v>535</v>
      </c>
      <c r="ZO17" s="3"/>
      <c r="ZP17">
        <f t="shared" si="173"/>
        <v>15</v>
      </c>
      <c r="ZQ17" t="s">
        <v>473</v>
      </c>
      <c r="ZR17" t="s">
        <v>2981</v>
      </c>
      <c r="ZS17">
        <v>6.3297073841094971</v>
      </c>
      <c r="ZT17">
        <v>440</v>
      </c>
      <c r="ZU17" s="2"/>
      <c r="ZV17">
        <f t="shared" si="174"/>
        <v>18</v>
      </c>
      <c r="ZW17" t="s">
        <v>782</v>
      </c>
      <c r="ZX17" t="s">
        <v>2982</v>
      </c>
      <c r="ZY17">
        <v>41.089902639389038</v>
      </c>
      <c r="ZZ17">
        <v>297</v>
      </c>
      <c r="AAA17" s="3"/>
      <c r="AAB17">
        <f t="shared" si="175"/>
        <v>38</v>
      </c>
      <c r="AAC17" t="s">
        <v>2983</v>
      </c>
      <c r="AAD17" t="s">
        <v>2984</v>
      </c>
      <c r="AAE17">
        <v>8.8370141983032227</v>
      </c>
      <c r="AAF17">
        <v>586</v>
      </c>
      <c r="AAG17" s="2"/>
      <c r="AAH17">
        <f t="shared" si="176"/>
        <v>24</v>
      </c>
      <c r="AAI17" t="s">
        <v>1753</v>
      </c>
      <c r="AAJ17" t="s">
        <v>1753</v>
      </c>
      <c r="AAK17">
        <v>5.0015723705291748</v>
      </c>
      <c r="AAL17">
        <v>467</v>
      </c>
      <c r="AAM17" s="3"/>
      <c r="AAP17" t="s">
        <v>2985</v>
      </c>
      <c r="AAR17">
        <v>467</v>
      </c>
      <c r="ABF17">
        <f t="shared" si="180"/>
        <v>25</v>
      </c>
      <c r="ABG17" t="s">
        <v>2986</v>
      </c>
      <c r="ABH17" t="s">
        <v>2987</v>
      </c>
      <c r="ABI17">
        <v>7.0423598289489746</v>
      </c>
      <c r="ABJ17">
        <v>411</v>
      </c>
      <c r="ABK17" s="6"/>
      <c r="ABL17">
        <f t="shared" si="181"/>
        <v>26</v>
      </c>
      <c r="ABM17" t="s">
        <v>2988</v>
      </c>
      <c r="ABN17" t="s">
        <v>2989</v>
      </c>
      <c r="ABO17">
        <v>29.62867641448975</v>
      </c>
      <c r="ABP17">
        <v>487</v>
      </c>
      <c r="ABQ17" s="2"/>
    </row>
    <row r="18" spans="1:745" x14ac:dyDescent="0.25">
      <c r="A18">
        <v>16</v>
      </c>
      <c r="N18">
        <f t="shared" si="60"/>
        <v>17</v>
      </c>
      <c r="O18" t="s">
        <v>2990</v>
      </c>
      <c r="P18" t="s">
        <v>2991</v>
      </c>
      <c r="Q18">
        <v>9.4221572875976563</v>
      </c>
      <c r="R18">
        <v>453</v>
      </c>
      <c r="S18" s="3"/>
      <c r="T18">
        <f t="shared" si="61"/>
        <v>17</v>
      </c>
      <c r="U18" t="s">
        <v>2992</v>
      </c>
      <c r="V18" t="s">
        <v>2993</v>
      </c>
      <c r="W18">
        <v>10.44708943367004</v>
      </c>
      <c r="X18">
        <v>442</v>
      </c>
      <c r="Y18" s="2"/>
      <c r="Z18">
        <f t="shared" si="62"/>
        <v>0</v>
      </c>
      <c r="AB18" t="s">
        <v>1569</v>
      </c>
      <c r="AC18">
        <v>3.2573175430297852</v>
      </c>
      <c r="AD18">
        <v>431</v>
      </c>
      <c r="AE18" s="3"/>
      <c r="AF18">
        <f t="shared" si="63"/>
        <v>7</v>
      </c>
      <c r="AG18" t="s">
        <v>2012</v>
      </c>
      <c r="AH18" t="s">
        <v>2051</v>
      </c>
      <c r="AI18">
        <v>3.5267550945281978</v>
      </c>
      <c r="AJ18">
        <v>464</v>
      </c>
      <c r="AK18" s="2"/>
      <c r="AL18">
        <f t="shared" si="64"/>
        <v>15</v>
      </c>
      <c r="AM18" t="s">
        <v>2472</v>
      </c>
      <c r="AN18" t="s">
        <v>2472</v>
      </c>
      <c r="AO18">
        <v>3.7282981872558589</v>
      </c>
      <c r="AP18">
        <v>484</v>
      </c>
      <c r="AQ18" s="3"/>
      <c r="AT18" t="s">
        <v>1569</v>
      </c>
      <c r="AV18">
        <v>432</v>
      </c>
      <c r="BJ18">
        <f t="shared" si="68"/>
        <v>7</v>
      </c>
      <c r="BK18" t="s">
        <v>2478</v>
      </c>
      <c r="BL18" t="s">
        <v>2478</v>
      </c>
      <c r="BM18">
        <v>3.2114179134368901</v>
      </c>
      <c r="BN18">
        <v>544</v>
      </c>
      <c r="BO18" s="3"/>
      <c r="BR18" t="s">
        <v>2051</v>
      </c>
      <c r="BT18">
        <v>539</v>
      </c>
      <c r="CJ18" t="s">
        <v>2994</v>
      </c>
      <c r="CL18">
        <v>397</v>
      </c>
      <c r="CR18">
        <v>498</v>
      </c>
      <c r="CT18">
        <f t="shared" si="74"/>
        <v>6</v>
      </c>
      <c r="CU18" t="s">
        <v>2051</v>
      </c>
      <c r="CV18" t="s">
        <v>2909</v>
      </c>
      <c r="CW18">
        <v>3.4192981719970699</v>
      </c>
      <c r="CX18">
        <v>450</v>
      </c>
      <c r="CY18" s="3"/>
      <c r="CZ18">
        <f t="shared" si="75"/>
        <v>7</v>
      </c>
      <c r="DA18" t="s">
        <v>443</v>
      </c>
      <c r="DB18" t="s">
        <v>443</v>
      </c>
      <c r="DC18">
        <v>3.0899820327758789</v>
      </c>
      <c r="DD18">
        <v>563</v>
      </c>
      <c r="DE18" s="2"/>
      <c r="DR18">
        <f t="shared" si="78"/>
        <v>7</v>
      </c>
      <c r="DS18" t="s">
        <v>2038</v>
      </c>
      <c r="DT18" t="s">
        <v>2995</v>
      </c>
      <c r="DU18">
        <v>4.3399014472961426</v>
      </c>
      <c r="DV18">
        <v>510</v>
      </c>
      <c r="DW18" s="3"/>
      <c r="DX18">
        <f t="shared" si="79"/>
        <v>6</v>
      </c>
      <c r="DY18" t="s">
        <v>2996</v>
      </c>
      <c r="DZ18" t="s">
        <v>2564</v>
      </c>
      <c r="EA18">
        <v>3.7296097278594971</v>
      </c>
      <c r="EB18">
        <v>431</v>
      </c>
      <c r="EC18" s="2"/>
      <c r="FB18">
        <f t="shared" si="84"/>
        <v>0</v>
      </c>
      <c r="FD18" t="s">
        <v>1569</v>
      </c>
      <c r="FE18">
        <v>3.390915155410767</v>
      </c>
      <c r="FF18">
        <v>519</v>
      </c>
      <c r="FG18" s="3"/>
      <c r="FH18">
        <f t="shared" si="85"/>
        <v>7</v>
      </c>
      <c r="FI18" t="s">
        <v>443</v>
      </c>
      <c r="FJ18" t="s">
        <v>443</v>
      </c>
      <c r="FK18">
        <v>3.7305974960327148</v>
      </c>
      <c r="FL18">
        <v>388</v>
      </c>
      <c r="FM18" s="2"/>
      <c r="GN18" t="s">
        <v>2997</v>
      </c>
      <c r="GP18">
        <v>497</v>
      </c>
      <c r="GV18">
        <v>448</v>
      </c>
      <c r="HJ18">
        <f t="shared" si="94"/>
        <v>31</v>
      </c>
      <c r="HK18" t="s">
        <v>1052</v>
      </c>
      <c r="HL18" t="s">
        <v>2998</v>
      </c>
      <c r="HM18">
        <v>3.9244754314422612</v>
      </c>
      <c r="HN18">
        <v>450</v>
      </c>
      <c r="HO18" s="3"/>
      <c r="HR18" t="s">
        <v>2999</v>
      </c>
      <c r="HT18">
        <v>418</v>
      </c>
      <c r="IT18">
        <f t="shared" si="100"/>
        <v>0</v>
      </c>
      <c r="IV18" t="s">
        <v>782</v>
      </c>
      <c r="IW18">
        <v>3.3149359226226811</v>
      </c>
      <c r="IX18">
        <v>422</v>
      </c>
      <c r="IY18" s="3"/>
      <c r="IZ18">
        <f t="shared" si="101"/>
        <v>6</v>
      </c>
      <c r="JA18" t="s">
        <v>3000</v>
      </c>
      <c r="JB18" t="s">
        <v>3001</v>
      </c>
      <c r="JC18">
        <v>3.464622020721436</v>
      </c>
      <c r="JD18">
        <v>405</v>
      </c>
      <c r="JE18" s="2"/>
      <c r="JF18">
        <f t="shared" si="102"/>
        <v>17</v>
      </c>
      <c r="JG18" t="s">
        <v>2215</v>
      </c>
      <c r="JH18" t="s">
        <v>3002</v>
      </c>
      <c r="JI18">
        <v>5.6008720397949219</v>
      </c>
      <c r="JJ18">
        <v>460</v>
      </c>
      <c r="JK18" s="3"/>
      <c r="JL18">
        <f t="shared" si="103"/>
        <v>50</v>
      </c>
      <c r="JM18" t="s">
        <v>3003</v>
      </c>
      <c r="JN18" t="s">
        <v>3004</v>
      </c>
      <c r="JO18">
        <v>13.11278629302979</v>
      </c>
      <c r="JP18">
        <v>540</v>
      </c>
      <c r="JQ18" s="2"/>
      <c r="KF18" t="s">
        <v>1569</v>
      </c>
      <c r="KH18">
        <v>516</v>
      </c>
      <c r="KN18">
        <v>671</v>
      </c>
      <c r="KP18">
        <f t="shared" si="108"/>
        <v>16</v>
      </c>
      <c r="KQ18" t="s">
        <v>2034</v>
      </c>
      <c r="KR18" t="s">
        <v>3005</v>
      </c>
      <c r="KS18">
        <v>5.1162393093109131</v>
      </c>
      <c r="KT18">
        <v>493</v>
      </c>
      <c r="KU18" s="3"/>
      <c r="KV18">
        <f t="shared" si="109"/>
        <v>7</v>
      </c>
      <c r="KW18" t="s">
        <v>2065</v>
      </c>
      <c r="KX18" t="s">
        <v>3006</v>
      </c>
      <c r="KY18">
        <v>3.3592722415924068</v>
      </c>
      <c r="KZ18">
        <v>366</v>
      </c>
      <c r="LA18" s="2"/>
      <c r="MZ18" t="s">
        <v>1078</v>
      </c>
      <c r="NB18">
        <v>490</v>
      </c>
      <c r="NH18">
        <v>440</v>
      </c>
      <c r="NJ18">
        <f t="shared" si="120"/>
        <v>20</v>
      </c>
      <c r="NK18" t="s">
        <v>1921</v>
      </c>
      <c r="NL18" t="s">
        <v>1921</v>
      </c>
      <c r="NM18">
        <v>3.62092113494873</v>
      </c>
      <c r="NN18">
        <v>483</v>
      </c>
      <c r="NO18" s="3"/>
      <c r="NR18" t="s">
        <v>1569</v>
      </c>
      <c r="NT18">
        <v>403</v>
      </c>
      <c r="NV18">
        <f t="shared" si="122"/>
        <v>0</v>
      </c>
      <c r="NX18" t="s">
        <v>1569</v>
      </c>
      <c r="NY18">
        <v>3.368963241577148</v>
      </c>
      <c r="NZ18">
        <v>482</v>
      </c>
      <c r="OA18" s="3"/>
      <c r="OB18">
        <f t="shared" si="123"/>
        <v>6</v>
      </c>
      <c r="OC18" t="s">
        <v>2296</v>
      </c>
      <c r="OD18" t="s">
        <v>3007</v>
      </c>
      <c r="OE18">
        <v>3.65948486328125</v>
      </c>
      <c r="OF18">
        <v>442</v>
      </c>
      <c r="OG18" s="2"/>
      <c r="PF18">
        <f t="shared" si="128"/>
        <v>10</v>
      </c>
      <c r="PG18" t="s">
        <v>69</v>
      </c>
      <c r="PH18" t="s">
        <v>1019</v>
      </c>
      <c r="PI18">
        <v>3.4900836944580078</v>
      </c>
      <c r="PJ18">
        <v>544</v>
      </c>
      <c r="PK18" s="3"/>
      <c r="PN18" t="s">
        <v>2909</v>
      </c>
      <c r="PP18">
        <v>469</v>
      </c>
      <c r="QD18">
        <f t="shared" si="132"/>
        <v>5</v>
      </c>
      <c r="QE18" t="s">
        <v>2051</v>
      </c>
      <c r="QF18" t="s">
        <v>3008</v>
      </c>
      <c r="QG18">
        <v>4.0457029342651367</v>
      </c>
      <c r="QH18">
        <v>493</v>
      </c>
      <c r="QI18" s="3"/>
      <c r="QJ18">
        <f t="shared" si="133"/>
        <v>5</v>
      </c>
      <c r="QK18" t="s">
        <v>2051</v>
      </c>
      <c r="QL18" t="s">
        <v>2051</v>
      </c>
      <c r="QM18">
        <v>3.5811614990234379</v>
      </c>
      <c r="QN18">
        <v>512</v>
      </c>
      <c r="QO18" s="4"/>
      <c r="RB18">
        <f t="shared" si="136"/>
        <v>20</v>
      </c>
      <c r="RC18" t="s">
        <v>3009</v>
      </c>
      <c r="RD18" t="s">
        <v>2656</v>
      </c>
      <c r="RE18">
        <v>4.6323575973510742</v>
      </c>
      <c r="RF18">
        <v>552</v>
      </c>
      <c r="RG18" s="3"/>
      <c r="RJ18" t="s">
        <v>3010</v>
      </c>
      <c r="RL18">
        <v>461</v>
      </c>
      <c r="SZ18" t="s">
        <v>1019</v>
      </c>
      <c r="TB18">
        <v>416</v>
      </c>
      <c r="TH18">
        <v>503</v>
      </c>
      <c r="UT18">
        <f t="shared" si="152"/>
        <v>9</v>
      </c>
      <c r="UU18" t="s">
        <v>2296</v>
      </c>
      <c r="UV18" t="s">
        <v>3011</v>
      </c>
      <c r="UW18">
        <v>3.8084180355072021</v>
      </c>
      <c r="UX18">
        <v>664</v>
      </c>
      <c r="UY18" s="3"/>
      <c r="UZ18">
        <f t="shared" si="153"/>
        <v>11</v>
      </c>
      <c r="VA18" t="s">
        <v>1210</v>
      </c>
      <c r="VB18" t="s">
        <v>3012</v>
      </c>
      <c r="VC18">
        <v>4.065091609954834</v>
      </c>
      <c r="VD18">
        <v>500</v>
      </c>
      <c r="VE18" s="2"/>
      <c r="WR18" t="s">
        <v>3013</v>
      </c>
      <c r="WT18">
        <v>437</v>
      </c>
      <c r="WZ18">
        <v>585</v>
      </c>
      <c r="XB18">
        <f t="shared" si="162"/>
        <v>37</v>
      </c>
      <c r="XC18" t="s">
        <v>449</v>
      </c>
      <c r="XD18" t="s">
        <v>3014</v>
      </c>
      <c r="XE18">
        <v>4.7681229114532471</v>
      </c>
      <c r="XF18">
        <v>516</v>
      </c>
      <c r="XG18" s="3"/>
      <c r="XH18">
        <f t="shared" si="163"/>
        <v>12</v>
      </c>
      <c r="XI18" t="s">
        <v>3015</v>
      </c>
      <c r="XJ18" t="s">
        <v>3016</v>
      </c>
      <c r="XK18">
        <v>4.9775559902191162</v>
      </c>
      <c r="XL18">
        <v>500</v>
      </c>
      <c r="XM18" s="2"/>
      <c r="XZ18">
        <f t="shared" si="166"/>
        <v>14</v>
      </c>
      <c r="YA18" t="s">
        <v>3017</v>
      </c>
      <c r="YB18" t="s">
        <v>3018</v>
      </c>
      <c r="YC18">
        <v>4.9792909622192383</v>
      </c>
      <c r="YD18">
        <v>505</v>
      </c>
      <c r="YE18" s="3"/>
      <c r="YF18">
        <f t="shared" si="167"/>
        <v>20</v>
      </c>
      <c r="YG18" t="s">
        <v>3019</v>
      </c>
      <c r="YH18" t="s">
        <v>3020</v>
      </c>
      <c r="YI18">
        <v>3.6150152683258061</v>
      </c>
      <c r="YJ18">
        <v>516</v>
      </c>
      <c r="YK18" s="2"/>
      <c r="YZ18" t="s">
        <v>2051</v>
      </c>
      <c r="ZB18">
        <v>564</v>
      </c>
      <c r="ZH18">
        <v>551</v>
      </c>
      <c r="ZJ18">
        <f t="shared" si="172"/>
        <v>43</v>
      </c>
      <c r="ZK18" t="s">
        <v>3021</v>
      </c>
      <c r="ZL18" t="s">
        <v>3022</v>
      </c>
      <c r="ZM18">
        <v>6.8631658554077148</v>
      </c>
      <c r="ZN18">
        <v>578</v>
      </c>
      <c r="ZO18" s="3"/>
      <c r="ZR18" t="s">
        <v>3023</v>
      </c>
      <c r="ZT18">
        <v>421</v>
      </c>
      <c r="ZV18">
        <f t="shared" si="174"/>
        <v>33</v>
      </c>
      <c r="ZW18" t="s">
        <v>3024</v>
      </c>
      <c r="ZX18" t="s">
        <v>3025</v>
      </c>
      <c r="ZY18">
        <v>48.941928625106812</v>
      </c>
      <c r="ZZ18">
        <v>330</v>
      </c>
      <c r="AAA18" s="3"/>
      <c r="AAB18">
        <f t="shared" si="175"/>
        <v>18</v>
      </c>
      <c r="AAC18" t="s">
        <v>1468</v>
      </c>
      <c r="AAD18" t="s">
        <v>3026</v>
      </c>
      <c r="AAE18">
        <v>10.33992433547974</v>
      </c>
      <c r="AAF18">
        <v>604</v>
      </c>
      <c r="AAG18" s="2"/>
      <c r="ABF18">
        <f t="shared" si="180"/>
        <v>15</v>
      </c>
      <c r="ABG18" t="s">
        <v>3027</v>
      </c>
      <c r="ABH18" t="s">
        <v>3028</v>
      </c>
      <c r="ABI18">
        <v>5.1400651931762704</v>
      </c>
      <c r="ABJ18">
        <v>426</v>
      </c>
      <c r="ABK18" s="6"/>
      <c r="ABL18">
        <f t="shared" si="181"/>
        <v>14</v>
      </c>
      <c r="ABM18" t="s">
        <v>3029</v>
      </c>
      <c r="ABN18" t="s">
        <v>3030</v>
      </c>
      <c r="ABO18">
        <v>7.9169049263000488</v>
      </c>
      <c r="ABP18">
        <v>501</v>
      </c>
      <c r="ABQ18" s="2"/>
    </row>
    <row r="19" spans="1:745" x14ac:dyDescent="0.25">
      <c r="A19">
        <v>17</v>
      </c>
      <c r="N19">
        <f t="shared" si="60"/>
        <v>24</v>
      </c>
      <c r="O19" t="s">
        <v>362</v>
      </c>
      <c r="P19" t="s">
        <v>3031</v>
      </c>
      <c r="Q19">
        <v>9.5175118446350098</v>
      </c>
      <c r="R19">
        <v>477</v>
      </c>
      <c r="S19" s="3"/>
      <c r="T19">
        <f t="shared" si="61"/>
        <v>8</v>
      </c>
      <c r="U19" t="s">
        <v>69</v>
      </c>
      <c r="V19" t="s">
        <v>2626</v>
      </c>
      <c r="W19">
        <v>3.508216381072998</v>
      </c>
      <c r="X19">
        <v>450</v>
      </c>
      <c r="Y19" s="2"/>
      <c r="AB19" t="s">
        <v>1569</v>
      </c>
      <c r="AD19">
        <v>421</v>
      </c>
      <c r="AJ19">
        <v>474</v>
      </c>
      <c r="CV19" t="s">
        <v>2051</v>
      </c>
      <c r="CX19">
        <v>449</v>
      </c>
      <c r="DD19">
        <v>564</v>
      </c>
      <c r="DT19" t="s">
        <v>3032</v>
      </c>
      <c r="DV19">
        <v>508</v>
      </c>
      <c r="EB19">
        <v>433</v>
      </c>
      <c r="FD19" t="s">
        <v>1569</v>
      </c>
      <c r="FF19">
        <v>509</v>
      </c>
      <c r="FL19">
        <v>398</v>
      </c>
      <c r="IT19">
        <f t="shared" si="100"/>
        <v>0</v>
      </c>
      <c r="IV19" t="s">
        <v>782</v>
      </c>
      <c r="IW19">
        <v>3.3420999050140381</v>
      </c>
      <c r="IX19">
        <v>422</v>
      </c>
      <c r="IY19" s="3"/>
      <c r="IZ19">
        <f t="shared" si="101"/>
        <v>0</v>
      </c>
      <c r="JB19" t="s">
        <v>1569</v>
      </c>
      <c r="JC19">
        <v>3.3123683929443359</v>
      </c>
      <c r="JD19">
        <v>405</v>
      </c>
      <c r="JE19" s="2"/>
      <c r="JF19">
        <f t="shared" si="102"/>
        <v>11</v>
      </c>
      <c r="JG19" t="s">
        <v>3033</v>
      </c>
      <c r="JH19" t="s">
        <v>3034</v>
      </c>
      <c r="JI19">
        <v>5.2057440280914307</v>
      </c>
      <c r="JJ19">
        <v>471</v>
      </c>
      <c r="JK19" s="3"/>
      <c r="JL19">
        <f t="shared" si="103"/>
        <v>13</v>
      </c>
      <c r="JM19" t="s">
        <v>2198</v>
      </c>
      <c r="JN19" t="s">
        <v>3035</v>
      </c>
      <c r="JO19">
        <v>3.8666889667510991</v>
      </c>
      <c r="JP19">
        <v>553</v>
      </c>
      <c r="JQ19" s="2"/>
      <c r="KR19" t="s">
        <v>2051</v>
      </c>
      <c r="KT19">
        <v>492</v>
      </c>
      <c r="KZ19">
        <v>367</v>
      </c>
      <c r="NV19">
        <f t="shared" si="122"/>
        <v>0</v>
      </c>
      <c r="NX19" t="s">
        <v>1569</v>
      </c>
      <c r="NY19">
        <v>3.3254740238189702</v>
      </c>
      <c r="NZ19">
        <v>482</v>
      </c>
      <c r="OA19" s="3"/>
      <c r="OB19">
        <f t="shared" si="123"/>
        <v>0</v>
      </c>
      <c r="OD19" t="s">
        <v>2104</v>
      </c>
      <c r="OE19">
        <v>3.0199236869812012</v>
      </c>
      <c r="OF19">
        <v>442</v>
      </c>
      <c r="OG19" s="2"/>
      <c r="QF19" t="s">
        <v>2478</v>
      </c>
      <c r="QH19">
        <v>491</v>
      </c>
      <c r="QN19">
        <v>514</v>
      </c>
      <c r="QO19" s="4"/>
      <c r="UT19">
        <f t="shared" si="152"/>
        <v>10</v>
      </c>
      <c r="UU19" t="s">
        <v>2478</v>
      </c>
      <c r="UV19" t="s">
        <v>2478</v>
      </c>
      <c r="UW19">
        <v>3.5640487670898442</v>
      </c>
      <c r="UX19">
        <v>674</v>
      </c>
      <c r="UY19" s="3"/>
      <c r="VB19" t="s">
        <v>2051</v>
      </c>
      <c r="VD19">
        <v>499</v>
      </c>
      <c r="XB19">
        <f t="shared" si="162"/>
        <v>11</v>
      </c>
      <c r="XC19" t="s">
        <v>1547</v>
      </c>
      <c r="XD19" t="s">
        <v>443</v>
      </c>
      <c r="XE19">
        <v>3.7193839550018311</v>
      </c>
      <c r="XF19">
        <v>527</v>
      </c>
      <c r="XG19" s="3"/>
      <c r="XJ19" t="s">
        <v>3036</v>
      </c>
      <c r="XL19">
        <v>496</v>
      </c>
      <c r="XZ19">
        <f t="shared" si="166"/>
        <v>19</v>
      </c>
      <c r="YA19" t="s">
        <v>786</v>
      </c>
      <c r="YB19" t="s">
        <v>1019</v>
      </c>
      <c r="YC19">
        <v>3.5446267127990718</v>
      </c>
      <c r="YD19">
        <v>524</v>
      </c>
      <c r="YE19" s="3"/>
      <c r="YH19" t="s">
        <v>1569</v>
      </c>
      <c r="YJ19">
        <v>506</v>
      </c>
      <c r="ZV19">
        <f t="shared" si="174"/>
        <v>32</v>
      </c>
      <c r="ZW19" t="s">
        <v>2261</v>
      </c>
      <c r="ZX19" t="s">
        <v>3037</v>
      </c>
      <c r="ZY19">
        <v>7.9900233745574951</v>
      </c>
      <c r="ZZ19">
        <v>362</v>
      </c>
      <c r="AAA19" s="3"/>
      <c r="AAD19" t="s">
        <v>3001</v>
      </c>
      <c r="AAF19">
        <v>593</v>
      </c>
      <c r="ABF19">
        <f t="shared" si="180"/>
        <v>13</v>
      </c>
      <c r="ABG19" t="s">
        <v>2238</v>
      </c>
      <c r="ABH19" t="s">
        <v>3038</v>
      </c>
      <c r="ABI19">
        <v>3.9331486225128169</v>
      </c>
      <c r="ABJ19">
        <v>439</v>
      </c>
      <c r="ABK19" s="6"/>
      <c r="ABL19">
        <f t="shared" si="181"/>
        <v>11</v>
      </c>
      <c r="ABM19" t="s">
        <v>3039</v>
      </c>
      <c r="ABN19" t="s">
        <v>3040</v>
      </c>
      <c r="ABO19">
        <v>5.1199429035186768</v>
      </c>
      <c r="ABP19">
        <v>512</v>
      </c>
      <c r="ABQ19" s="2"/>
    </row>
    <row r="20" spans="1:745" x14ac:dyDescent="0.25">
      <c r="A20">
        <v>18</v>
      </c>
      <c r="N20">
        <f t="shared" si="60"/>
        <v>8</v>
      </c>
      <c r="O20" t="s">
        <v>2065</v>
      </c>
      <c r="P20" t="s">
        <v>3041</v>
      </c>
      <c r="Q20">
        <v>5.5692434310913086</v>
      </c>
      <c r="R20">
        <v>485</v>
      </c>
      <c r="S20" s="3"/>
      <c r="T20">
        <f t="shared" si="61"/>
        <v>0</v>
      </c>
      <c r="V20" t="s">
        <v>1569</v>
      </c>
      <c r="W20">
        <v>3.2811686992645259</v>
      </c>
      <c r="X20">
        <v>450</v>
      </c>
      <c r="Y20" s="2"/>
      <c r="IT20">
        <f t="shared" si="100"/>
        <v>-8</v>
      </c>
      <c r="IV20" t="s">
        <v>782</v>
      </c>
      <c r="IW20">
        <v>3.3469386100769039</v>
      </c>
      <c r="IX20">
        <v>414</v>
      </c>
      <c r="IY20" s="3"/>
      <c r="JB20" t="s">
        <v>1569</v>
      </c>
      <c r="JD20">
        <v>395</v>
      </c>
      <c r="JF20">
        <f t="shared" si="102"/>
        <v>13</v>
      </c>
      <c r="JG20" t="s">
        <v>3042</v>
      </c>
      <c r="JH20" t="s">
        <v>3043</v>
      </c>
      <c r="JI20">
        <v>3.939563512802124</v>
      </c>
      <c r="JJ20">
        <v>484</v>
      </c>
      <c r="JK20" s="3"/>
      <c r="JL20">
        <f t="shared" si="103"/>
        <v>0</v>
      </c>
      <c r="JN20" t="s">
        <v>2472</v>
      </c>
      <c r="JO20">
        <v>3.732383012771606</v>
      </c>
      <c r="JP20">
        <v>553</v>
      </c>
      <c r="JQ20" s="2"/>
      <c r="NV20">
        <f t="shared" si="122"/>
        <v>-10</v>
      </c>
      <c r="NX20" t="s">
        <v>1569</v>
      </c>
      <c r="NY20">
        <v>2.853178977966309</v>
      </c>
      <c r="NZ20">
        <v>472</v>
      </c>
      <c r="OA20" s="3"/>
      <c r="OD20" t="s">
        <v>2104</v>
      </c>
      <c r="OF20">
        <v>439</v>
      </c>
      <c r="ABF20">
        <f t="shared" si="180"/>
        <v>7</v>
      </c>
      <c r="ABG20" t="s">
        <v>773</v>
      </c>
      <c r="ABH20" t="s">
        <v>2790</v>
      </c>
      <c r="ABI20">
        <v>3.40510106086731</v>
      </c>
      <c r="ABJ20">
        <v>446</v>
      </c>
      <c r="ABK20" s="6"/>
      <c r="ABL20">
        <f t="shared" si="181"/>
        <v>9</v>
      </c>
      <c r="ABM20" t="s">
        <v>3044</v>
      </c>
      <c r="ABN20" t="s">
        <v>3045</v>
      </c>
      <c r="ABO20">
        <v>4.0679514408111572</v>
      </c>
      <c r="ABP20">
        <v>521</v>
      </c>
      <c r="ABQ20" s="2"/>
    </row>
    <row r="21" spans="1:745" x14ac:dyDescent="0.25">
      <c r="A21">
        <v>19</v>
      </c>
      <c r="N21">
        <f t="shared" si="60"/>
        <v>6</v>
      </c>
      <c r="O21" t="s">
        <v>3046</v>
      </c>
      <c r="P21" t="s">
        <v>3047</v>
      </c>
      <c r="Q21">
        <v>4.3541989326477051</v>
      </c>
      <c r="R21">
        <v>491</v>
      </c>
      <c r="S21" s="3"/>
      <c r="T21">
        <f t="shared" si="61"/>
        <v>0</v>
      </c>
      <c r="V21" t="s">
        <v>1569</v>
      </c>
      <c r="W21">
        <v>3.3254866600036621</v>
      </c>
      <c r="X21">
        <v>450</v>
      </c>
      <c r="Y21" s="2"/>
      <c r="IV21" t="s">
        <v>782</v>
      </c>
      <c r="JF21">
        <f t="shared" si="102"/>
        <v>9</v>
      </c>
      <c r="JG21" t="s">
        <v>3048</v>
      </c>
      <c r="JH21" t="s">
        <v>3049</v>
      </c>
      <c r="JI21">
        <v>3.9422600269317631</v>
      </c>
      <c r="JJ21">
        <v>493</v>
      </c>
      <c r="JK21" s="3"/>
      <c r="JL21">
        <f t="shared" si="103"/>
        <v>0</v>
      </c>
      <c r="JN21" t="s">
        <v>2472</v>
      </c>
      <c r="JO21">
        <v>3.7451925277709961</v>
      </c>
      <c r="JP21">
        <v>553</v>
      </c>
      <c r="JQ21" s="2"/>
      <c r="NX21" t="s">
        <v>1569</v>
      </c>
      <c r="ABH21" t="s">
        <v>2909</v>
      </c>
      <c r="ABJ21">
        <v>444</v>
      </c>
      <c r="ABP21">
        <v>523</v>
      </c>
    </row>
    <row r="22" spans="1:745" x14ac:dyDescent="0.25">
      <c r="A22">
        <v>20</v>
      </c>
      <c r="N22">
        <f t="shared" si="60"/>
        <v>14</v>
      </c>
      <c r="O22" t="s">
        <v>69</v>
      </c>
      <c r="P22" t="s">
        <v>2051</v>
      </c>
      <c r="Q22">
        <v>3.3999812602996831</v>
      </c>
      <c r="R22">
        <v>505</v>
      </c>
      <c r="S22" s="3"/>
      <c r="V22" t="s">
        <v>1569</v>
      </c>
      <c r="X22">
        <v>440</v>
      </c>
      <c r="JF22">
        <f t="shared" si="102"/>
        <v>4</v>
      </c>
      <c r="JG22" t="s">
        <v>69</v>
      </c>
      <c r="JH22" t="s">
        <v>3050</v>
      </c>
      <c r="JI22">
        <v>3.875004768371582</v>
      </c>
      <c r="JJ22">
        <v>497</v>
      </c>
      <c r="JK22" s="3"/>
      <c r="JL22">
        <f t="shared" si="103"/>
        <v>0</v>
      </c>
      <c r="JN22" t="s">
        <v>2472</v>
      </c>
      <c r="JO22">
        <v>3.7224223613739009</v>
      </c>
      <c r="JP22">
        <v>553</v>
      </c>
      <c r="JQ22" s="2"/>
    </row>
    <row r="23" spans="1:745" x14ac:dyDescent="0.25">
      <c r="JF23">
        <f t="shared" si="102"/>
        <v>0</v>
      </c>
      <c r="JH23" t="s">
        <v>3051</v>
      </c>
      <c r="JI23">
        <v>3.2799477577209468</v>
      </c>
      <c r="JJ23">
        <v>497</v>
      </c>
      <c r="JK23" s="3"/>
      <c r="JL23">
        <f t="shared" si="103"/>
        <v>0</v>
      </c>
      <c r="JN23" t="s">
        <v>2472</v>
      </c>
      <c r="JO23">
        <v>3.7716295719146729</v>
      </c>
      <c r="JP23">
        <v>553</v>
      </c>
      <c r="JQ23" s="2"/>
    </row>
    <row r="24" spans="1:745" x14ac:dyDescent="0.25">
      <c r="JH24" t="s">
        <v>3051</v>
      </c>
      <c r="JJ24">
        <v>479</v>
      </c>
      <c r="JN24" t="s">
        <v>2472</v>
      </c>
      <c r="JP24">
        <v>549</v>
      </c>
    </row>
    <row r="27" spans="1:745" s="5" customFormat="1" x14ac:dyDescent="0.25">
      <c r="D27" s="5" t="str" cm="1">
        <f t="array" ref="D27">IF(INDEX(F:F,MAX(_xlfn._xlws.FILTER(ROW(F:F),F:F&lt;&gt;""))) &gt; INDEX(L:L,MAX(_xlfn._xlws.FILTER(ROW(L:L),L:L&lt;&gt;""))), F1, L1
)</f>
        <v>Greedy</v>
      </c>
      <c r="E27">
        <f>SUM(E2:E26)</f>
        <v>305.86594700813293</v>
      </c>
      <c r="F27" s="5" cm="1">
        <f t="array" ref="F27">INDEX(F1:F26,MAX(_xlfn._xlws.FILTER(ROW(F1:F26),F1:F26&lt;&gt;"")))</f>
        <v>470</v>
      </c>
      <c r="G27" s="5">
        <f>IF(D27="Chance",L27-F27,F27-L27)</f>
        <v>-19</v>
      </c>
      <c r="K27" s="10">
        <f>SUM(K2:K26)</f>
        <v>434.04863047599792</v>
      </c>
      <c r="L27" s="11" cm="1">
        <f t="array" ref="L27">INDEX(L1:L26,MAX(_xlfn._xlws.FILTER(ROW(L1:L26),L1:L26&lt;&gt;"")))</f>
        <v>489</v>
      </c>
      <c r="P27" s="5" t="str" cm="1">
        <f t="array" ref="P27">IF(INDEX(R:R,MAX(_xlfn._xlws.FILTER(ROW(R:R),R:R&lt;&gt;""))) &gt; INDEX(X:X,MAX(_xlfn._xlws.FILTER(ROW(X:X),X:X&lt;&gt;""))), R1, X1
)</f>
        <v>Greedy</v>
      </c>
      <c r="Q27">
        <f t="shared" ref="Q27" si="182">SUM(Q2:Q26)</f>
        <v>252.5233302116394</v>
      </c>
      <c r="R27" s="5" cm="1">
        <f t="array" ref="R27">INDEX(R1:R26,MAX(_xlfn._xlws.FILTER(ROW(R1:R26),R1:R26&lt;&gt;"")))</f>
        <v>505</v>
      </c>
      <c r="S27" s="5">
        <f>IF(P27="Chance",X27-R27,R27-X27)</f>
        <v>65</v>
      </c>
      <c r="W27">
        <f t="shared" ref="W27" si="183">SUM(W2:W26)</f>
        <v>429.96991205215454</v>
      </c>
      <c r="X27" s="5" cm="1">
        <f t="array" ref="X27">INDEX(X1:X26,MAX(_xlfn._xlws.FILTER(ROW(X1:X26),X1:X26&lt;&gt;"")))</f>
        <v>440</v>
      </c>
      <c r="AB27" s="5" t="str" cm="1">
        <f t="array" ref="AB27">IF(INDEX(AD:AD,MAX(_xlfn._xlws.FILTER(ROW(AD:AD),AD:AD&lt;&gt;""))) &gt; INDEX(AJ:AJ,MAX(_xlfn._xlws.FILTER(ROW(AJ:AJ),AJ:AJ&lt;&gt;""))), AD1, AJ1
)</f>
        <v>Chance</v>
      </c>
      <c r="AC27">
        <f t="shared" ref="AC27" si="184">SUM(AC2:AC26)</f>
        <v>238.12623333930969</v>
      </c>
      <c r="AD27" s="5" cm="1">
        <f t="array" ref="AD27">INDEX(AD1:AD26,MAX(_xlfn._xlws.FILTER(ROW(AD1:AD26),AD1:AD26&lt;&gt;"")))</f>
        <v>421</v>
      </c>
      <c r="AE27" s="5">
        <f>IF(AB27="Chance",AJ27-AD27,AD27-AJ27)</f>
        <v>53</v>
      </c>
      <c r="AI27">
        <f t="shared" ref="AI27" si="185">SUM(AI2:AI26)</f>
        <v>548.03095674514771</v>
      </c>
      <c r="AJ27" s="5" cm="1">
        <f t="array" ref="AJ27">INDEX(AJ1:AJ26,MAX(_xlfn._xlws.FILTER(ROW(AJ1:AJ26),AJ1:AJ26&lt;&gt;"")))</f>
        <v>474</v>
      </c>
      <c r="AN27" s="5" t="str" cm="1">
        <f t="array" ref="AN27">IF(INDEX(AP:AP,MAX(_xlfn._xlws.FILTER(ROW(AP:AP),AP:AP&lt;&gt;""))) &gt; INDEX(AV:AV,MAX(_xlfn._xlws.FILTER(ROW(AV:AV),AV:AV&lt;&gt;""))), AP1, AV1
)</f>
        <v>Greedy</v>
      </c>
      <c r="AO27">
        <f t="shared" ref="AO27" si="186">SUM(AO2:AO26)</f>
        <v>249.69312930107117</v>
      </c>
      <c r="AP27" s="5" cm="1">
        <f t="array" ref="AP27">INDEX(AP1:AP26,MAX(_xlfn._xlws.FILTER(ROW(AP1:AP26),AP1:AP26&lt;&gt;"")))</f>
        <v>484</v>
      </c>
      <c r="AQ27" s="5">
        <f>IF(AN27="Chance",AV27-AP27,AP27-AV27)</f>
        <v>52</v>
      </c>
      <c r="AU27">
        <f t="shared" ref="AU27" si="187">SUM(AU2:AU26)</f>
        <v>545.69940567016602</v>
      </c>
      <c r="AV27" s="5" cm="1">
        <f t="array" ref="AV27">INDEX(AV1:AV26,MAX(_xlfn._xlws.FILTER(ROW(AV1:AV26),AV1:AV26&lt;&gt;"")))</f>
        <v>432</v>
      </c>
      <c r="AZ27" s="5" t="str" cm="1">
        <f t="array" ref="AZ27">IF(INDEX(BB:BB,MAX(_xlfn._xlws.FILTER(ROW(BB:BB),BB:BB&lt;&gt;""))) &gt; INDEX(BH:BH,MAX(_xlfn._xlws.FILTER(ROW(BH:BH),BH:BH&lt;&gt;""))), BB1, BH1
)</f>
        <v>Chance</v>
      </c>
      <c r="BA27">
        <f t="shared" ref="BA27" si="188">SUM(BA2:BA26)</f>
        <v>120.02465343475342</v>
      </c>
      <c r="BB27" s="5" cm="1">
        <f t="array" ref="BB27">INDEX(BB1:BB26,MAX(_xlfn._xlws.FILTER(ROW(BB1:BB26),BB1:BB26&lt;&gt;"")))</f>
        <v>366</v>
      </c>
      <c r="BC27" s="5">
        <f>IF(AZ27="Chance",BH27-BB27,BB27-BH27)</f>
        <v>145</v>
      </c>
      <c r="BG27">
        <f t="shared" ref="BG27" si="189">SUM(BG2:BG26)</f>
        <v>2101.3483860492706</v>
      </c>
      <c r="BH27" s="5" cm="1">
        <f t="array" ref="BH27">INDEX(BH1:BH26,MAX(_xlfn._xlws.FILTER(ROW(BH1:BH26),BH1:BH26&lt;&gt;"")))</f>
        <v>511</v>
      </c>
      <c r="BL27" s="5" t="str" cm="1">
        <f t="array" ref="BL27">IF(INDEX(BN:BN,MAX(_xlfn._xlws.FILTER(ROW(BN:BN),BN:BN&lt;&gt;""))) &gt; INDEX(BT:BT,MAX(_xlfn._xlws.FILTER(ROW(BT:BT),BT:BT&lt;&gt;""))), BN1, BT1
)</f>
        <v>Greedy</v>
      </c>
      <c r="BM27">
        <f t="shared" ref="BM27" si="190">SUM(BM2:BM26)</f>
        <v>211.19202876091003</v>
      </c>
      <c r="BN27" s="5" cm="1">
        <f t="array" ref="BN27">INDEX(BN1:BN26,MAX(_xlfn._xlws.FILTER(ROW(BN1:BN26),BN1:BN26&lt;&gt;"")))</f>
        <v>544</v>
      </c>
      <c r="BO27" s="5">
        <f>IF(BL27="Chance",BT27-BN27,BN27-BT27)</f>
        <v>5</v>
      </c>
      <c r="BS27">
        <f t="shared" ref="BS27" si="191">SUM(BS2:BS26)</f>
        <v>1242.1014542579651</v>
      </c>
      <c r="BT27" s="5" cm="1">
        <f t="array" ref="BT27">INDEX(BT1:BT26,MAX(_xlfn._xlws.FILTER(ROW(BT1:BT26),BT1:BT26&lt;&gt;"")))</f>
        <v>539</v>
      </c>
      <c r="BX27" s="5" t="str" cm="1">
        <f t="array" ref="BX27">IF(INDEX(BZ:BZ,MAX(_xlfn._xlws.FILTER(ROW(BZ:BZ),BZ:BZ&lt;&gt;""))) &gt; INDEX(CF:CF,MAX(_xlfn._xlws.FILTER(ROW(CF:CF),CF:CF&lt;&gt;""))), BZ1, CF1
)</f>
        <v>Chance</v>
      </c>
      <c r="BY27">
        <f t="shared" ref="BY27" si="192">SUM(BY2:BY26)</f>
        <v>319.0665283203125</v>
      </c>
      <c r="BZ27" s="5" cm="1">
        <f t="array" ref="BZ27">INDEX(BZ1:BZ26,MAX(_xlfn._xlws.FILTER(ROW(BZ1:BZ26),BZ1:BZ26&lt;&gt;"")))</f>
        <v>475</v>
      </c>
      <c r="CA27" s="5">
        <f>IF(BX27="Chance",CF27-BZ27,BZ27-CF27)</f>
        <v>44</v>
      </c>
      <c r="CE27">
        <f t="shared" ref="CE27" si="193">SUM(CE2:CE26)</f>
        <v>639.37719488143921</v>
      </c>
      <c r="CF27" s="5" cm="1">
        <f t="array" ref="CF27">INDEX(CF1:CF26,MAX(_xlfn._xlws.FILTER(ROW(CF1:CF26),CF1:CF26&lt;&gt;"")))</f>
        <v>519</v>
      </c>
      <c r="CJ27" s="5" t="str" cm="1">
        <f t="array" ref="CJ27">IF(INDEX(CL:CL,MAX(_xlfn._xlws.FILTER(ROW(CL:CL),CL:CL&lt;&gt;""))) &gt; INDEX(CR:CR,MAX(_xlfn._xlws.FILTER(ROW(CR:CR),CR:CR&lt;&gt;""))), CL1, CR1
)</f>
        <v>Chance</v>
      </c>
      <c r="CK27">
        <f t="shared" ref="CK27" si="194">SUM(CK2:CK26)</f>
        <v>219.79092645645142</v>
      </c>
      <c r="CL27" s="5" cm="1">
        <f t="array" ref="CL27">INDEX(CL1:CL26,MAX(_xlfn._xlws.FILTER(ROW(CL1:CL26),CL1:CL26&lt;&gt;"")))</f>
        <v>397</v>
      </c>
      <c r="CM27" s="5">
        <f>IF(CJ27="Chance",CR27-CL27,CL27-CR27)</f>
        <v>101</v>
      </c>
      <c r="CQ27">
        <f t="shared" ref="CQ27" si="195">SUM(CQ2:CQ26)</f>
        <v>845.67174434661865</v>
      </c>
      <c r="CR27" s="5" cm="1">
        <f t="array" ref="CR27">INDEX(CR1:CR26,MAX(_xlfn._xlws.FILTER(ROW(CR1:CR26),CR1:CR26&lt;&gt;"")))</f>
        <v>498</v>
      </c>
      <c r="CV27" s="5" t="str" cm="1">
        <f t="array" ref="CV27">IF(INDEX(CX:CX,MAX(_xlfn._xlws.FILTER(ROW(CX:CX),CX:CX&lt;&gt;""))) &gt; INDEX(DD:DD,MAX(_xlfn._xlws.FILTER(ROW(DD:DD),DD:DD&lt;&gt;""))), CX1, DD1
)</f>
        <v>Chance</v>
      </c>
      <c r="CW27">
        <f t="shared" ref="CW27" si="196">SUM(CW2:CW26)</f>
        <v>223.68713879585266</v>
      </c>
      <c r="CX27" s="5" cm="1">
        <f t="array" ref="CX27">INDEX(CX1:CX26,MAX(_xlfn._xlws.FILTER(ROW(CX1:CX26),CX1:CX26&lt;&gt;"")))</f>
        <v>449</v>
      </c>
      <c r="CY27" s="5">
        <f>IF(CV27="Chance",DD27-CX27,CX27-DD27)</f>
        <v>115</v>
      </c>
      <c r="DC27">
        <f t="shared" ref="DC27" si="197">SUM(DC2:DC26)</f>
        <v>686.1428701877594</v>
      </c>
      <c r="DD27" s="5" cm="1">
        <f t="array" ref="DD27">INDEX(DD1:DD26,MAX(_xlfn._xlws.FILTER(ROW(DD1:DD26),DD1:DD26&lt;&gt;"")))</f>
        <v>564</v>
      </c>
      <c r="DH27" s="5" t="str" cm="1">
        <f t="array" ref="DH27">IF(INDEX(DJ:DJ,MAX(_xlfn._xlws.FILTER(ROW(DJ:DJ),DJ:DJ&lt;&gt;""))) &gt; INDEX(DP:DP,MAX(_xlfn._xlws.FILTER(ROW(DP:DP),DP:DP&lt;&gt;""))), DJ1, DP1
)</f>
        <v>Greedy</v>
      </c>
      <c r="DI27">
        <f t="shared" ref="DI27" si="198">SUM(DI2:DI26)</f>
        <v>271.68266677856445</v>
      </c>
      <c r="DJ27" s="5" cm="1">
        <f t="array" ref="DJ27">INDEX(DJ1:DJ26,MAX(_xlfn._xlws.FILTER(ROW(DJ1:DJ26),DJ1:DJ26&lt;&gt;"")))</f>
        <v>486</v>
      </c>
      <c r="DK27" s="5">
        <f>IF(DH27="Chance",DP27-DJ27,DJ27-DP27)</f>
        <v>11</v>
      </c>
      <c r="DO27">
        <f t="shared" ref="DO27" si="199">SUM(DO2:DO26)</f>
        <v>796.47959947586071</v>
      </c>
      <c r="DP27" s="5" cm="1">
        <f t="array" ref="DP27">INDEX(DP1:DP26,MAX(_xlfn._xlws.FILTER(ROW(DP1:DP26),DP1:DP26&lt;&gt;"")))</f>
        <v>475</v>
      </c>
      <c r="DT27" s="5" t="str" cm="1">
        <f t="array" ref="DT27">IF(INDEX(DV:DV,MAX(_xlfn._xlws.FILTER(ROW(DV:DV),DV:DV&lt;&gt;""))) &gt; INDEX(EB:EB,MAX(_xlfn._xlws.FILTER(ROW(EB:EB),EB:EB&lt;&gt;""))), DV1, EB1
)</f>
        <v>Greedy</v>
      </c>
      <c r="DU27">
        <f t="shared" ref="DU27" si="200">SUM(DU2:DU26)</f>
        <v>240.7460618019104</v>
      </c>
      <c r="DV27" s="5" cm="1">
        <f t="array" ref="DV27">INDEX(DV1:DV26,MAX(_xlfn._xlws.FILTER(ROW(DV1:DV26),DV1:DV26&lt;&gt;"")))</f>
        <v>508</v>
      </c>
      <c r="DW27" s="5">
        <f>IF(DT27="Chance",EB27-DV27,DV27-EB27)</f>
        <v>75</v>
      </c>
      <c r="EA27">
        <f t="shared" ref="EA27" si="201">SUM(EA2:EA26)</f>
        <v>647.14968609809875</v>
      </c>
      <c r="EB27" s="5" cm="1">
        <f t="array" ref="EB27">INDEX(EB1:EB26,MAX(_xlfn._xlws.FILTER(ROW(EB1:EB26),EB1:EB26&lt;&gt;"")))</f>
        <v>433</v>
      </c>
      <c r="EF27" s="5" t="str" cm="1">
        <f t="array" ref="EF27">IF(INDEX(EH:EH,MAX(_xlfn._xlws.FILTER(ROW(EH:EH),EH:EH&lt;&gt;""))) &gt; INDEX(EN:EN,MAX(_xlfn._xlws.FILTER(ROW(EN:EN),EN:EN&lt;&gt;""))), EH1, EN1
)</f>
        <v>Chance</v>
      </c>
      <c r="EG27">
        <f t="shared" ref="EG27" si="202">SUM(EG2:EG26)</f>
        <v>225.44798231124878</v>
      </c>
      <c r="EH27" s="5" cm="1">
        <f t="array" ref="EH27">INDEX(EH1:EH26,MAX(_xlfn._xlws.FILTER(ROW(EH1:EH26),EH1:EH26&lt;&gt;"")))</f>
        <v>495</v>
      </c>
      <c r="EI27" s="5">
        <f>IF(EF27="Chance",EN27-EH27,EH27-EN27)</f>
        <v>45</v>
      </c>
      <c r="EM27">
        <f t="shared" ref="EM27" si="203">SUM(EM2:EM26)</f>
        <v>611.28761625289917</v>
      </c>
      <c r="EN27" s="5" cm="1">
        <f t="array" ref="EN27">INDEX(EN1:EN26,MAX(_xlfn._xlws.FILTER(ROW(EN1:EN26),EN1:EN26&lt;&gt;"")))</f>
        <v>540</v>
      </c>
      <c r="ER27" s="5" t="str" cm="1">
        <f t="array" ref="ER27">IF(INDEX(ET:ET,MAX(_xlfn._xlws.FILTER(ROW(ET:ET),ET:ET&lt;&gt;""))) &gt; INDEX(EZ:EZ,MAX(_xlfn._xlws.FILTER(ROW(EZ:EZ),EZ:EZ&lt;&gt;""))), ET1, EZ1
)</f>
        <v>Greedy</v>
      </c>
      <c r="ES27">
        <f t="shared" ref="ES27" si="204">SUM(ES2:ES26)</f>
        <v>291.7653648853302</v>
      </c>
      <c r="ET27" s="5" cm="1">
        <f t="array" ref="ET27">INDEX(ET1:ET26,MAX(_xlfn._xlws.FILTER(ROW(ET1:ET26),ET1:ET26&lt;&gt;"")))</f>
        <v>535</v>
      </c>
      <c r="EU27" s="5">
        <f>IF(ER27="Chance",EZ27-ET27,ET27-EZ27)</f>
        <v>94</v>
      </c>
      <c r="EY27">
        <f t="shared" ref="EY27" si="205">SUM(EY2:EY26)</f>
        <v>384.23102068901062</v>
      </c>
      <c r="EZ27" s="5" cm="1">
        <f t="array" ref="EZ27">INDEX(EZ1:EZ26,MAX(_xlfn._xlws.FILTER(ROW(EZ1:EZ26),EZ1:EZ26&lt;&gt;"")))</f>
        <v>441</v>
      </c>
      <c r="FD27" s="5" t="str" cm="1">
        <f t="array" ref="FD27">IF(INDEX(FF:FF,MAX(_xlfn._xlws.FILTER(ROW(FF:FF),FF:FF&lt;&gt;""))) &gt; INDEX(FL:FL,MAX(_xlfn._xlws.FILTER(ROW(FL:FL),FL:FL&lt;&gt;""))), FF1, FL1
)</f>
        <v>Greedy</v>
      </c>
      <c r="FE27">
        <f t="shared" ref="FE27" si="206">SUM(FE2:FE26)</f>
        <v>322.14582109451294</v>
      </c>
      <c r="FF27" s="5" cm="1">
        <f t="array" ref="FF27">INDEX(FF1:FF26,MAX(_xlfn._xlws.FILTER(ROW(FF1:FF26),FF1:FF26&lt;&gt;"")))</f>
        <v>509</v>
      </c>
      <c r="FG27" s="5">
        <f>IF(FD27="Chance",FL27-FF27,FF27-FL27)</f>
        <v>111</v>
      </c>
      <c r="FK27">
        <f t="shared" ref="FK27" si="207">SUM(FK2:FK26)</f>
        <v>432.36959838867188</v>
      </c>
      <c r="FL27" s="5" cm="1">
        <f t="array" ref="FL27">INDEX(FL1:FL26,MAX(_xlfn._xlws.FILTER(ROW(FL1:FL26),FL1:FL26&lt;&gt;"")))</f>
        <v>398</v>
      </c>
      <c r="FP27" s="5" t="str" cm="1">
        <f t="array" ref="FP27">IF(INDEX(FR:FR,MAX(_xlfn._xlws.FILTER(ROW(FR:FR),FR:FR&lt;&gt;""))) &gt; INDEX(FX:FX,MAX(_xlfn._xlws.FILTER(ROW(FX:FX),FX:FX&lt;&gt;""))), FR1, FX1
)</f>
        <v>Chance</v>
      </c>
      <c r="FQ27">
        <f t="shared" ref="FQ27" si="208">SUM(FQ2:FQ26)</f>
        <v>356.06994533538824</v>
      </c>
      <c r="FR27" s="5" cm="1">
        <f t="array" ref="FR27">INDEX(FR1:FR26,MAX(_xlfn._xlws.FILTER(ROW(FR1:FR26),FR1:FR26&lt;&gt;"")))</f>
        <v>452</v>
      </c>
      <c r="FS27" s="5">
        <f>IF(FP27="Chance",FX27-FR27,FR27-FX27)</f>
        <v>22</v>
      </c>
      <c r="FW27">
        <f t="shared" ref="FW27" si="209">SUM(FW2:FW26)</f>
        <v>352.87742066383362</v>
      </c>
      <c r="FX27" s="5" cm="1">
        <f t="array" ref="FX27">INDEX(FX1:FX26,MAX(_xlfn._xlws.FILTER(ROW(FX1:FX26),FX1:FX26&lt;&gt;"")))</f>
        <v>474</v>
      </c>
      <c r="GB27" s="5" t="str" cm="1">
        <f t="array" ref="GB27">IF(INDEX(GD:GD,MAX(_xlfn._xlws.FILTER(ROW(GD:GD),GD:GD&lt;&gt;""))) &gt; INDEX(GJ:GJ,MAX(_xlfn._xlws.FILTER(ROW(GJ:GJ),GJ:GJ&lt;&gt;""))), GD1, GJ1
)</f>
        <v>Chance</v>
      </c>
      <c r="GC27">
        <f t="shared" ref="GC27" si="210">SUM(GC2:GC26)</f>
        <v>347.52715086936951</v>
      </c>
      <c r="GD27" s="5" cm="1">
        <f t="array" ref="GD27">INDEX(GD1:GD26,MAX(_xlfn._xlws.FILTER(ROW(GD1:GD26),GD1:GD26&lt;&gt;"")))</f>
        <v>460</v>
      </c>
      <c r="GE27" s="5">
        <f>IF(GB27="Chance",GJ27-GD27,GD27-GJ27)</f>
        <v>92</v>
      </c>
      <c r="GI27">
        <f t="shared" ref="GI27" si="211">SUM(GI2:GI26)</f>
        <v>618.37685561180115</v>
      </c>
      <c r="GJ27" s="5" cm="1">
        <f t="array" ref="GJ27">INDEX(GJ1:GJ26,MAX(_xlfn._xlws.FILTER(ROW(GJ1:GJ26),GJ1:GJ26&lt;&gt;"")))</f>
        <v>552</v>
      </c>
      <c r="GN27" s="5" t="str" cm="1">
        <f t="array" ref="GN27">IF(INDEX(GP:GP,MAX(_xlfn._xlws.FILTER(ROW(GP:GP),GP:GP&lt;&gt;""))) &gt; INDEX(GV:GV,MAX(_xlfn._xlws.FILTER(ROW(GV:GV),GV:GV&lt;&gt;""))), GP1, GV1
)</f>
        <v>Greedy</v>
      </c>
      <c r="GO27">
        <f t="shared" ref="GO27" si="212">SUM(GO2:GO26)</f>
        <v>418.92729902267456</v>
      </c>
      <c r="GP27" s="5" cm="1">
        <f t="array" ref="GP27">INDEX(GP1:GP26,MAX(_xlfn._xlws.FILTER(ROW(GP1:GP26),GP1:GP26&lt;&gt;"")))</f>
        <v>497</v>
      </c>
      <c r="GQ27" s="5">
        <f>IF(GN27="Chance",GV27-GP27,GP27-GV27)</f>
        <v>49</v>
      </c>
      <c r="GU27">
        <f t="shared" ref="GU27" si="213">SUM(GU2:GU26)</f>
        <v>317.47620987892151</v>
      </c>
      <c r="GV27" s="5" cm="1">
        <f t="array" ref="GV27">INDEX(GV1:GV26,MAX(_xlfn._xlws.FILTER(ROW(GV1:GV26),GV1:GV26&lt;&gt;"")))</f>
        <v>448</v>
      </c>
      <c r="GZ27" s="5" t="str" cm="1">
        <f t="array" ref="GZ27">IF(INDEX(HB:HB,MAX(_xlfn._xlws.FILTER(ROW(HB:HB),HB:HB&lt;&gt;""))) &gt; INDEX(HH:HH,MAX(_xlfn._xlws.FILTER(ROW(HH:HH),HH:HH&lt;&gt;""))), HB1, HH1
)</f>
        <v>Chance</v>
      </c>
      <c r="HA27">
        <f t="shared" ref="HA27" si="214">SUM(HA2:HA26)</f>
        <v>146.40582966804504</v>
      </c>
      <c r="HB27" s="5" cm="1">
        <f t="array" ref="HB27">INDEX(HB1:HB26,MAX(_xlfn._xlws.FILTER(ROW(HB1:HB26),HB1:HB26&lt;&gt;"")))</f>
        <v>424</v>
      </c>
      <c r="HC27" s="5">
        <f>IF(GZ27="Chance",HH27-HB27,HB27-HH27)</f>
        <v>81</v>
      </c>
      <c r="HG27">
        <f t="shared" ref="HG27" si="215">SUM(HG2:HG26)</f>
        <v>706.8817994594574</v>
      </c>
      <c r="HH27" s="5" cm="1">
        <f t="array" ref="HH27">INDEX(HH1:HH26,MAX(_xlfn._xlws.FILTER(ROW(HH1:HH26),HH1:HH26&lt;&gt;"")))</f>
        <v>505</v>
      </c>
      <c r="HL27" s="5" t="str" cm="1">
        <f t="array" ref="HL27">IF(INDEX(HN:HN,MAX(_xlfn._xlws.FILTER(ROW(HN:HN),HN:HN&lt;&gt;""))) &gt; INDEX(HT:HT,MAX(_xlfn._xlws.FILTER(ROW(HT:HT),HT:HT&lt;&gt;""))), HN1, HT1
)</f>
        <v>Greedy</v>
      </c>
      <c r="HM27">
        <f t="shared" ref="HM27" si="216">SUM(HM2:HM26)</f>
        <v>175.01282095909119</v>
      </c>
      <c r="HN27" s="5" cm="1">
        <f t="array" ref="HN27">INDEX(HN1:HN26,MAX(_xlfn._xlws.FILTER(ROW(HN1:HN26),HN1:HN26&lt;&gt;"")))</f>
        <v>450</v>
      </c>
      <c r="HO27" s="5">
        <f>IF(HL27="Chance",HT27-HN27,HN27-HT27)</f>
        <v>32</v>
      </c>
      <c r="HS27">
        <f t="shared" ref="HS27" si="217">SUM(HS2:HS26)</f>
        <v>764.10755658149719</v>
      </c>
      <c r="HT27" s="5" cm="1">
        <f t="array" ref="HT27">INDEX(HT1:HT26,MAX(_xlfn._xlws.FILTER(ROW(HT1:HT26),HT1:HT26&lt;&gt;"")))</f>
        <v>418</v>
      </c>
      <c r="HX27" s="5" t="str" cm="1">
        <f t="array" ref="HX27">IF(INDEX(HZ:HZ,MAX(_xlfn._xlws.FILTER(ROW(HZ:HZ),HZ:HZ&lt;&gt;""))) &gt; INDEX(IF:IF,MAX(_xlfn._xlws.FILTER(ROW(IF:IF),IF:IF&lt;&gt;""))), HZ1, IF1
)</f>
        <v>Chance</v>
      </c>
      <c r="HY27">
        <f t="shared" ref="HY27" si="218">SUM(HY2:HY26)</f>
        <v>355.92373299598694</v>
      </c>
      <c r="HZ27" s="5" cm="1">
        <f t="array" ref="HZ27">INDEX(HZ1:HZ26,MAX(_xlfn._xlws.FILTER(ROW(HZ1:HZ26),HZ1:HZ26&lt;&gt;"")))</f>
        <v>461</v>
      </c>
      <c r="IA27" s="5">
        <f>IF(HX27="Chance",IF27-HZ27,HZ27-IF27)</f>
        <v>41</v>
      </c>
      <c r="IE27">
        <f t="shared" ref="IE27" si="219">SUM(IE2:IE26)</f>
        <v>372.66748666763306</v>
      </c>
      <c r="IF27" s="5" cm="1">
        <f t="array" ref="IF27">INDEX(IF1:IF26,MAX(_xlfn._xlws.FILTER(ROW(IF1:IF26),IF1:IF26&lt;&gt;"")))</f>
        <v>502</v>
      </c>
      <c r="IJ27" s="5" t="str" cm="1">
        <f t="array" ref="IJ27">IF(INDEX(IL:IL,MAX(_xlfn._xlws.FILTER(ROW(IL:IL),IL:IL&lt;&gt;""))) &gt; INDEX(IR:IR,MAX(_xlfn._xlws.FILTER(ROW(IR:IR),IR:IR&lt;&gt;""))), IL1, IR1
)</f>
        <v>Greedy</v>
      </c>
      <c r="IK27">
        <f t="shared" ref="IK27" si="220">SUM(IK2:IK26)</f>
        <v>202.19525456428528</v>
      </c>
      <c r="IL27" s="5" cm="1">
        <f t="array" ref="IL27">INDEX(IL1:IL26,MAX(_xlfn._xlws.FILTER(ROW(IL1:IL26),IL1:IL26&lt;&gt;"")))</f>
        <v>498</v>
      </c>
      <c r="IM27" s="5">
        <f>IF(IJ27="Chance",IR27-IL27,IL27-IR27)</f>
        <v>83</v>
      </c>
      <c r="IQ27">
        <f t="shared" ref="IQ27" si="221">SUM(IQ2:IQ26)</f>
        <v>435.95316433906555</v>
      </c>
      <c r="IR27" s="5" cm="1">
        <f t="array" ref="IR27">INDEX(IR1:IR26,MAX(_xlfn._xlws.FILTER(ROW(IR1:IR26),IR1:IR26&lt;&gt;"")))</f>
        <v>415</v>
      </c>
      <c r="IV27" s="5" t="str" cm="1">
        <f t="array" ref="IV27">IF(INDEX(IX:IX,MAX(_xlfn._xlws.FILTER(ROW(IX:IX),IX:IX&lt;&gt;""))) &gt; INDEX(JD:JD,MAX(_xlfn._xlws.FILTER(ROW(JD:JD),JD:JD&lt;&gt;""))), IX1, JD1
)</f>
        <v>Greedy</v>
      </c>
      <c r="IW27">
        <f t="shared" ref="IW27" si="222">SUM(IW2:IW26)</f>
        <v>262.84860420227051</v>
      </c>
      <c r="IX27" s="5" cm="1">
        <f t="array" ref="IX27">INDEX(IX1:IX26,MAX(_xlfn._xlws.FILTER(ROW(IX1:IX26),IX1:IX26&lt;&gt;"")))</f>
        <v>414</v>
      </c>
      <c r="IY27" s="5">
        <f>IF(IV27="Chance",JD27-IX27,IX27-JD27)</f>
        <v>19</v>
      </c>
      <c r="JC27">
        <f t="shared" ref="JC27" si="223">SUM(JC2:JC26)</f>
        <v>245.9641900062561</v>
      </c>
      <c r="JD27" s="5" cm="1">
        <f t="array" ref="JD27">INDEX(JD1:JD26,MAX(_xlfn._xlws.FILTER(ROW(JD1:JD26),JD1:JD26&lt;&gt;"")))</f>
        <v>395</v>
      </c>
      <c r="JH27" s="5" t="str" cm="1">
        <f t="array" ref="JH27">IF(INDEX(JJ:JJ,MAX(_xlfn._xlws.FILTER(ROW(JJ:JJ),JJ:JJ&lt;&gt;""))) &gt; INDEX(JP:JP,MAX(_xlfn._xlws.FILTER(ROW(JP:JP),JP:JP&lt;&gt;""))), JJ1, JP1
)</f>
        <v>Chance</v>
      </c>
      <c r="JI27">
        <f t="shared" ref="JI27" si="224">SUM(JI2:JI26)</f>
        <v>482.46601057052612</v>
      </c>
      <c r="JJ27" s="5" cm="1">
        <f t="array" ref="JJ27">INDEX(JJ1:JJ26,MAX(_xlfn._xlws.FILTER(ROW(JJ1:JJ26),JJ1:JJ26&lt;&gt;"")))</f>
        <v>479</v>
      </c>
      <c r="JK27" s="5">
        <f>IF(JH27="Chance",JP27-JJ27,JJ27-JP27)</f>
        <v>70</v>
      </c>
      <c r="JO27">
        <f t="shared" ref="JO27" si="225">SUM(JO2:JO26)</f>
        <v>484.53344798088074</v>
      </c>
      <c r="JP27" s="5" cm="1">
        <f t="array" ref="JP27">INDEX(JP1:JP26,MAX(_xlfn._xlws.FILTER(ROW(JP1:JP26),JP1:JP26&lt;&gt;"")))</f>
        <v>549</v>
      </c>
      <c r="JT27" s="5" t="str" cm="1">
        <f t="array" ref="JT27">IF(INDEX(JV:JV,MAX(_xlfn._xlws.FILTER(ROW(JV:JV),JV:JV&lt;&gt;""))) &gt; INDEX(KB:KB,MAX(_xlfn._xlws.FILTER(ROW(KB:KB),KB:KB&lt;&gt;""))), JV1, KB1
)</f>
        <v>Greedy</v>
      </c>
      <c r="JU27">
        <f t="shared" ref="JU27" si="226">SUM(JU2:JU26)</f>
        <v>315.726567029953</v>
      </c>
      <c r="JV27" s="5" cm="1">
        <f t="array" ref="JV27">INDEX(JV1:JV26,MAX(_xlfn._xlws.FILTER(ROW(JV1:JV26),JV1:JV26&lt;&gt;"")))</f>
        <v>483</v>
      </c>
      <c r="JW27" s="5">
        <f>IF(JT27="Chance",KB27-JV27,JV27-KB27)</f>
        <v>17</v>
      </c>
      <c r="KA27">
        <f t="shared" ref="KA27" si="227">SUM(KA2:KA26)</f>
        <v>306.96343469619751</v>
      </c>
      <c r="KB27" s="5" cm="1">
        <f t="array" ref="KB27">INDEX(KB1:KB26,MAX(_xlfn._xlws.FILTER(ROW(KB1:KB26),KB1:KB26&lt;&gt;"")))</f>
        <v>466</v>
      </c>
      <c r="KF27" s="5" t="str" cm="1">
        <f t="array" ref="KF27">IF(INDEX(KH:KH,MAX(_xlfn._xlws.FILTER(ROW(KH:KH),KH:KH&lt;&gt;""))) &gt; INDEX(KN:KN,MAX(_xlfn._xlws.FILTER(ROW(KN:KN),KN:KN&lt;&gt;""))), KH1, KN1
)</f>
        <v>Chance</v>
      </c>
      <c r="KG27">
        <f t="shared" ref="KG27" si="228">SUM(KG2:KG26)</f>
        <v>139.19120097160339</v>
      </c>
      <c r="KH27" s="5" cm="1">
        <f t="array" ref="KH27">INDEX(KH1:KH26,MAX(_xlfn._xlws.FILTER(ROW(KH1:KH26),KH1:KH26&lt;&gt;"")))</f>
        <v>516</v>
      </c>
      <c r="KI27" s="5">
        <f>IF(KF27="Chance",KN27-KH27,KH27-KN27)</f>
        <v>155</v>
      </c>
      <c r="KM27">
        <f t="shared" ref="KM27" si="229">SUM(KM2:KM26)</f>
        <v>1499.2398543357849</v>
      </c>
      <c r="KN27" s="5" cm="1">
        <f t="array" ref="KN27">INDEX(KN1:KN26,MAX(_xlfn._xlws.FILTER(ROW(KN1:KN26),KN1:KN26&lt;&gt;"")))</f>
        <v>671</v>
      </c>
      <c r="KR27" s="5" t="str" cm="1">
        <f t="array" ref="KR27">IF(INDEX(KT:KT,MAX(_xlfn._xlws.FILTER(ROW(KT:KT),KT:KT&lt;&gt;""))) &gt; INDEX(KZ:KZ,MAX(_xlfn._xlws.FILTER(ROW(KZ:KZ),KZ:KZ&lt;&gt;""))), KT1, KZ1
)</f>
        <v>Greedy</v>
      </c>
      <c r="KS27">
        <f t="shared" ref="KS27" si="230">SUM(KS2:KS26)</f>
        <v>260.30597329139709</v>
      </c>
      <c r="KT27" s="5" cm="1">
        <f t="array" ref="KT27">INDEX(KT1:KT26,MAX(_xlfn._xlws.FILTER(ROW(KT1:KT26),KT1:KT26&lt;&gt;"")))</f>
        <v>492</v>
      </c>
      <c r="KU27" s="5">
        <f>IF(KR27="Chance",KZ27-KT27,KT27-KZ27)</f>
        <v>125</v>
      </c>
      <c r="KY27">
        <f t="shared" ref="KY27" si="231">SUM(KY2:KY26)</f>
        <v>244.10523343086243</v>
      </c>
      <c r="KZ27" s="5" cm="1">
        <f t="array" ref="KZ27">INDEX(KZ1:KZ26,MAX(_xlfn._xlws.FILTER(ROW(KZ1:KZ26),KZ1:KZ26&lt;&gt;"")))</f>
        <v>367</v>
      </c>
      <c r="LD27" s="5" t="str" cm="1">
        <f t="array" ref="LD27">IF(INDEX(LF:LF,MAX(_xlfn._xlws.FILTER(ROW(LF:LF),LF:LF&lt;&gt;""))) &gt; INDEX(LL:LL,MAX(_xlfn._xlws.FILTER(ROW(LL:LL),LL:LL&lt;&gt;""))), LF1, LL1
)</f>
        <v>Greedy</v>
      </c>
      <c r="LE27">
        <f t="shared" ref="LE27" si="232">SUM(LE2:LE26)</f>
        <v>292.75577116012568</v>
      </c>
      <c r="LF27" s="5" cm="1">
        <f t="array" ref="LF27">INDEX(LF1:LF26,MAX(_xlfn._xlws.FILTER(ROW(LF1:LF26),LF1:LF26&lt;&gt;"")))</f>
        <v>563</v>
      </c>
      <c r="LG27" s="5">
        <f>IF(LD27="Chance",LL27-LF27,LF27-LL27)</f>
        <v>144</v>
      </c>
      <c r="LK27">
        <f t="shared" ref="LK27" si="233">SUM(LK2:LK26)</f>
        <v>627.35310292243958</v>
      </c>
      <c r="LL27" s="5" cm="1">
        <f t="array" ref="LL27">INDEX(LL1:LL26,MAX(_xlfn._xlws.FILTER(ROW(LL1:LL26),LL1:LL26&lt;&gt;"")))</f>
        <v>419</v>
      </c>
      <c r="LP27" s="5" t="str" cm="1">
        <f t="array" ref="LP27">IF(INDEX(LR:LR,MAX(_xlfn._xlws.FILTER(ROW(LR:LR),LR:LR&lt;&gt;""))) &gt; INDEX(LX:LX,MAX(_xlfn._xlws.FILTER(ROW(LX:LX),LX:LX&lt;&gt;""))), LR1, LX1
)</f>
        <v>Greedy</v>
      </c>
      <c r="LQ27">
        <f t="shared" ref="LQ27" si="234">SUM(LQ2:LQ26)</f>
        <v>473.94669127464294</v>
      </c>
      <c r="LR27" s="5" cm="1">
        <f t="array" ref="LR27">INDEX(LR1:LR26,MAX(_xlfn._xlws.FILTER(ROW(LR1:LR26),LR1:LR26&lt;&gt;"")))</f>
        <v>523</v>
      </c>
      <c r="LS27" s="5">
        <f>IF(LP27="Chance",LX27-LR27,LR27-LX27)</f>
        <v>71</v>
      </c>
      <c r="LW27">
        <f t="shared" ref="LW27" si="235">SUM(LW2:LW26)</f>
        <v>365.28021287918091</v>
      </c>
      <c r="LX27" s="5" cm="1">
        <f t="array" ref="LX27">INDEX(LX1:LX26,MAX(_xlfn._xlws.FILTER(ROW(LX1:LX26),LX1:LX26&lt;&gt;"")))</f>
        <v>452</v>
      </c>
      <c r="MB27" s="5" t="str" cm="1">
        <f t="array" ref="MB27">IF(INDEX(MD:MD,MAX(_xlfn._xlws.FILTER(ROW(MD:MD),MD:MD&lt;&gt;""))) &gt; INDEX(MJ:MJ,MAX(_xlfn._xlws.FILTER(ROW(MJ:MJ),MJ:MJ&lt;&gt;""))), MD1, MJ1
)</f>
        <v>Chance</v>
      </c>
      <c r="MC27">
        <f t="shared" ref="MC27" si="236">SUM(MC2:MC26)</f>
        <v>190.00005578994751</v>
      </c>
      <c r="MD27" s="5" cm="1">
        <f t="array" ref="MD27">INDEX(MD1:MD26,MAX(_xlfn._xlws.FILTER(ROW(MD1:MD26),MD1:MD26&lt;&gt;"")))</f>
        <v>479</v>
      </c>
      <c r="ME27" s="5">
        <f>IF(MB27="Chance",MJ27-MD27,MD27-MJ27)</f>
        <v>19</v>
      </c>
      <c r="MI27">
        <f t="shared" ref="MI27" si="237">SUM(MI2:MI26)</f>
        <v>557.16631102561951</v>
      </c>
      <c r="MJ27" s="5" cm="1">
        <f t="array" ref="MJ27">INDEX(MJ1:MJ26,MAX(_xlfn._xlws.FILTER(ROW(MJ1:MJ26),MJ1:MJ26&lt;&gt;"")))</f>
        <v>498</v>
      </c>
      <c r="MN27" s="5" t="str" cm="1">
        <f t="array" ref="MN27">IF(INDEX(MP:MP,MAX(_xlfn._xlws.FILTER(ROW(MP:MP),MP:MP&lt;&gt;""))) &gt; INDEX(MV:MV,MAX(_xlfn._xlws.FILTER(ROW(MV:MV),MV:MV&lt;&gt;""))), MP1, MV1
)</f>
        <v>Chance</v>
      </c>
      <c r="MO27">
        <f t="shared" ref="MO27" si="238">SUM(MO2:MO26)</f>
        <v>243.17627191543579</v>
      </c>
      <c r="MP27" s="5" cm="1">
        <f t="array" ref="MP27">INDEX(MP1:MP26,MAX(_xlfn._xlws.FILTER(ROW(MP1:MP26),MP1:MP26&lt;&gt;"")))</f>
        <v>417</v>
      </c>
      <c r="MQ27" s="5">
        <f>IF(MN27="Chance",MV27-MP27,MP27-MV27)</f>
        <v>127</v>
      </c>
      <c r="MU27">
        <f t="shared" ref="MU27" si="239">SUM(MU2:MU26)</f>
        <v>337.88088846206671</v>
      </c>
      <c r="MV27" s="5" cm="1">
        <f t="array" ref="MV27">INDEX(MV1:MV26,MAX(_xlfn._xlws.FILTER(ROW(MV1:MV26),MV1:MV26&lt;&gt;"")))</f>
        <v>544</v>
      </c>
      <c r="MZ27" s="5" t="str" cm="1">
        <f t="array" ref="MZ27">IF(INDEX(NB:NB,MAX(_xlfn._xlws.FILTER(ROW(NB:NB),NB:NB&lt;&gt;""))) &gt; INDEX(NH:NH,MAX(_xlfn._xlws.FILTER(ROW(NH:NH),NH:NH&lt;&gt;""))), NB1, NH1
)</f>
        <v>Chance</v>
      </c>
      <c r="NA27">
        <f t="shared" ref="NA27" si="240">SUM(NA2:NA26)</f>
        <v>689.12329864501953</v>
      </c>
      <c r="NB27" s="5" cm="1">
        <f t="array" ref="NB27">INDEX(NB1:NB26,MAX(_xlfn._xlws.FILTER(ROW(NB1:NB26),NB1:NB26&lt;&gt;"")))</f>
        <v>490</v>
      </c>
      <c r="NC27" s="5">
        <f>IF(MZ27="Chance",NB27-NH27,NH27-NB27)</f>
        <v>50</v>
      </c>
      <c r="NG27">
        <f t="shared" ref="NG27" si="241">SUM(NG2:NG26)</f>
        <v>167.13008785247803</v>
      </c>
      <c r="NH27" s="5" cm="1">
        <f t="array" ref="NH27">INDEX(NH1:NH26,MAX(_xlfn._xlws.FILTER(ROW(NH1:NH26),NH1:NH26&lt;&gt;"")))</f>
        <v>440</v>
      </c>
      <c r="NL27" s="5" t="str" cm="1">
        <f t="array" ref="NL27">IF(INDEX(NN:NN,MAX(_xlfn._xlws.FILTER(ROW(NN:NN),NN:NN&lt;&gt;""))) &gt; INDEX(NT:NT,MAX(_xlfn._xlws.FILTER(ROW(NT:NT),NT:NT&lt;&gt;""))), NN1, NT1
)</f>
        <v>Chance</v>
      </c>
      <c r="NM27">
        <f t="shared" ref="NM27" si="242">SUM(NM2:NM26)</f>
        <v>663.94502758979797</v>
      </c>
      <c r="NN27" s="5" cm="1">
        <f t="array" ref="NN27">INDEX(NN1:NN26,MAX(_xlfn._xlws.FILTER(ROW(NN1:NN26),NN1:NN26&lt;&gt;"")))</f>
        <v>483</v>
      </c>
      <c r="NO27" s="5">
        <f>IF(NL27="Chance",NN27-NT27,NT27-NN27)</f>
        <v>80</v>
      </c>
      <c r="NS27">
        <f t="shared" ref="NS27" si="243">SUM(NS2:NS26)</f>
        <v>146.5123584270477</v>
      </c>
      <c r="NT27" s="5" cm="1">
        <f t="array" ref="NT27">INDEX(NT1:NT26,MAX(_xlfn._xlws.FILTER(ROW(NT1:NT26),NT1:NT26&lt;&gt;"")))</f>
        <v>403</v>
      </c>
      <c r="NX27" s="5" t="str" cm="1">
        <f t="array" ref="NX27">IF(INDEX(NZ:NZ,MAX(_xlfn._xlws.FILTER(ROW(NZ:NZ),NZ:NZ&lt;&gt;""))) &gt; INDEX(OF:OF,MAX(_xlfn._xlws.FILTER(ROW(OF:OF),OF:OF&lt;&gt;""))), NZ1, OF1
)</f>
        <v>Chance</v>
      </c>
      <c r="NY27">
        <f t="shared" ref="NY27" si="244">SUM(NY2:NY26)</f>
        <v>796.18916773796082</v>
      </c>
      <c r="NZ27" s="5" cm="1">
        <f t="array" ref="NZ27">INDEX(NZ1:NZ26,MAX(_xlfn._xlws.FILTER(ROW(NZ1:NZ26),NZ1:NZ26&lt;&gt;"")))</f>
        <v>472</v>
      </c>
      <c r="OA27" s="5">
        <f>IF(NX27="Chance",NZ27-OF27,OF27-NZ27)</f>
        <v>33</v>
      </c>
      <c r="OE27">
        <f t="shared" ref="OE27" si="245">SUM(OE2:OE26)</f>
        <v>275.47077584266663</v>
      </c>
      <c r="OF27" s="5" cm="1">
        <f t="array" ref="OF27">INDEX(OF1:OF26,MAX(_xlfn._xlws.FILTER(ROW(OF1:OF26),OF1:OF26&lt;&gt;"")))</f>
        <v>439</v>
      </c>
      <c r="OJ27" s="5" t="str" cm="1">
        <f t="array" ref="OJ27">IF(INDEX(OL:OL,MAX(_xlfn._xlws.FILTER(ROW(OL:OL),OL:OL&lt;&gt;""))) &gt; INDEX(OR:OR,MAX(_xlfn._xlws.FILTER(ROW(OR:OR),OR:OR&lt;&gt;""))), OL1, OR1
)</f>
        <v>Chance</v>
      </c>
      <c r="OK27">
        <f t="shared" ref="OK27" si="246">SUM(OK2:OK26)</f>
        <v>1373.3025279045105</v>
      </c>
      <c r="OL27" s="5" cm="1">
        <f t="array" ref="OL27">INDEX(OL1:OL26,MAX(_xlfn._xlws.FILTER(ROW(OL1:OL26),OL1:OL26&lt;&gt;"")))</f>
        <v>547</v>
      </c>
      <c r="OM27" s="5">
        <f>IF(OJ27="Chance",OL27-OR27,OR27-OL27)</f>
        <v>124</v>
      </c>
      <c r="OQ27">
        <f t="shared" ref="OQ27" si="247">SUM(OQ2:OQ26)</f>
        <v>147.64984226226807</v>
      </c>
      <c r="OR27" s="5" cm="1">
        <f t="array" ref="OR27">INDEX(OR1:OR26,MAX(_xlfn._xlws.FILTER(ROW(OR1:OR26),OR1:OR26&lt;&gt;"")))</f>
        <v>423</v>
      </c>
      <c r="OV27" s="5" t="str" cm="1">
        <f t="array" ref="OV27">IF(INDEX(OX:OX,MAX(_xlfn._xlws.FILTER(ROW(OX:OX),OX:OX&lt;&gt;""))) &gt; INDEX(PD:PD,MAX(_xlfn._xlws.FILTER(ROW(PD:PD),PD:PD&lt;&gt;""))), OX1, PD1
)</f>
        <v>Chance</v>
      </c>
      <c r="OW27">
        <f t="shared" ref="OW27" si="248">SUM(OW2:OW26)</f>
        <v>706.34231209754944</v>
      </c>
      <c r="OX27" s="5" cm="1">
        <f t="array" ref="OX27">INDEX(OX1:OX26,MAX(_xlfn._xlws.FILTER(ROW(OX1:OX26),OX1:OX26&lt;&gt;"")))</f>
        <v>539</v>
      </c>
      <c r="OY27" s="5">
        <f>IF(OV27="Chance",OX27-PD27,PD27-OX27)</f>
        <v>110</v>
      </c>
      <c r="PC27">
        <f t="shared" ref="PC27" si="249">SUM(PC2:PC26)</f>
        <v>158.97236561775208</v>
      </c>
      <c r="PD27" s="5" cm="1">
        <f t="array" ref="PD27">INDEX(PD1:PD26,MAX(_xlfn._xlws.FILTER(ROW(PD1:PD26),PD1:PD26&lt;&gt;"")))</f>
        <v>429</v>
      </c>
      <c r="PH27" s="5" t="str" cm="1">
        <f t="array" ref="PH27">IF(INDEX(PJ:PJ,MAX(_xlfn._xlws.FILTER(ROW(PJ:PJ),PJ:PJ&lt;&gt;""))) &gt; INDEX(PP:PP,MAX(_xlfn._xlws.FILTER(ROW(PP:PP),PP:PP&lt;&gt;""))), PJ1, PP1
)</f>
        <v>Chance</v>
      </c>
      <c r="PI27">
        <f t="shared" ref="PI27" si="250">SUM(PI2:PI26)</f>
        <v>772.97208905220032</v>
      </c>
      <c r="PJ27" s="5" cm="1">
        <f t="array" ref="PJ27">INDEX(PJ1:PJ26,MAX(_xlfn._xlws.FILTER(ROW(PJ1:PJ26),PJ1:PJ26&lt;&gt;"")))</f>
        <v>544</v>
      </c>
      <c r="PK27" s="5">
        <f>IF(PH27="Chance",PJ27-PP27,PP27-PJ27)</f>
        <v>75</v>
      </c>
      <c r="PO27">
        <f t="shared" ref="PO27" si="251">SUM(PO2:PO26)</f>
        <v>207.89033389091492</v>
      </c>
      <c r="PP27" s="5" cm="1">
        <f t="array" ref="PP27">INDEX(PP1:PP26,MAX(_xlfn._xlws.FILTER(ROW(PP1:PP26),PP1:PP26&lt;&gt;"")))</f>
        <v>469</v>
      </c>
      <c r="PT27" s="5" t="str" cm="1">
        <f t="array" ref="PT27">IF(INDEX(PV:PV,MAX(_xlfn._xlws.FILTER(ROW(PV:PV),PV:PV&lt;&gt;""))) &gt; INDEX(QB:QB,MAX(_xlfn._xlws.FILTER(ROW(QB:QB),QB:QB&lt;&gt;""))), PV1, QB1
)</f>
        <v>Chance</v>
      </c>
      <c r="PU27">
        <f t="shared" ref="PU27" si="252">SUM(PU2:PU26)</f>
        <v>301.71767330169678</v>
      </c>
      <c r="PV27" s="5" cm="1">
        <f t="array" ref="PV27">INDEX(PV1:PV26,MAX(_xlfn._xlws.FILTER(ROW(PV1:PV26),PV1:PV26&lt;&gt;"")))</f>
        <v>554</v>
      </c>
      <c r="PW27" s="5">
        <f>IF(PT27="Chance",PV27-QB27,QB27-PV27)</f>
        <v>62</v>
      </c>
      <c r="QA27">
        <f t="shared" ref="QA27" si="253">SUM(QA2:QA26)</f>
        <v>327.16984486579889</v>
      </c>
      <c r="QB27" s="5" cm="1">
        <f t="array" ref="QB27">INDEX(QB1:QB26,MAX(_xlfn._xlws.FILTER(ROW(QB1:QB26),QB1:QB26&lt;&gt;"")))</f>
        <v>492</v>
      </c>
      <c r="QF27" s="5" t="str" cm="1">
        <f t="array" ref="QF27">IF(INDEX(QH:QH,MAX(_xlfn._xlws.FILTER(ROW(QH:QH),QH:QH&lt;&gt;""))) &gt; INDEX(QN:QN,MAX(_xlfn._xlws.FILTER(ROW(QN:QN),QN:QN&lt;&gt;""))), QH1, QN1
)</f>
        <v>Greedy</v>
      </c>
      <c r="QG27">
        <f t="shared" ref="QG27" si="254">SUM(QG2:QG26)</f>
        <v>594.56993794441223</v>
      </c>
      <c r="QH27" s="5" cm="1">
        <f t="array" ref="QH27">INDEX(QH1:QH26,MAX(_xlfn._xlws.FILTER(ROW(QH1:QH26),QH1:QH26&lt;&gt;"")))</f>
        <v>491</v>
      </c>
      <c r="QI27" s="5">
        <f>IF(QF27="Chance",QH27-QN27,QN27-QH27)</f>
        <v>23</v>
      </c>
      <c r="QM27">
        <f t="shared" ref="QM27" si="255">SUM(QM2:QM26)</f>
        <v>752.82993602752686</v>
      </c>
      <c r="QN27" s="5" cm="1">
        <f t="array" ref="QN27">INDEX(QN1:QN26,MAX(_xlfn._xlws.FILTER(ROW(QN1:QN26),QN1:QN26&lt;&gt;"")))</f>
        <v>514</v>
      </c>
      <c r="QR27" s="5" t="str" cm="1">
        <f t="array" ref="QR27">IF(INDEX(QT:QT,MAX(_xlfn._xlws.FILTER(ROW(QT:QT),QT:QT&lt;&gt;""))) &gt; INDEX(QZ:QZ,MAX(_xlfn._xlws.FILTER(ROW(QZ:QZ),QZ:QZ&lt;&gt;""))), QT1, QZ1
)</f>
        <v>Chance</v>
      </c>
      <c r="QS27">
        <f t="shared" ref="QS27" si="256">SUM(QS2:QS26)</f>
        <v>1120.6409771442413</v>
      </c>
      <c r="QT27" s="5" cm="1">
        <f t="array" ref="QT27">INDEX(QT1:QT26,MAX(_xlfn._xlws.FILTER(ROW(QT1:QT26),QT1:QT26&lt;&gt;"")))</f>
        <v>568</v>
      </c>
      <c r="QU27" s="5">
        <f>IF(QR27="Chance",QT27-QZ27,QZ27-QT27)</f>
        <v>97</v>
      </c>
      <c r="QY27">
        <f t="shared" ref="QY27" si="257">SUM(QY2:QY26)</f>
        <v>232.80085730552673</v>
      </c>
      <c r="QZ27" s="5" cm="1">
        <f t="array" ref="QZ27">INDEX(QZ1:QZ26,MAX(_xlfn._xlws.FILTER(ROW(QZ1:QZ26),QZ1:QZ26&lt;&gt;"")))</f>
        <v>471</v>
      </c>
      <c r="RD27" s="5" t="str" cm="1">
        <f t="array" ref="RD27">IF(INDEX(RF:RF,MAX(_xlfn._xlws.FILTER(ROW(RF:RF),RF:RF&lt;&gt;""))) &gt; INDEX(RL:RL,MAX(_xlfn._xlws.FILTER(ROW(RL:RL),RL:RL&lt;&gt;""))), RF1, RL1
)</f>
        <v>Chance</v>
      </c>
      <c r="RE27">
        <f t="shared" ref="RE27" si="258">SUM(RE2:RE26)</f>
        <v>708.43418407440186</v>
      </c>
      <c r="RF27" s="5" cm="1">
        <f t="array" ref="RF27">INDEX(RF1:RF26,MAX(_xlfn._xlws.FILTER(ROW(RF1:RF26),RF1:RF26&lt;&gt;"")))</f>
        <v>552</v>
      </c>
      <c r="RG27" s="5">
        <f>IF(RD27="Chance",RF27-RL27,RL27-RF27)</f>
        <v>91</v>
      </c>
      <c r="RK27">
        <f t="shared" ref="RK27" si="259">SUM(RK2:RK26)</f>
        <v>163.63988280296326</v>
      </c>
      <c r="RL27" s="5" cm="1">
        <f t="array" ref="RL27">INDEX(RL1:RL26,MAX(_xlfn._xlws.FILTER(ROW(RL1:RL26),RL1:RL26&lt;&gt;"")))</f>
        <v>461</v>
      </c>
      <c r="RP27" s="5" t="str" cm="1">
        <f t="array" ref="RP27">IF(INDEX(RR:RR,MAX(_xlfn._xlws.FILTER(ROW(RR:RR),RR:RR&lt;&gt;""))) &gt; INDEX(RX:RX,MAX(_xlfn._xlws.FILTER(ROW(RX:RX),RX:RX&lt;&gt;""))), RR1, RX1
)</f>
        <v>Chance</v>
      </c>
      <c r="RQ27">
        <f t="shared" ref="RQ27" si="260">SUM(RQ2:RQ26)</f>
        <v>348.24514889717102</v>
      </c>
      <c r="RR27" s="5" cm="1">
        <f t="array" ref="RR27">INDEX(RR1:RR26,MAX(_xlfn._xlws.FILTER(ROW(RR1:RR26),RR1:RR26&lt;&gt;"")))</f>
        <v>463</v>
      </c>
      <c r="RS27" s="5">
        <f>IF(RP27="Chance",RR27-RX27,RX27-RR27)</f>
        <v>54</v>
      </c>
      <c r="RW27">
        <f t="shared" ref="RW27" si="261">SUM(RW2:RW26)</f>
        <v>298.61380839347839</v>
      </c>
      <c r="RX27" s="5" cm="1">
        <f t="array" ref="RX27">INDEX(RX1:RX26,MAX(_xlfn._xlws.FILTER(ROW(RX1:RX26),RX1:RX26&lt;&gt;"")))</f>
        <v>409</v>
      </c>
      <c r="SB27" s="5" t="str" cm="1">
        <f t="array" ref="SB27">IF(INDEX(SD:SD,MAX(_xlfn._xlws.FILTER(ROW(SD:SD),SD:SD&lt;&gt;""))) &gt; INDEX(SJ:SJ,MAX(_xlfn._xlws.FILTER(ROW(SJ:SJ),SJ:SJ&lt;&gt;""))), SD1, SJ1
)</f>
        <v>Chance</v>
      </c>
      <c r="SC27">
        <f t="shared" ref="SC27" si="262">SUM(SC2:SC26)</f>
        <v>479.58386254310597</v>
      </c>
      <c r="SD27" s="5" cm="1">
        <f t="array" ref="SD27">INDEX(SD1:SD26,MAX(_xlfn._xlws.FILTER(ROW(SD1:SD26),SD1:SD26&lt;&gt;"")))</f>
        <v>488</v>
      </c>
      <c r="SE27" s="5">
        <f>IF(SB27="Chance",SD27-SJ27,SJ27-SD27)</f>
        <v>6</v>
      </c>
      <c r="SI27">
        <f t="shared" ref="SI27" si="263">SUM(SI2:SI26)</f>
        <v>219.73893713951111</v>
      </c>
      <c r="SJ27" s="5" cm="1">
        <f t="array" ref="SJ27">INDEX(SJ1:SJ26,MAX(_xlfn._xlws.FILTER(ROW(SJ1:SJ26),SJ1:SJ26&lt;&gt;"")))</f>
        <v>482</v>
      </c>
      <c r="SN27" s="5" t="str" cm="1">
        <f t="array" ref="SN27">IF(INDEX(SP:SP,MAX(_xlfn._xlws.FILTER(ROW(SP:SP),SP:SP&lt;&gt;""))) &gt; INDEX(SV:SV,MAX(_xlfn._xlws.FILTER(ROW(SV:SV),SV:SV&lt;&gt;""))), SP1, SV1
)</f>
        <v>Chance</v>
      </c>
      <c r="SO27">
        <f t="shared" ref="SO27" si="264">SUM(SO2:SO26)</f>
        <v>420.37899875640869</v>
      </c>
      <c r="SP27" s="5" cm="1">
        <f t="array" ref="SP27">INDEX(SP1:SP26,MAX(_xlfn._xlws.FILTER(ROW(SP1:SP26),SP1:SP26&lt;&gt;"")))</f>
        <v>633</v>
      </c>
      <c r="SQ27" s="5">
        <f>IF(SN27="Chance",SP27-SV27,SV27-SP27)</f>
        <v>225</v>
      </c>
      <c r="SU27">
        <f t="shared" ref="SU27" si="265">SUM(SU2:SU26)</f>
        <v>291.14759635925293</v>
      </c>
      <c r="SV27" s="5" cm="1">
        <f t="array" ref="SV27">INDEX(SV1:SV26,MAX(_xlfn._xlws.FILTER(ROW(SV1:SV26),SV1:SV26&lt;&gt;"")))</f>
        <v>408</v>
      </c>
      <c r="SZ27" s="5" t="str" cm="1">
        <f t="array" ref="SZ27">IF(INDEX(TB:TB,MAX(_xlfn._xlws.FILTER(ROW(TB:TB),TB:TB&lt;&gt;""))) &gt; INDEX(TH:TH,MAX(_xlfn._xlws.FILTER(ROW(TH:TH),TH:TH&lt;&gt;""))), TB1, TH1
)</f>
        <v>Greedy</v>
      </c>
      <c r="TA27">
        <f t="shared" ref="TA27" si="266">SUM(TA2:TA26)</f>
        <v>405.12497687339783</v>
      </c>
      <c r="TB27" s="5" cm="1">
        <f t="array" ref="TB27">INDEX(TB1:TB26,MAX(_xlfn._xlws.FILTER(ROW(TB1:TB26),TB1:TB26&lt;&gt;"")))</f>
        <v>416</v>
      </c>
      <c r="TC27" s="5">
        <f>IF(SZ27="Chance",TB27-TH27,TH27-TB27)</f>
        <v>87</v>
      </c>
      <c r="TG27">
        <f t="shared" ref="TG27" si="267">SUM(TG2:TG26)</f>
        <v>358.75706434249878</v>
      </c>
      <c r="TH27" s="5" cm="1">
        <f t="array" ref="TH27">INDEX(TH1:TH26,MAX(_xlfn._xlws.FILTER(ROW(TH1:TH26),TH1:TH26&lt;&gt;"")))</f>
        <v>503</v>
      </c>
      <c r="TL27" s="5" t="str" cm="1">
        <f t="array" ref="TL27">IF(INDEX(TN:TN,MAX(_xlfn._xlws.FILTER(ROW(TN:TN),TN:TN&lt;&gt;""))) &gt; INDEX(TT:TT,MAX(_xlfn._xlws.FILTER(ROW(TT:TT),TT:TT&lt;&gt;""))), TN1, TT1
)</f>
        <v>Chance</v>
      </c>
      <c r="TM27">
        <f t="shared" ref="TM27" si="268">SUM(TM2:TM26)</f>
        <v>664.89733386039734</v>
      </c>
      <c r="TN27" s="5" cm="1">
        <f t="array" ref="TN27">INDEX(TN1:TN26,MAX(_xlfn._xlws.FILTER(ROW(TN1:TN26),TN1:TN26&lt;&gt;"")))</f>
        <v>573</v>
      </c>
      <c r="TO27" s="5">
        <f>IF(TL27="Chance",TN27-TT27,TT27-TN27)</f>
        <v>149</v>
      </c>
      <c r="TS27">
        <f t="shared" ref="TS27" si="269">SUM(TS2:TS26)</f>
        <v>201.21800446510315</v>
      </c>
      <c r="TT27" s="5" cm="1">
        <f t="array" ref="TT27">INDEX(TT1:TT26,MAX(_xlfn._xlws.FILTER(ROW(TT1:TT26),TT1:TT26&lt;&gt;"")))</f>
        <v>424</v>
      </c>
      <c r="TX27" s="5" t="str" cm="1">
        <f t="array" ref="TX27">IF(INDEX(TZ:TZ,MAX(_xlfn._xlws.FILTER(ROW(TZ:TZ),TZ:TZ&lt;&gt;""))) &gt; INDEX(UF:UF,MAX(_xlfn._xlws.FILTER(ROW(UF:UF),UF:UF&lt;&gt;""))), TZ1, UF1
)</f>
        <v>Greedy</v>
      </c>
      <c r="TY27">
        <f t="shared" ref="TY27" si="270">SUM(TY2:TY26)</f>
        <v>676.66790342330933</v>
      </c>
      <c r="TZ27" s="5" cm="1">
        <f t="array" ref="TZ27">INDEX(TZ1:TZ26,MAX(_xlfn._xlws.FILTER(ROW(TZ1:TZ26),TZ1:TZ26&lt;&gt;"")))</f>
        <v>431</v>
      </c>
      <c r="UA27" s="5">
        <f>IF(TX27="Chance",TZ27-UF27,UF27-TZ27)</f>
        <v>17</v>
      </c>
      <c r="UE27">
        <f t="shared" ref="UE27" si="271">SUM(UE2:UE26)</f>
        <v>163.79909682273865</v>
      </c>
      <c r="UF27" s="5" cm="1">
        <f t="array" ref="UF27">INDEX(UF1:UF26,MAX(_xlfn._xlws.FILTER(ROW(UF1:UF26),UF1:UF26&lt;&gt;"")))</f>
        <v>448</v>
      </c>
      <c r="UJ27" s="5" t="str" cm="1">
        <f t="array" ref="UJ27">IF(INDEX(UL:UL,MAX(_xlfn._xlws.FILTER(ROW(UL:UL),UL:UL&lt;&gt;""))) &gt; INDEX(UR:UR,MAX(_xlfn._xlws.FILTER(ROW(UR:UR),UR:UR&lt;&gt;""))), UL1, UR1
)</f>
        <v>Greedy</v>
      </c>
      <c r="UK27">
        <f t="shared" ref="UK27" si="272">SUM(UK2:UK26)</f>
        <v>755.74154043197632</v>
      </c>
      <c r="UL27" s="5" cm="1">
        <f t="array" ref="UL27">INDEX(UL1:UL26,MAX(_xlfn._xlws.FILTER(ROW(UL1:UL26),UL1:UL26&lt;&gt;"")))</f>
        <v>392</v>
      </c>
      <c r="UM27" s="5">
        <f>IF(UJ27="Chance",UL27-UR27,UR27-UL27)</f>
        <v>120</v>
      </c>
      <c r="UQ27">
        <f t="shared" ref="UQ27" si="273">SUM(UQ2:UQ26)</f>
        <v>247.98268246650696</v>
      </c>
      <c r="UR27" s="5" cm="1">
        <f t="array" ref="UR27">INDEX(UR1:UR26,MAX(_xlfn._xlws.FILTER(ROW(UR1:UR26),UR1:UR26&lt;&gt;"")))</f>
        <v>512</v>
      </c>
      <c r="UV27" s="5" t="str" cm="1">
        <f t="array" ref="UV27">IF(INDEX(UX:UX,MAX(_xlfn._xlws.FILTER(ROW(UX:UX),UX:UX&lt;&gt;""))) &gt; INDEX(VD:VD,MAX(_xlfn._xlws.FILTER(ROW(VD:VD),VD:VD&lt;&gt;""))), UX1, VD1
)</f>
        <v>Chance</v>
      </c>
      <c r="UW27">
        <f t="shared" ref="UW27" si="274">SUM(UW2:UW26)</f>
        <v>633.31331062316895</v>
      </c>
      <c r="UX27" s="5" cm="1">
        <f t="array" ref="UX27">INDEX(UX1:UX26,MAX(_xlfn._xlws.FILTER(ROW(UX1:UX26),UX1:UX26&lt;&gt;"")))</f>
        <v>674</v>
      </c>
      <c r="UY27" s="5">
        <f>IF(UV27="Chance",UX27-VD27,VD27-UX27)</f>
        <v>175</v>
      </c>
      <c r="VC27">
        <f t="shared" ref="VC27" si="275">SUM(VC2:VC26)</f>
        <v>187.85982823371887</v>
      </c>
      <c r="VD27" s="5" cm="1">
        <f t="array" ref="VD27">INDEX(VD1:VD26,MAX(_xlfn._xlws.FILTER(ROW(VD1:VD26),VD1:VD26&lt;&gt;"")))</f>
        <v>499</v>
      </c>
      <c r="VH27" s="5" t="str" cm="1">
        <f t="array" ref="VH27">IF(INDEX(VJ:VJ,MAX(_xlfn._xlws.FILTER(ROW(VJ:VJ),VJ:VJ&lt;&gt;""))) &gt; INDEX(VP:VP,MAX(_xlfn._xlws.FILTER(ROW(VP:VP),VP:VP&lt;&gt;""))), VJ1, VP1
)</f>
        <v>Greedy</v>
      </c>
      <c r="VI27">
        <f t="shared" ref="VI27" si="276">SUM(VI2:VI26)</f>
        <v>932.44922089576721</v>
      </c>
      <c r="VJ27" s="5" cm="1">
        <f t="array" ref="VJ27">INDEX(VJ1:VJ26,MAX(_xlfn._xlws.FILTER(ROW(VJ1:VJ26),VJ1:VJ26&lt;&gt;"")))</f>
        <v>475</v>
      </c>
      <c r="VK27" s="5">
        <f>IF(VH27="Chance",VJ27-VP27,VP27-VJ27)</f>
        <v>106</v>
      </c>
      <c r="VO27">
        <f t="shared" ref="VO27" si="277">SUM(VO2:VO26)</f>
        <v>388.55114436149597</v>
      </c>
      <c r="VP27" s="5" cm="1">
        <f t="array" ref="VP27">INDEX(VP1:VP26,MAX(_xlfn._xlws.FILTER(ROW(VP1:VP26),VP1:VP26&lt;&gt;"")))</f>
        <v>581</v>
      </c>
      <c r="VT27" s="5" t="str" cm="1">
        <f t="array" ref="VT27">IF(INDEX(VV:VV,MAX(_xlfn._xlws.FILTER(ROW(VV:VV),VV:VV&lt;&gt;""))) &gt; INDEX(WB:WB,MAX(_xlfn._xlws.FILTER(ROW(WB:WB),WB:WB&lt;&gt;""))), VV1, WB1
)</f>
        <v>Chance</v>
      </c>
      <c r="VU27">
        <f t="shared" ref="VU27" si="278">SUM(VU2:VU26)</f>
        <v>566.88291120529175</v>
      </c>
      <c r="VV27" s="5" cm="1">
        <f t="array" ref="VV27">INDEX(VV1:VV26,MAX(_xlfn._xlws.FILTER(ROW(VV1:VV26),VV1:VV26&lt;&gt;"")))</f>
        <v>509</v>
      </c>
      <c r="VW27" s="5">
        <f>IF(VT27="Chance",VV27-WB27,WB27-VV27)</f>
        <v>59</v>
      </c>
      <c r="WA27">
        <f t="shared" ref="WA27" si="279">SUM(WA2:WA26)</f>
        <v>156.64619421958923</v>
      </c>
      <c r="WB27" s="5" cm="1">
        <f t="array" ref="WB27">INDEX(WB1:WB26,MAX(_xlfn._xlws.FILTER(ROW(WB1:WB26),WB1:WB26&lt;&gt;"")))</f>
        <v>450</v>
      </c>
      <c r="WF27" s="5" t="str" cm="1">
        <f t="array" ref="WF27">IF(INDEX(WH:WH,MAX(_xlfn._xlws.FILTER(ROW(WH:WH),WH:WH&lt;&gt;""))) &gt; INDEX(WN:WN,MAX(_xlfn._xlws.FILTER(ROW(WN:WN),WN:WN&lt;&gt;""))), WH1, WN1
)</f>
        <v>Greedy</v>
      </c>
      <c r="WG27">
        <f t="shared" ref="WG27" si="280">SUM(WG2:WG26)</f>
        <v>463.45907759666443</v>
      </c>
      <c r="WH27" s="5" cm="1">
        <f t="array" ref="WH27">INDEX(WH1:WH26,MAX(_xlfn._xlws.FILTER(ROW(WH1:WH26),WH1:WH26&lt;&gt;"")))</f>
        <v>471</v>
      </c>
      <c r="WI27" s="5">
        <f>IF(WF27="Chance",WH27-WN27,WN27-WH27)</f>
        <v>109</v>
      </c>
      <c r="WM27">
        <f t="shared" ref="WM27" si="281">SUM(WM2:WM26)</f>
        <v>307.35953307151789</v>
      </c>
      <c r="WN27" s="5" cm="1">
        <f t="array" ref="WN27">INDEX(WN1:WN26,MAX(_xlfn._xlws.FILTER(ROW(WN1:WN26),WN1:WN26&lt;&gt;"")))</f>
        <v>580</v>
      </c>
      <c r="WR27" s="5" t="str" cm="1">
        <f t="array" ref="WR27">IF(INDEX(WT:WT,MAX(_xlfn._xlws.FILTER(ROW(WT:WT),WT:WT&lt;&gt;""))) &gt; INDEX(WZ:WZ,MAX(_xlfn._xlws.FILTER(ROW(WZ:WZ),WZ:WZ&lt;&gt;""))), WT1, WZ1
)</f>
        <v>Greedy</v>
      </c>
      <c r="WS27">
        <f t="shared" ref="WS27" si="282">SUM(WS2:WS26)</f>
        <v>272.06945514678955</v>
      </c>
      <c r="WT27" s="5" cm="1">
        <f t="array" ref="WT27">INDEX(WT1:WT26,MAX(_xlfn._xlws.FILTER(ROW(WT1:WT26),WT1:WT26&lt;&gt;"")))</f>
        <v>437</v>
      </c>
      <c r="WU27" s="5">
        <f>IF(WR27="Chance",WT27-WZ27,WZ27-WT27)</f>
        <v>148</v>
      </c>
      <c r="WY27">
        <f t="shared" ref="WY27" si="283">SUM(WY2:WY26)</f>
        <v>613.57724547386169</v>
      </c>
      <c r="WZ27" s="5" cm="1">
        <f t="array" ref="WZ27">INDEX(WZ1:WZ26,MAX(_xlfn._xlws.FILTER(ROW(WZ1:WZ26),WZ1:WZ26&lt;&gt;"")))</f>
        <v>585</v>
      </c>
      <c r="XD27" s="5" t="str" cm="1">
        <f t="array" ref="XD27">IF(INDEX(XF:XF,MAX(_xlfn._xlws.FILTER(ROW(XF:XF),XF:XF&lt;&gt;""))) &gt; INDEX(XL:XL,MAX(_xlfn._xlws.FILTER(ROW(XL:XL),XL:XL&lt;&gt;""))), XF1, XL1
)</f>
        <v>Chance</v>
      </c>
      <c r="XE27">
        <f t="shared" ref="XE27" si="284">SUM(XE2:XE26)</f>
        <v>674.00290846824646</v>
      </c>
      <c r="XF27" s="5" cm="1">
        <f t="array" ref="XF27">INDEX(XF1:XF26,MAX(_xlfn._xlws.FILTER(ROW(XF1:XF26),XF1:XF26&lt;&gt;"")))</f>
        <v>527</v>
      </c>
      <c r="XG27" s="5">
        <f>IF(XD27="Chance",XF27-XL27,XL27-XF27)</f>
        <v>31</v>
      </c>
      <c r="XK27">
        <f t="shared" ref="XK27" si="285">SUM(XK2:XK26)</f>
        <v>167.66544485092163</v>
      </c>
      <c r="XL27" s="5" cm="1">
        <f t="array" ref="XL27">INDEX(XL1:XL26,MAX(_xlfn._xlws.FILTER(ROW(XL1:XL26),XL1:XL26&lt;&gt;"")))</f>
        <v>496</v>
      </c>
      <c r="XP27" s="5" t="str" cm="1">
        <f t="array" ref="XP27">IF(INDEX(XR:XR,MAX(_xlfn._xlws.FILTER(ROW(XR:XR),XR:XR&lt;&gt;""))) &gt; INDEX(XX:XX,MAX(_xlfn._xlws.FILTER(ROW(XX:XX),XX:XX&lt;&gt;""))), XR1, XX1
)</f>
        <v>Greedy</v>
      </c>
      <c r="XQ27">
        <f t="shared" ref="XQ27" si="286">SUM(XQ2:XQ26)</f>
        <v>335.62661647796631</v>
      </c>
      <c r="XR27" s="5" cm="1">
        <f t="array" ref="XR27">INDEX(XR1:XR26,MAX(_xlfn._xlws.FILTER(ROW(XR1:XR26),XR1:XR26&lt;&gt;"")))</f>
        <v>413</v>
      </c>
      <c r="XS27" s="5">
        <f>IF(XP27="Chance",XR27-XX27,XX27-XR27)</f>
        <v>137</v>
      </c>
      <c r="XW27">
        <f t="shared" ref="XW27" si="287">SUM(XW2:XW26)</f>
        <v>184.61884617805481</v>
      </c>
      <c r="XX27" s="5" cm="1">
        <f t="array" ref="XX27">INDEX(XX1:XX26,MAX(_xlfn._xlws.FILTER(ROW(XX1:XX26),XX1:XX26&lt;&gt;"")))</f>
        <v>550</v>
      </c>
      <c r="YB27" s="5" t="str" cm="1">
        <f t="array" ref="YB27">IF(INDEX(YD:YD,MAX(_xlfn._xlws.FILTER(ROW(YD:YD),YD:YD&lt;&gt;""))) &gt; INDEX(YJ:YJ,MAX(_xlfn._xlws.FILTER(ROW(YJ:YJ),YJ:YJ&lt;&gt;""))), YD1, YJ1
)</f>
        <v>Chance</v>
      </c>
      <c r="YC27">
        <f t="shared" ref="YC27" si="288">SUM(YC2:YC26)</f>
        <v>547.83442449569702</v>
      </c>
      <c r="YD27" s="5" cm="1">
        <f t="array" ref="YD27">INDEX(YD1:YD26,MAX(_xlfn._xlws.FILTER(ROW(YD1:YD26),YD1:YD26&lt;&gt;"")))</f>
        <v>524</v>
      </c>
      <c r="YE27" s="5">
        <f>IF(YB27="Chance",YD27-YJ27,YJ27-YD27)</f>
        <v>18</v>
      </c>
      <c r="YI27">
        <f t="shared" ref="YI27" si="289">SUM(YI2:YI26)</f>
        <v>341.22985672950745</v>
      </c>
      <c r="YJ27" s="5" cm="1">
        <f t="array" ref="YJ27">INDEX(YJ1:YJ26,MAX(_xlfn._xlws.FILTER(ROW(YJ1:YJ26),YJ1:YJ26&lt;&gt;"")))</f>
        <v>506</v>
      </c>
      <c r="YN27" s="5" t="str" cm="1">
        <f t="array" ref="YN27">IF(INDEX(YP:YP,MAX(_xlfn._xlws.FILTER(ROW(YP:YP),YP:YP&lt;&gt;""))) &gt; INDEX(YV:YV,MAX(_xlfn._xlws.FILTER(ROW(YV:YV),YV:YV&lt;&gt;""))), YP1, YV1
)</f>
        <v>Greedy</v>
      </c>
      <c r="YO27">
        <f t="shared" ref="YO27" si="290">SUM(YO2:YO26)</f>
        <v>249.63068318367004</v>
      </c>
      <c r="YP27" s="5" cm="1">
        <f t="array" ref="YP27">INDEX(YP1:YP26,MAX(_xlfn._xlws.FILTER(ROW(YP1:YP26),YP1:YP26&lt;&gt;"")))</f>
        <v>479</v>
      </c>
      <c r="YQ27" s="5">
        <f>IF(YN27="Chance",YP27-YV27,YV27-YP27)</f>
        <v>40</v>
      </c>
      <c r="YU27">
        <f t="shared" ref="YU27" si="291">SUM(YU2:YU26)</f>
        <v>407.68153953552246</v>
      </c>
      <c r="YV27" s="5" cm="1">
        <f t="array" ref="YV27">INDEX(YV1:YV26,MAX(_xlfn._xlws.FILTER(ROW(YV1:YV26),YV1:YV26&lt;&gt;"")))</f>
        <v>519</v>
      </c>
      <c r="YZ27" s="5" t="str" cm="1">
        <f t="array" ref="YZ27">IF(INDEX(ZB:ZB,MAX(_xlfn._xlws.FILTER(ROW(ZB:ZB),ZB:ZB&lt;&gt;""))) &gt; INDEX(ZH:ZH,MAX(_xlfn._xlws.FILTER(ROW(ZH:ZH),ZH:ZH&lt;&gt;""))), ZB1, ZH1
)</f>
        <v>Chance</v>
      </c>
      <c r="ZA27">
        <f t="shared" ref="ZA27" si="292">SUM(ZA2:ZA26)</f>
        <v>392.07264351844788</v>
      </c>
      <c r="ZB27" s="5" cm="1">
        <f t="array" ref="ZB27">INDEX(ZB1:ZB26,MAX(_xlfn._xlws.FILTER(ROW(ZB1:ZB26),ZB1:ZB26&lt;&gt;"")))</f>
        <v>564</v>
      </c>
      <c r="ZC27" s="5">
        <f>IF(YZ27="Chance",ZB27-ZH27,ZH27-ZB27)</f>
        <v>13</v>
      </c>
      <c r="ZG27">
        <f t="shared" ref="ZG27" si="293">SUM(ZG2:ZG26)</f>
        <v>248.59851598739624</v>
      </c>
      <c r="ZH27" s="5" cm="1">
        <f t="array" ref="ZH27">INDEX(ZH1:ZH26,MAX(_xlfn._xlws.FILTER(ROW(ZH1:ZH26),ZH1:ZH26&lt;&gt;"")))</f>
        <v>551</v>
      </c>
      <c r="ZL27" s="5" t="str" cm="1">
        <f t="array" ref="ZL27">IF(INDEX(ZN:ZN,MAX(_xlfn._xlws.FILTER(ROW(ZN:ZN),ZN:ZN&lt;&gt;""))) &gt; INDEX(ZT:ZT,MAX(_xlfn._xlws.FILTER(ROW(ZT:ZT),ZT:ZT&lt;&gt;""))), ZN1, ZT1
)</f>
        <v>Chance</v>
      </c>
      <c r="ZM27">
        <f t="shared" ref="ZM27" si="294">SUM(ZM2:ZM26)</f>
        <v>1066.0728461742401</v>
      </c>
      <c r="ZN27" s="5" cm="1">
        <f t="array" ref="ZN27">INDEX(ZN1:ZN26,MAX(_xlfn._xlws.FILTER(ROW(ZN1:ZN26),ZN1:ZN26&lt;&gt;"")))</f>
        <v>578</v>
      </c>
      <c r="ZO27" s="5">
        <f>IF(ZL27="Chance",ZN27-ZT27,ZT27-ZN27)</f>
        <v>157</v>
      </c>
      <c r="ZS27">
        <f t="shared" ref="ZS27" si="295">SUM(ZS2:ZS26)</f>
        <v>158.08041930198669</v>
      </c>
      <c r="ZT27" s="5" cm="1">
        <f t="array" ref="ZT27">INDEX(ZT1:ZT26,MAX(_xlfn._xlws.FILTER(ROW(ZT1:ZT26),ZT1:ZT26&lt;&gt;"")))</f>
        <v>421</v>
      </c>
      <c r="ZX27" s="5" t="str" cm="1">
        <f t="array" ref="ZX27">IF(INDEX(ZZ:ZZ,MAX(_xlfn._xlws.FILTER(ROW(ZZ:ZZ),ZZ:ZZ&lt;&gt;""))) &gt; INDEX(AAF:AAF,MAX(_xlfn._xlws.FILTER(ROW(AAF:AAF),AAF:AAF&lt;&gt;""))), ZZ1, AAF1
)</f>
        <v>Greedy</v>
      </c>
      <c r="ZY27">
        <f t="shared" ref="ZY27" si="296">SUM(ZY2:ZY26)</f>
        <v>679.94065117835999</v>
      </c>
      <c r="ZZ27" s="5" cm="1">
        <f t="array" ref="ZZ27">INDEX(ZZ1:ZZ26,MAX(_xlfn._xlws.FILTER(ROW(ZZ1:ZZ26),ZZ1:ZZ26&lt;&gt;"")))</f>
        <v>362</v>
      </c>
      <c r="AAA27" s="5">
        <f>IF(ZX27="Chance",ZZ27-AAF27,AAF27-ZZ27)</f>
        <v>231</v>
      </c>
      <c r="AAE27">
        <f t="shared" ref="AAE27" si="297">SUM(AAE2:AAE26)</f>
        <v>556.40980982780457</v>
      </c>
      <c r="AAF27" s="5" cm="1">
        <f t="array" ref="AAF27">INDEX(AAF1:AAF26,MAX(_xlfn._xlws.FILTER(ROW(AAF1:AAF26),AAF1:AAF26&lt;&gt;"")))</f>
        <v>593</v>
      </c>
      <c r="AAJ27" s="5" t="s">
        <v>3053</v>
      </c>
      <c r="AAK27">
        <f t="shared" ref="AAK27" si="298">SUM(AAK2:AAK26)</f>
        <v>665.17614817619324</v>
      </c>
      <c r="AAL27" s="5" cm="1">
        <f t="array" ref="AAL27">INDEX(AAL1:AAL26,MAX(_xlfn._xlws.FILTER(ROW(AAL1:AAL26),AAL1:AAL26&lt;&gt;"")))</f>
        <v>467</v>
      </c>
      <c r="AAM27" s="5">
        <f>IF(AAJ27="Chance",AAL27-AAR27,AAR27-AAL27)</f>
        <v>0</v>
      </c>
      <c r="AAQ27">
        <f t="shared" ref="AAQ27" si="299">SUM(AAQ2:AAQ26)</f>
        <v>225.55148434638977</v>
      </c>
      <c r="AAR27" s="5" cm="1">
        <f t="array" ref="AAR27">INDEX(AAR1:AAR26,MAX(_xlfn._xlws.FILTER(ROW(AAR1:AAR26),AAR1:AAR26&lt;&gt;"")))</f>
        <v>467</v>
      </c>
      <c r="AAV27" s="5" t="str" cm="1">
        <f t="array" ref="AAV27">IF(INDEX(AAX:AAX,MAX(_xlfn._xlws.FILTER(ROW(AAX:AAX),AAX:AAX&lt;&gt;""))) &gt; INDEX(ABD:ABD,MAX(_xlfn._xlws.FILTER(ROW(ABD:ABD),ABD:ABD&lt;&gt;""))), AAX1, ABD1
)</f>
        <v>Chance</v>
      </c>
      <c r="AAW27">
        <f t="shared" ref="AAW27" si="300">SUM(AAW2:AAW26)</f>
        <v>828.17502403259289</v>
      </c>
      <c r="AAX27" s="5" cm="1">
        <f t="array" ref="AAX27">INDEX(AAX1:AAX26,MAX(_xlfn._xlws.FILTER(ROW(AAX1:AAX26),AAX1:AAX26&lt;&gt;"")))</f>
        <v>511</v>
      </c>
      <c r="AAY27" s="5">
        <f>IF(AAV27="Chance",AAX27-ABD27,ABD27-AAX27)</f>
        <v>28</v>
      </c>
      <c r="ABC27">
        <f t="shared" ref="ABC27" si="301">SUM(ABC2:ABC26)</f>
        <v>172.80345940589905</v>
      </c>
      <c r="ABD27" s="5" cm="1">
        <f t="array" ref="ABD27">INDEX(ABD1:ABD26,MAX(_xlfn._xlws.FILTER(ROW(ABD1:ABD26),ABD1:ABD26&lt;&gt;"")))</f>
        <v>483</v>
      </c>
      <c r="ABH27" s="5" t="str" cm="1">
        <f t="array" ref="ABH27">IF(INDEX(ABJ:ABJ,MAX(_xlfn._xlws.FILTER(ROW(ABJ:ABJ),ABJ:ABJ&lt;&gt;""))) &gt; INDEX(ABP:ABP,MAX(_xlfn._xlws.FILTER(ROW(ABP:ABP),ABP:ABP&lt;&gt;""))), ABJ1, ABP1
)</f>
        <v>Chance</v>
      </c>
      <c r="ABI27">
        <f t="shared" ref="ABI27" si="302">SUM(ABI2:ABI26)</f>
        <v>236.03851890563962</v>
      </c>
      <c r="ABJ27" s="5" cm="1">
        <f t="array" ref="ABJ27">INDEX(ABJ1:ABJ26,MAX(_xlfn._xlws.FILTER(ROW(ABJ1:ABJ26),ABJ1:ABJ26&lt;&gt;"")))</f>
        <v>444</v>
      </c>
      <c r="ABK27" s="5">
        <f>IF(ABH27="Greedy",ABJ27-ABP27,ABP27-ABJ27)</f>
        <v>79</v>
      </c>
      <c r="ABO27">
        <f t="shared" ref="ABO27" si="303">SUM(ABO2:ABO26)</f>
        <v>582.42382645606983</v>
      </c>
      <c r="ABP27" s="5" cm="1">
        <f t="array" ref="ABP27">INDEX(ABP1:ABP26,MAX(_xlfn._xlws.FILTER(ROW(ABP1:ABP26),ABP1:ABP26&lt;&gt;"")))</f>
        <v>523</v>
      </c>
    </row>
    <row r="29" spans="1:745" x14ac:dyDescent="0.25">
      <c r="A29">
        <f>MAX(27:27)</f>
        <v>2101.3483860492706</v>
      </c>
    </row>
    <row r="36" spans="1:4" x14ac:dyDescent="0.25">
      <c r="A36" s="5"/>
    </row>
    <row r="46" spans="1:4" x14ac:dyDescent="0.25">
      <c r="A46" s="5" t="s">
        <v>3057</v>
      </c>
      <c r="B46" s="5" t="s">
        <v>3058</v>
      </c>
      <c r="C46" s="5" t="s">
        <v>1</v>
      </c>
      <c r="D46" s="5" t="s">
        <v>3059</v>
      </c>
    </row>
    <row r="47" spans="1:4" x14ac:dyDescent="0.25">
      <c r="A47" s="5" t="s">
        <v>3052</v>
      </c>
      <c r="B47">
        <v>31</v>
      </c>
      <c r="C47">
        <v>31</v>
      </c>
      <c r="D47">
        <f>SUM(B47:C47)</f>
        <v>62</v>
      </c>
    </row>
    <row r="49" spans="1:10" x14ac:dyDescent="0.25">
      <c r="A49" s="5"/>
      <c r="B49" s="5" t="s">
        <v>3060</v>
      </c>
      <c r="C49" s="5" t="s">
        <v>3061</v>
      </c>
      <c r="D49" s="5" t="s">
        <v>3062</v>
      </c>
      <c r="E49" s="5" t="s">
        <v>3061</v>
      </c>
      <c r="F49" s="5" t="s">
        <v>3063</v>
      </c>
      <c r="G49" s="5" t="s">
        <v>3054</v>
      </c>
      <c r="I49" s="12" t="s">
        <v>3064</v>
      </c>
      <c r="J49" s="12"/>
    </row>
    <row r="50" spans="1:10" x14ac:dyDescent="0.25">
      <c r="A50" s="7" t="s">
        <v>3058</v>
      </c>
      <c r="B50">
        <f>COUNTIF(27:27,"Chance")</f>
        <v>35</v>
      </c>
      <c r="C50" s="9" cm="1">
        <f t="array" ref="C50">SUM(_xlfn._xlws.FILTER($B$27:$AVL$27,($B$1:$AVL$1="Chance")))/$D$47</f>
        <v>493.19354838709677</v>
      </c>
      <c r="D50" s="8" cm="1">
        <f t="array" ref="D50">_xlfn.STDEV.P(_xlfn._xlws.FILTER($B$27:$AVL$27,($B$1:$AVL$1="Chance")))</f>
        <v>65.559093931249294</v>
      </c>
      <c r="E50" s="9" t="str" cm="1">
        <f t="array" ref="E50">TEXT(SUM(_xlfn._xlws.FILTER($B$27:$AVL$27,($B$1:$AVL$1="Move time Chance")))/$D$47/86400,"mm:ss")</f>
        <v>10:28</v>
      </c>
      <c r="F50" s="9" t="str" cm="1">
        <f t="array" ref="F50">TEXT(AVERAGE(_xlfn._xlws.FILTER($B$1:$AVL$26,($B$1:$AVL$1="Move time Chance")))/86400,"ss,00")</f>
        <v>42,89</v>
      </c>
      <c r="I50">
        <v>1</v>
      </c>
      <c r="J50">
        <f>26/35</f>
        <v>0.74285714285714288</v>
      </c>
    </row>
    <row r="51" spans="1:10" x14ac:dyDescent="0.25">
      <c r="A51" s="7" t="s">
        <v>1</v>
      </c>
      <c r="B51">
        <f>COUNTIF(27:27,"Greedy")</f>
        <v>26</v>
      </c>
      <c r="C51" s="9" cm="1">
        <f t="array" ref="C51">SUM(_xlfn._xlws.FILTER($B$27:$AVL$27,($B$1:$AVL$1="Greedy")))/$D$47</f>
        <v>479.09677419354841</v>
      </c>
      <c r="D51" s="8" cm="1">
        <f t="array" ref="D51">_xlfn.STDEV.P(_xlfn._xlws.FILTER($B$27:$AVL$27,($B$1:$AVL$1="Greedy")))</f>
        <v>49.875234554358109</v>
      </c>
      <c r="E51" s="9" t="str" cm="1">
        <f t="array" ref="E51">TEXT(SUM(_xlfn._xlws.FILTER($B$27:$AVL$27,($B$1:$AVL$1="Move time Greedy")))/$D$47/86400,"mm:ss")</f>
        <v>04:32</v>
      </c>
      <c r="F51" s="9" t="str" cm="1">
        <f t="array" ref="F51">TEXT(AVERAGE(_xlfn._xlws.FILTER($B$1:$AVL$26,($B$1:$AVL$1="Move time Greedy")))/86400,"ss,00")</f>
        <v>18,85</v>
      </c>
      <c r="I51">
        <v>1</v>
      </c>
      <c r="J51">
        <f>35/26</f>
        <v>1.3461538461538463</v>
      </c>
    </row>
    <row r="52" spans="1:10" x14ac:dyDescent="0.25">
      <c r="A52" s="7" t="s">
        <v>3065</v>
      </c>
      <c r="B52">
        <f>D47-B51-B50</f>
        <v>1</v>
      </c>
    </row>
    <row r="53" spans="1:10" x14ac:dyDescent="0.25">
      <c r="A53" s="5"/>
    </row>
    <row r="62" spans="1:10" x14ac:dyDescent="0.25">
      <c r="E62">
        <f>35.5/62*100</f>
        <v>57.258064516129039</v>
      </c>
    </row>
  </sheetData>
  <mergeCells count="1">
    <mergeCell ref="I49:J4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92B8-FC87-4E72-A836-5A315971AF03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Grafieken</vt:lpstr>
      </vt:variant>
      <vt:variant>
        <vt:i4>1</vt:i4>
      </vt:variant>
    </vt:vector>
  </HeadingPairs>
  <TitlesOfParts>
    <vt:vector size="3" baseType="lpstr">
      <vt:lpstr>Blad1</vt:lpstr>
      <vt:lpstr>Blad2</vt:lpstr>
      <vt:lpstr>Grafiek1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Heek</dc:creator>
  <cp:lastModifiedBy>Stijn Boschloo</cp:lastModifiedBy>
  <dcterms:created xsi:type="dcterms:W3CDTF">2015-06-05T18:19:34Z</dcterms:created>
  <dcterms:modified xsi:type="dcterms:W3CDTF">2026-02-13T08:30:45Z</dcterms:modified>
</cp:coreProperties>
</file>