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orderius-my.sharepoint.com/personal/143187_corderius_nl/Documents/5e 6e jaar PWS/PWS repository/simulation results/"/>
    </mc:Choice>
  </mc:AlternateContent>
  <xr:revisionPtr revIDLastSave="20" documentId="8_{1B4F5CA4-31BB-463D-95EC-5120E92A5254}" xr6:coauthVersionLast="47" xr6:coauthVersionMax="47" xr10:uidLastSave="{DB99D96B-40C4-4F8B-80E7-0D691B405F43}"/>
  <bookViews>
    <workbookView xWindow="-120" yWindow="-120" windowWidth="20730" windowHeight="11040" xr2:uid="{00000000-000D-0000-FFFF-FFFF00000000}"/>
  </bookViews>
  <sheets>
    <sheet name="Blad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1" l="1"/>
  <c r="C55" i="1"/>
  <c r="AUA1" i="1"/>
  <c r="ATU1" i="1"/>
  <c r="ATO1" i="1"/>
  <c r="ATI1" i="1"/>
  <c r="ATC1" i="1"/>
  <c r="ASW1" i="1"/>
  <c r="ASQ1" i="1"/>
  <c r="ASK1" i="1"/>
  <c r="ASE1" i="1"/>
  <c r="ARY1" i="1"/>
  <c r="ARS1" i="1"/>
  <c r="ARM1" i="1"/>
  <c r="ARG1" i="1"/>
  <c r="ARA1" i="1"/>
  <c r="AQU1" i="1"/>
  <c r="AQO1" i="1"/>
  <c r="AQI1" i="1"/>
  <c r="AQC1" i="1"/>
  <c r="APW1" i="1"/>
  <c r="APQ1" i="1"/>
  <c r="APK1" i="1"/>
  <c r="APE1" i="1"/>
  <c r="AOY1" i="1"/>
  <c r="AOS1" i="1"/>
  <c r="AOM1" i="1"/>
  <c r="AOG1" i="1"/>
  <c r="AOA1" i="1"/>
  <c r="ANU1" i="1"/>
  <c r="ANO1" i="1"/>
  <c r="ANI1" i="1"/>
  <c r="ANC1" i="1"/>
  <c r="AMW1" i="1"/>
  <c r="AMQ1" i="1"/>
  <c r="AMK1" i="1"/>
  <c r="AME1" i="1"/>
  <c r="ALY1" i="1"/>
  <c r="ALS1" i="1"/>
  <c r="ALM1" i="1"/>
  <c r="ALG1" i="1"/>
  <c r="ALA1" i="1"/>
  <c r="AKU1" i="1"/>
  <c r="AKO1" i="1"/>
  <c r="AKI1" i="1"/>
  <c r="AKC1" i="1"/>
  <c r="AJW1" i="1"/>
  <c r="AJQ1" i="1"/>
  <c r="AJK1" i="1"/>
  <c r="AJE1" i="1"/>
  <c r="AIY1" i="1"/>
  <c r="AIS1" i="1"/>
  <c r="AIM1" i="1"/>
  <c r="AIG1" i="1"/>
  <c r="AIA1" i="1"/>
  <c r="AHU1" i="1"/>
  <c r="AHO1" i="1"/>
  <c r="AHI1" i="1"/>
  <c r="AHC1" i="1"/>
  <c r="AGW1" i="1"/>
  <c r="AGQ1" i="1"/>
  <c r="AGK1" i="1"/>
  <c r="AGE1" i="1"/>
  <c r="AFY1" i="1"/>
  <c r="AFS1" i="1"/>
  <c r="AFM1" i="1"/>
  <c r="AFG1" i="1"/>
  <c r="AFA1" i="1"/>
  <c r="AEU1" i="1"/>
  <c r="AEO1" i="1"/>
  <c r="AEI1" i="1"/>
  <c r="AEC1" i="1"/>
  <c r="ADW1" i="1"/>
  <c r="ADQ1" i="1"/>
  <c r="ADK1" i="1"/>
  <c r="ADE1" i="1"/>
  <c r="ACY1" i="1"/>
  <c r="ACS1" i="1"/>
  <c r="ACM1" i="1"/>
  <c r="ACG1" i="1"/>
  <c r="ACA1" i="1"/>
  <c r="ABU1" i="1"/>
  <c r="ABO1" i="1"/>
  <c r="ABI1" i="1"/>
  <c r="ABC1" i="1"/>
  <c r="AAW1" i="1"/>
  <c r="AAQ1" i="1"/>
  <c r="AAK1" i="1"/>
  <c r="AAE1" i="1"/>
  <c r="ZY1" i="1"/>
  <c r="ZS1" i="1"/>
  <c r="ZM1" i="1"/>
  <c r="ZG1" i="1"/>
  <c r="ZA1" i="1"/>
  <c r="YU1" i="1"/>
  <c r="YO1" i="1"/>
  <c r="YI1" i="1"/>
  <c r="YC1" i="1"/>
  <c r="XW1" i="1"/>
  <c r="XQ1" i="1"/>
  <c r="XK1" i="1"/>
  <c r="XE1" i="1"/>
  <c r="WY1" i="1"/>
  <c r="WS1" i="1"/>
  <c r="WM1" i="1"/>
  <c r="WG1" i="1"/>
  <c r="WA1" i="1"/>
  <c r="VU1" i="1"/>
  <c r="VO1" i="1"/>
  <c r="VI1" i="1"/>
  <c r="VC1" i="1"/>
  <c r="UW1" i="1"/>
  <c r="UQ1" i="1"/>
  <c r="UK1" i="1"/>
  <c r="UE1" i="1"/>
  <c r="TY1" i="1"/>
  <c r="TS1" i="1"/>
  <c r="TM1" i="1"/>
  <c r="TG1" i="1"/>
  <c r="TA1" i="1"/>
  <c r="SU1" i="1"/>
  <c r="SO1" i="1"/>
  <c r="SI1" i="1"/>
  <c r="SC1" i="1"/>
  <c r="RW1" i="1"/>
  <c r="RQ1" i="1"/>
  <c r="RK1" i="1"/>
  <c r="RE1" i="1"/>
  <c r="QY1" i="1"/>
  <c r="QS1" i="1"/>
  <c r="QM1" i="1"/>
  <c r="QG1" i="1"/>
  <c r="QA1" i="1"/>
  <c r="PU1" i="1"/>
  <c r="PO1" i="1"/>
  <c r="PI1" i="1"/>
  <c r="PC1" i="1"/>
  <c r="OW1" i="1"/>
  <c r="OQ1" i="1"/>
  <c r="OK1" i="1"/>
  <c r="OE1" i="1"/>
  <c r="NY1" i="1"/>
  <c r="NS1" i="1"/>
  <c r="NM1" i="1"/>
  <c r="NG1" i="1"/>
  <c r="NA1" i="1"/>
  <c r="MU1" i="1"/>
  <c r="MO1" i="1"/>
  <c r="MI1" i="1"/>
  <c r="MC1" i="1"/>
  <c r="LW1" i="1"/>
  <c r="LQ1" i="1"/>
  <c r="LK1" i="1"/>
  <c r="LE1" i="1"/>
  <c r="KY1" i="1"/>
  <c r="KS1" i="1"/>
  <c r="KM1" i="1"/>
  <c r="KG1" i="1"/>
  <c r="KA1" i="1"/>
  <c r="JU1" i="1"/>
  <c r="JO1" i="1"/>
  <c r="JI1" i="1"/>
  <c r="JC1" i="1"/>
  <c r="IW1" i="1"/>
  <c r="IQ1" i="1"/>
  <c r="IK1" i="1"/>
  <c r="IE1" i="1"/>
  <c r="HY1" i="1"/>
  <c r="HS1" i="1"/>
  <c r="HM1" i="1"/>
  <c r="HG1" i="1"/>
  <c r="HA1" i="1"/>
  <c r="GU1" i="1"/>
  <c r="GO1" i="1"/>
  <c r="GI1" i="1"/>
  <c r="GC1" i="1"/>
  <c r="FW1" i="1"/>
  <c r="FQ1" i="1"/>
  <c r="FK1" i="1"/>
  <c r="FE1" i="1"/>
  <c r="EY1" i="1"/>
  <c r="ES1" i="1"/>
  <c r="EM1" i="1"/>
  <c r="EG1" i="1"/>
  <c r="EA1" i="1"/>
  <c r="DU1" i="1"/>
  <c r="DO1" i="1"/>
  <c r="DI1" i="1"/>
  <c r="DC1" i="1"/>
  <c r="CW1" i="1"/>
  <c r="CQ1" i="1"/>
  <c r="CK1" i="1"/>
  <c r="CE1" i="1"/>
  <c r="BY1" i="1"/>
  <c r="BS1" i="1"/>
  <c r="BM1" i="1"/>
  <c r="BG1" i="1"/>
  <c r="BA1" i="1"/>
  <c r="AU1" i="1"/>
  <c r="AO1" i="1"/>
  <c r="AI1" i="1"/>
  <c r="AC1" i="1"/>
  <c r="W1" i="1"/>
  <c r="Q1" i="1"/>
  <c r="K1" i="1"/>
  <c r="E1" i="1"/>
  <c r="D49" i="1" s="1" a="1"/>
  <c r="D49" i="1" s="1"/>
  <c r="E55" i="1"/>
  <c r="H50" i="1"/>
  <c r="H49" i="1"/>
  <c r="D46" i="1"/>
  <c r="C49" i="1" a="1"/>
  <c r="C49" i="1" s="1"/>
  <c r="XE34" i="1"/>
  <c r="XF34" i="1" a="1"/>
  <c r="XF34" i="1"/>
  <c r="XD34" i="1" s="1" a="1"/>
  <c r="XD34" i="1" s="1"/>
  <c r="XG34" i="1" s="1"/>
  <c r="XK34" i="1"/>
  <c r="XL34" i="1" a="1"/>
  <c r="XL34" i="1"/>
  <c r="XQ34" i="1"/>
  <c r="XR34" i="1" a="1"/>
  <c r="XR34" i="1"/>
  <c r="XP34" i="1" s="1" a="1"/>
  <c r="XP34" i="1" s="1"/>
  <c r="XS34" i="1" s="1"/>
  <c r="XW34" i="1"/>
  <c r="XX34" i="1" a="1"/>
  <c r="XX34" i="1"/>
  <c r="YC34" i="1"/>
  <c r="YD34" i="1" a="1"/>
  <c r="YD34" i="1" s="1"/>
  <c r="YB34" i="1" s="1" a="1"/>
  <c r="YB34" i="1" s="1"/>
  <c r="YE34" i="1" s="1"/>
  <c r="YI34" i="1"/>
  <c r="YJ34" i="1" a="1"/>
  <c r="YJ34" i="1" s="1"/>
  <c r="YO34" i="1"/>
  <c r="YP34" i="1" a="1"/>
  <c r="YP34" i="1" s="1"/>
  <c r="YN34" i="1" s="1" a="1"/>
  <c r="YN34" i="1" s="1"/>
  <c r="YQ34" i="1" s="1"/>
  <c r="YU34" i="1"/>
  <c r="YV34" i="1" a="1"/>
  <c r="YV34" i="1" s="1"/>
  <c r="ZA34" i="1"/>
  <c r="ZB34" i="1" a="1"/>
  <c r="ZB34" i="1"/>
  <c r="YZ34" i="1" s="1" a="1"/>
  <c r="YZ34" i="1" s="1"/>
  <c r="ZC34" i="1" s="1"/>
  <c r="ZG34" i="1"/>
  <c r="ZH34" i="1" a="1"/>
  <c r="ZH34" i="1"/>
  <c r="ZM34" i="1"/>
  <c r="ZN34" i="1" a="1"/>
  <c r="ZN34" i="1" s="1"/>
  <c r="ZS34" i="1"/>
  <c r="ZT34" i="1" a="1"/>
  <c r="ZT34" i="1" s="1"/>
  <c r="ZY34" i="1"/>
  <c r="ZZ34" i="1" a="1"/>
  <c r="ZZ34" i="1" s="1"/>
  <c r="AAE34" i="1"/>
  <c r="AAF34" i="1" a="1"/>
  <c r="AAF34" i="1" s="1"/>
  <c r="AAK34" i="1"/>
  <c r="AAL34" i="1" a="1"/>
  <c r="AAL34" i="1" s="1"/>
  <c r="AAJ34" i="1" s="1" a="1"/>
  <c r="AAJ34" i="1" s="1"/>
  <c r="AAM34" i="1" s="1"/>
  <c r="AAQ34" i="1"/>
  <c r="AAR34" i="1" a="1"/>
  <c r="AAR34" i="1" s="1"/>
  <c r="AAW34" i="1"/>
  <c r="AAX34" i="1" a="1"/>
  <c r="AAX34" i="1"/>
  <c r="AAV34" i="1" s="1" a="1"/>
  <c r="AAV34" i="1" s="1"/>
  <c r="AAY34" i="1" s="1"/>
  <c r="ABC34" i="1"/>
  <c r="ABD34" i="1" a="1"/>
  <c r="ABD34" i="1"/>
  <c r="ABI34" i="1"/>
  <c r="ABJ34" i="1" a="1"/>
  <c r="ABJ34" i="1" s="1"/>
  <c r="ABO34" i="1"/>
  <c r="ABP34" i="1" a="1"/>
  <c r="ABP34" i="1" s="1"/>
  <c r="ABU34" i="1"/>
  <c r="ABV34" i="1" a="1"/>
  <c r="ABV34" i="1" s="1"/>
  <c r="ABT34" i="1" s="1" a="1"/>
  <c r="ABT34" i="1" s="1"/>
  <c r="ABW34" i="1" s="1"/>
  <c r="ACA34" i="1"/>
  <c r="ACB34" i="1" a="1"/>
  <c r="ACB34" i="1" s="1"/>
  <c r="ACG34" i="1"/>
  <c r="ACH34" i="1" a="1"/>
  <c r="ACH34" i="1" s="1"/>
  <c r="ACF34" i="1" s="1" a="1"/>
  <c r="ACF34" i="1" s="1"/>
  <c r="ACI34" i="1" s="1"/>
  <c r="ACM34" i="1"/>
  <c r="ACN34" i="1" a="1"/>
  <c r="ACN34" i="1" s="1"/>
  <c r="ACS34" i="1"/>
  <c r="ACT34" i="1" a="1"/>
  <c r="ACT34" i="1"/>
  <c r="ACR34" i="1" s="1" a="1"/>
  <c r="ACR34" i="1" s="1"/>
  <c r="ACU34" i="1" s="1"/>
  <c r="ACY34" i="1"/>
  <c r="ACZ34" i="1" a="1"/>
  <c r="ACZ34" i="1"/>
  <c r="ADE34" i="1"/>
  <c r="ADF34" i="1" a="1"/>
  <c r="ADF34" i="1" s="1"/>
  <c r="ADK34" i="1"/>
  <c r="ADL34" i="1" a="1"/>
  <c r="ADL34" i="1" s="1"/>
  <c r="ADQ34" i="1"/>
  <c r="ADR34" i="1" a="1"/>
  <c r="ADR34" i="1" s="1"/>
  <c r="ADW34" i="1"/>
  <c r="ADX34" i="1" a="1"/>
  <c r="ADX34" i="1" s="1"/>
  <c r="AEC34" i="1"/>
  <c r="AED34" i="1" a="1"/>
  <c r="AED34" i="1" s="1"/>
  <c r="AEB34" i="1" s="1" a="1"/>
  <c r="AEB34" i="1" s="1"/>
  <c r="AEE34" i="1" s="1"/>
  <c r="AEI34" i="1"/>
  <c r="AEJ34" i="1" a="1"/>
  <c r="AEJ34" i="1" s="1"/>
  <c r="AEO34" i="1"/>
  <c r="AEP34" i="1" a="1"/>
  <c r="AEP34" i="1"/>
  <c r="AEN34" i="1" s="1" a="1"/>
  <c r="AEN34" i="1" s="1"/>
  <c r="AEQ34" i="1" s="1"/>
  <c r="AEU34" i="1"/>
  <c r="AEV34" i="1" a="1"/>
  <c r="AEV34" i="1"/>
  <c r="AFA34" i="1"/>
  <c r="AFB34" i="1" a="1"/>
  <c r="AFB34" i="1" s="1"/>
  <c r="AFG34" i="1"/>
  <c r="AFH34" i="1" a="1"/>
  <c r="AFH34" i="1" s="1"/>
  <c r="AFM34" i="1"/>
  <c r="AFN34" i="1" a="1"/>
  <c r="AFN34" i="1" s="1"/>
  <c r="AFL34" i="1" s="1" a="1"/>
  <c r="AFL34" i="1" s="1"/>
  <c r="AFO34" i="1" s="1"/>
  <c r="AFS34" i="1"/>
  <c r="AFT34" i="1" a="1"/>
  <c r="AFT34" i="1" s="1"/>
  <c r="AFY34" i="1"/>
  <c r="AFZ34" i="1" a="1"/>
  <c r="AFZ34" i="1" s="1"/>
  <c r="AFX34" i="1" s="1" a="1"/>
  <c r="AFX34" i="1" s="1"/>
  <c r="AGA34" i="1" s="1"/>
  <c r="AGE34" i="1"/>
  <c r="AGF34" i="1" a="1"/>
  <c r="AGF34" i="1" s="1"/>
  <c r="AGK34" i="1"/>
  <c r="AGL34" i="1" a="1"/>
  <c r="AGL34" i="1"/>
  <c r="AGJ34" i="1" s="1" a="1"/>
  <c r="AGJ34" i="1" s="1"/>
  <c r="AGM34" i="1" s="1"/>
  <c r="AGQ34" i="1"/>
  <c r="AGR34" i="1" a="1"/>
  <c r="AGR34" i="1"/>
  <c r="AGW34" i="1"/>
  <c r="AGX34" i="1" a="1"/>
  <c r="AGX34" i="1" s="1"/>
  <c r="AHC34" i="1"/>
  <c r="AHD34" i="1" a="1"/>
  <c r="AHD34" i="1" s="1"/>
  <c r="AHI34" i="1"/>
  <c r="AHJ34" i="1" a="1"/>
  <c r="AHJ34" i="1" s="1"/>
  <c r="AHH34" i="1" s="1" a="1"/>
  <c r="AHH34" i="1" s="1"/>
  <c r="AHK34" i="1" s="1"/>
  <c r="AHO34" i="1"/>
  <c r="AHP34" i="1" a="1"/>
  <c r="AHP34" i="1" s="1"/>
  <c r="AHU34" i="1"/>
  <c r="AHV34" i="1" a="1"/>
  <c r="AHV34" i="1" s="1"/>
  <c r="AHT34" i="1" s="1" a="1"/>
  <c r="AHT34" i="1" s="1"/>
  <c r="AHW34" i="1" s="1"/>
  <c r="AIA34" i="1"/>
  <c r="AIB34" i="1" a="1"/>
  <c r="AIB34" i="1" s="1"/>
  <c r="AIG34" i="1"/>
  <c r="AIH34" i="1" a="1"/>
  <c r="AIH34" i="1"/>
  <c r="AIF34" i="1" s="1" a="1"/>
  <c r="AIF34" i="1" s="1"/>
  <c r="AII34" i="1" s="1"/>
  <c r="AIM34" i="1"/>
  <c r="AIN34" i="1" a="1"/>
  <c r="AIN34" i="1"/>
  <c r="AIS34" i="1"/>
  <c r="AIT34" i="1" a="1"/>
  <c r="AIT34" i="1" s="1"/>
  <c r="AIY34" i="1"/>
  <c r="AIZ34" i="1" a="1"/>
  <c r="AIZ34" i="1" s="1"/>
  <c r="AJE34" i="1"/>
  <c r="AJF34" i="1" a="1"/>
  <c r="AJF34" i="1" s="1"/>
  <c r="AJK34" i="1"/>
  <c r="AJL34" i="1" a="1"/>
  <c r="AJL34" i="1" s="1"/>
  <c r="AJQ34" i="1"/>
  <c r="AJR34" i="1" a="1"/>
  <c r="AJR34" i="1" s="1"/>
  <c r="AJP34" i="1" s="1" a="1"/>
  <c r="AJP34" i="1" s="1"/>
  <c r="AJS34" i="1" s="1"/>
  <c r="AJW34" i="1"/>
  <c r="AJX34" i="1" a="1"/>
  <c r="AJX34" i="1" s="1"/>
  <c r="AKC34" i="1"/>
  <c r="AKD34" i="1" a="1"/>
  <c r="AKD34" i="1"/>
  <c r="AKB34" i="1" s="1" a="1"/>
  <c r="AKB34" i="1" s="1"/>
  <c r="AKE34" i="1" s="1"/>
  <c r="AKI34" i="1"/>
  <c r="AKJ34" i="1" a="1"/>
  <c r="AKJ34" i="1"/>
  <c r="AKO34" i="1"/>
  <c r="AKP34" i="1" a="1"/>
  <c r="AKP34" i="1" s="1"/>
  <c r="AKN34" i="1" s="1" a="1"/>
  <c r="AKN34" i="1" s="1"/>
  <c r="AKQ34" i="1" s="1"/>
  <c r="AKU34" i="1"/>
  <c r="AKV34" i="1" a="1"/>
  <c r="AKV34" i="1" s="1"/>
  <c r="ALA34" i="1"/>
  <c r="ALB34" i="1" a="1"/>
  <c r="ALB34" i="1" s="1"/>
  <c r="AKZ34" i="1" s="1" a="1"/>
  <c r="AKZ34" i="1" s="1"/>
  <c r="ALC34" i="1" s="1"/>
  <c r="ALG34" i="1"/>
  <c r="ALH34" i="1" a="1"/>
  <c r="ALH34" i="1" s="1"/>
  <c r="ALM34" i="1"/>
  <c r="ALN34" i="1" a="1"/>
  <c r="ALN34" i="1" s="1"/>
  <c r="ALL34" i="1" s="1" a="1"/>
  <c r="ALL34" i="1" s="1"/>
  <c r="ALO34" i="1" s="1"/>
  <c r="ALS34" i="1"/>
  <c r="ALT34" i="1" a="1"/>
  <c r="ALT34" i="1" s="1"/>
  <c r="ALY34" i="1"/>
  <c r="ALZ34" i="1" a="1"/>
  <c r="ALZ34" i="1"/>
  <c r="ALX34" i="1" s="1" a="1"/>
  <c r="ALX34" i="1" s="1"/>
  <c r="AMA34" i="1" s="1"/>
  <c r="AME34" i="1"/>
  <c r="AMF34" i="1" a="1"/>
  <c r="AMF34" i="1"/>
  <c r="AMK34" i="1"/>
  <c r="AML34" i="1" a="1"/>
  <c r="AML34" i="1" s="1"/>
  <c r="AMQ34" i="1"/>
  <c r="AMR34" i="1" a="1"/>
  <c r="AMR34" i="1" s="1"/>
  <c r="AMW34" i="1"/>
  <c r="AMX34" i="1" a="1"/>
  <c r="AMX34" i="1" s="1"/>
  <c r="ANC34" i="1"/>
  <c r="AND34" i="1" a="1"/>
  <c r="AND34" i="1" s="1"/>
  <c r="ANI34" i="1"/>
  <c r="ANJ34" i="1" a="1"/>
  <c r="ANJ34" i="1" s="1"/>
  <c r="ANH34" i="1" s="1" a="1"/>
  <c r="ANH34" i="1" s="1"/>
  <c r="ANK34" i="1" s="1"/>
  <c r="ANO34" i="1"/>
  <c r="ANP34" i="1" a="1"/>
  <c r="ANP34" i="1" s="1"/>
  <c r="ANU34" i="1"/>
  <c r="ANV34" i="1" a="1"/>
  <c r="ANV34" i="1"/>
  <c r="ANT34" i="1" s="1" a="1"/>
  <c r="ANT34" i="1" s="1"/>
  <c r="ANW34" i="1" s="1"/>
  <c r="AOA34" i="1"/>
  <c r="AOB34" i="1" a="1"/>
  <c r="AOB34" i="1"/>
  <c r="AOG34" i="1"/>
  <c r="AOH34" i="1" a="1"/>
  <c r="AOH34" i="1" s="1"/>
  <c r="AOF34" i="1" s="1" a="1"/>
  <c r="AOF34" i="1" s="1"/>
  <c r="AOI34" i="1" s="1"/>
  <c r="AOM34" i="1"/>
  <c r="AON34" i="1" a="1"/>
  <c r="AON34" i="1" s="1"/>
  <c r="AOS34" i="1"/>
  <c r="AOT34" i="1" a="1"/>
  <c r="AOT34" i="1" s="1"/>
  <c r="AOR34" i="1" s="1" a="1"/>
  <c r="AOR34" i="1" s="1"/>
  <c r="AOU34" i="1" s="1"/>
  <c r="AOY34" i="1"/>
  <c r="AOZ34" i="1" a="1"/>
  <c r="AOZ34" i="1" s="1"/>
  <c r="APE34" i="1"/>
  <c r="APF34" i="1" a="1"/>
  <c r="APF34" i="1" s="1"/>
  <c r="APD34" i="1" s="1" a="1"/>
  <c r="APD34" i="1" s="1"/>
  <c r="APG34" i="1" s="1"/>
  <c r="APK34" i="1"/>
  <c r="APL34" i="1" a="1"/>
  <c r="APL34" i="1" s="1"/>
  <c r="APQ34" i="1"/>
  <c r="APR34" i="1" a="1"/>
  <c r="APR34" i="1"/>
  <c r="APP34" i="1" s="1" a="1"/>
  <c r="APP34" i="1" s="1"/>
  <c r="APS34" i="1" s="1"/>
  <c r="APW34" i="1"/>
  <c r="APX34" i="1" a="1"/>
  <c r="APX34" i="1"/>
  <c r="AQC34" i="1"/>
  <c r="AQD34" i="1" a="1"/>
  <c r="AQD34" i="1" s="1"/>
  <c r="AQI34" i="1"/>
  <c r="AQJ34" i="1" a="1"/>
  <c r="AQJ34" i="1" s="1"/>
  <c r="AQO34" i="1"/>
  <c r="AQP34" i="1" a="1"/>
  <c r="AQP34" i="1" s="1"/>
  <c r="AQN34" i="1" s="1" a="1"/>
  <c r="AQN34" i="1" s="1"/>
  <c r="AQQ34" i="1" s="1"/>
  <c r="AQU34" i="1"/>
  <c r="AQV34" i="1" a="1"/>
  <c r="AQV34" i="1" s="1"/>
  <c r="ARA34" i="1"/>
  <c r="ARB34" i="1" a="1"/>
  <c r="ARB34" i="1" s="1"/>
  <c r="AQZ34" i="1" s="1" a="1"/>
  <c r="AQZ34" i="1" s="1"/>
  <c r="ARC34" i="1" s="1"/>
  <c r="ARG34" i="1"/>
  <c r="ARH34" i="1" a="1"/>
  <c r="ARH34" i="1" s="1"/>
  <c r="ARL34" i="1" a="1"/>
  <c r="ARL34" i="1" s="1"/>
  <c r="ARO34" i="1" s="1"/>
  <c r="ARM34" i="1"/>
  <c r="ARN34" i="1" a="1"/>
  <c r="ARN34" i="1"/>
  <c r="ARS34" i="1"/>
  <c r="ART34" i="1" a="1"/>
  <c r="ART34" i="1"/>
  <c r="ARY34" i="1"/>
  <c r="ARZ34" i="1" a="1"/>
  <c r="ARZ34" i="1"/>
  <c r="ARX34" i="1" s="1" a="1"/>
  <c r="ARX34" i="1" s="1"/>
  <c r="ASA34" i="1" s="1"/>
  <c r="ASE34" i="1"/>
  <c r="ASF34" i="1" a="1"/>
  <c r="ASF34" i="1"/>
  <c r="ASK34" i="1"/>
  <c r="ASL34" i="1" a="1"/>
  <c r="ASL34" i="1" s="1"/>
  <c r="ASJ34" i="1" s="1" a="1"/>
  <c r="ASJ34" i="1" s="1"/>
  <c r="ASM34" i="1" s="1"/>
  <c r="ASQ34" i="1"/>
  <c r="ASR34" i="1" a="1"/>
  <c r="ASR34" i="1" s="1"/>
  <c r="ASW34" i="1"/>
  <c r="ASX34" i="1" a="1"/>
  <c r="ASX34" i="1" s="1"/>
  <c r="ASV34" i="1" s="1" a="1"/>
  <c r="ASV34" i="1" s="1"/>
  <c r="ASY34" i="1" s="1"/>
  <c r="ATC34" i="1"/>
  <c r="ATD34" i="1" a="1"/>
  <c r="ATD34" i="1" s="1"/>
  <c r="ATH34" i="1" a="1"/>
  <c r="ATH34" i="1" s="1"/>
  <c r="ATK34" i="1" s="1"/>
  <c r="ATI34" i="1"/>
  <c r="ATJ34" i="1" a="1"/>
  <c r="ATJ34" i="1"/>
  <c r="ATO34" i="1"/>
  <c r="ATP34" i="1" a="1"/>
  <c r="ATP34" i="1"/>
  <c r="ATT34" i="1" a="1"/>
  <c r="ATT34" i="1" s="1"/>
  <c r="ATW34" i="1" s="1"/>
  <c r="ATU34" i="1"/>
  <c r="ATV34" i="1" a="1"/>
  <c r="ATV34" i="1"/>
  <c r="AUA34" i="1"/>
  <c r="AUB34" i="1" a="1"/>
  <c r="AUB34" i="1"/>
  <c r="WU34" i="1"/>
  <c r="WR34" i="1" a="1"/>
  <c r="WR34" i="1" s="1"/>
  <c r="WS34" i="1"/>
  <c r="WT34" i="1" a="1"/>
  <c r="WT34" i="1"/>
  <c r="WY34" i="1"/>
  <c r="WZ34" i="1" a="1"/>
  <c r="WZ34" i="1"/>
  <c r="Q34" i="1"/>
  <c r="R34" i="1" a="1"/>
  <c r="R34" i="1"/>
  <c r="P34" i="1" s="1" a="1"/>
  <c r="P34" i="1" s="1"/>
  <c r="S34" i="1" s="1"/>
  <c r="W34" i="1"/>
  <c r="X34" i="1" a="1"/>
  <c r="X34" i="1"/>
  <c r="AC34" i="1"/>
  <c r="AD34" i="1" a="1"/>
  <c r="AD34" i="1" s="1"/>
  <c r="AB34" i="1" s="1" a="1"/>
  <c r="AB34" i="1" s="1"/>
  <c r="AE34" i="1" s="1"/>
  <c r="AI34" i="1"/>
  <c r="AJ34" i="1" a="1"/>
  <c r="AJ34" i="1" s="1"/>
  <c r="AO34" i="1"/>
  <c r="AP34" i="1" a="1"/>
  <c r="AP34" i="1" s="1"/>
  <c r="AN34" i="1" s="1" a="1"/>
  <c r="AN34" i="1" s="1"/>
  <c r="AQ34" i="1" s="1"/>
  <c r="AU34" i="1"/>
  <c r="AV34" i="1" a="1"/>
  <c r="AV34" i="1" s="1"/>
  <c r="BA34" i="1"/>
  <c r="BB34" i="1" a="1"/>
  <c r="BB34" i="1"/>
  <c r="AZ34" i="1" s="1" a="1"/>
  <c r="AZ34" i="1" s="1"/>
  <c r="BC34" i="1" s="1"/>
  <c r="BG34" i="1"/>
  <c r="BH34" i="1" a="1"/>
  <c r="BH34" i="1"/>
  <c r="BM34" i="1"/>
  <c r="BN34" i="1" a="1"/>
  <c r="BN34" i="1"/>
  <c r="BL34" i="1" s="1" a="1"/>
  <c r="BL34" i="1" s="1"/>
  <c r="BO34" i="1" s="1"/>
  <c r="BS34" i="1"/>
  <c r="BT34" i="1" a="1"/>
  <c r="BT34" i="1"/>
  <c r="BY34" i="1"/>
  <c r="BZ34" i="1" a="1"/>
  <c r="BZ34" i="1" s="1"/>
  <c r="BX34" i="1" s="1" a="1"/>
  <c r="BX34" i="1" s="1"/>
  <c r="CA34" i="1" s="1"/>
  <c r="CE34" i="1"/>
  <c r="CF34" i="1" a="1"/>
  <c r="CF34" i="1" s="1"/>
  <c r="CK34" i="1"/>
  <c r="CL34" i="1" a="1"/>
  <c r="CL34" i="1" s="1"/>
  <c r="CJ34" i="1" s="1" a="1"/>
  <c r="CJ34" i="1" s="1"/>
  <c r="CM34" i="1" s="1"/>
  <c r="CQ34" i="1"/>
  <c r="CR34" i="1" a="1"/>
  <c r="CR34" i="1" s="1"/>
  <c r="CW34" i="1"/>
  <c r="CX34" i="1" a="1"/>
  <c r="CX34" i="1" s="1"/>
  <c r="CV34" i="1" s="1" a="1"/>
  <c r="CV34" i="1" s="1"/>
  <c r="CY34" i="1" s="1"/>
  <c r="DC34" i="1"/>
  <c r="DD34" i="1" a="1"/>
  <c r="DD34" i="1" s="1"/>
  <c r="DI34" i="1"/>
  <c r="DJ34" i="1" a="1"/>
  <c r="DJ34" i="1"/>
  <c r="DH34" i="1" s="1" a="1"/>
  <c r="DH34" i="1" s="1"/>
  <c r="DK34" i="1" s="1"/>
  <c r="DO34" i="1"/>
  <c r="DP34" i="1" a="1"/>
  <c r="DP34" i="1"/>
  <c r="DU34" i="1"/>
  <c r="DV34" i="1" a="1"/>
  <c r="DV34" i="1" s="1"/>
  <c r="EA34" i="1"/>
  <c r="EB34" i="1" a="1"/>
  <c r="EB34" i="1" s="1"/>
  <c r="EG34" i="1"/>
  <c r="EH34" i="1" a="1"/>
  <c r="EH34" i="1" s="1"/>
  <c r="EM34" i="1"/>
  <c r="EN34" i="1" a="1"/>
  <c r="EN34" i="1" s="1"/>
  <c r="ES34" i="1"/>
  <c r="ET34" i="1" a="1"/>
  <c r="ET34" i="1" s="1"/>
  <c r="EY34" i="1"/>
  <c r="EZ34" i="1" a="1"/>
  <c r="EZ34" i="1" s="1"/>
  <c r="FE34" i="1"/>
  <c r="FF34" i="1" a="1"/>
  <c r="FF34" i="1"/>
  <c r="FD34" i="1" s="1" a="1"/>
  <c r="FD34" i="1" s="1"/>
  <c r="FG34" i="1" s="1"/>
  <c r="FK34" i="1"/>
  <c r="FL34" i="1" a="1"/>
  <c r="FL34" i="1"/>
  <c r="FQ34" i="1"/>
  <c r="FR34" i="1" a="1"/>
  <c r="FR34" i="1" s="1"/>
  <c r="FP34" i="1" s="1" a="1"/>
  <c r="FP34" i="1" s="1"/>
  <c r="FS34" i="1" s="1"/>
  <c r="FW34" i="1"/>
  <c r="FX34" i="1" a="1"/>
  <c r="FX34" i="1" s="1"/>
  <c r="GC34" i="1"/>
  <c r="GD34" i="1" a="1"/>
  <c r="GD34" i="1" s="1"/>
  <c r="GB34" i="1" s="1" a="1"/>
  <c r="GB34" i="1" s="1"/>
  <c r="GE34" i="1" s="1"/>
  <c r="GI34" i="1"/>
  <c r="GJ34" i="1" a="1"/>
  <c r="GJ34" i="1" s="1"/>
  <c r="GO34" i="1"/>
  <c r="GP34" i="1" a="1"/>
  <c r="GP34" i="1" s="1"/>
  <c r="GN34" i="1" s="1" a="1"/>
  <c r="GN34" i="1" s="1"/>
  <c r="GQ34" i="1" s="1"/>
  <c r="GU34" i="1"/>
  <c r="GV34" i="1" a="1"/>
  <c r="GV34" i="1" s="1"/>
  <c r="HA34" i="1"/>
  <c r="HB34" i="1" a="1"/>
  <c r="HB34" i="1"/>
  <c r="GZ34" i="1" s="1" a="1"/>
  <c r="GZ34" i="1" s="1"/>
  <c r="HC34" i="1" s="1"/>
  <c r="HG34" i="1"/>
  <c r="HH34" i="1" a="1"/>
  <c r="HH34" i="1"/>
  <c r="HM34" i="1"/>
  <c r="HN34" i="1" a="1"/>
  <c r="HN34" i="1" s="1"/>
  <c r="HS34" i="1"/>
  <c r="HT34" i="1" a="1"/>
  <c r="HT34" i="1" s="1"/>
  <c r="HY34" i="1"/>
  <c r="HZ34" i="1" a="1"/>
  <c r="HZ34" i="1" s="1"/>
  <c r="IE34" i="1"/>
  <c r="IF34" i="1" a="1"/>
  <c r="IF34" i="1" s="1"/>
  <c r="IK34" i="1"/>
  <c r="IL34" i="1" a="1"/>
  <c r="IL34" i="1" s="1"/>
  <c r="IQ34" i="1"/>
  <c r="IR34" i="1" a="1"/>
  <c r="IR34" i="1" s="1"/>
  <c r="IW34" i="1"/>
  <c r="IX34" i="1" a="1"/>
  <c r="IX34" i="1"/>
  <c r="IV34" i="1" s="1" a="1"/>
  <c r="IV34" i="1" s="1"/>
  <c r="IY34" i="1" s="1"/>
  <c r="JC34" i="1"/>
  <c r="JD34" i="1" a="1"/>
  <c r="JD34" i="1"/>
  <c r="JI34" i="1"/>
  <c r="JJ34" i="1" a="1"/>
  <c r="JJ34" i="1" s="1"/>
  <c r="JH34" i="1" s="1" a="1"/>
  <c r="JH34" i="1" s="1"/>
  <c r="JK34" i="1" s="1"/>
  <c r="JO34" i="1"/>
  <c r="JP34" i="1" a="1"/>
  <c r="JP34" i="1" s="1"/>
  <c r="JU34" i="1"/>
  <c r="JV34" i="1" a="1"/>
  <c r="JV34" i="1" s="1"/>
  <c r="JT34" i="1" s="1" a="1"/>
  <c r="JT34" i="1" s="1"/>
  <c r="JW34" i="1" s="1"/>
  <c r="KA34" i="1"/>
  <c r="KB34" i="1" a="1"/>
  <c r="KB34" i="1" s="1"/>
  <c r="KG34" i="1"/>
  <c r="KH34" i="1" a="1"/>
  <c r="KH34" i="1" s="1"/>
  <c r="KF34" i="1" s="1" a="1"/>
  <c r="KF34" i="1" s="1"/>
  <c r="KI34" i="1" s="1"/>
  <c r="KM34" i="1"/>
  <c r="KN34" i="1" a="1"/>
  <c r="KN34" i="1" s="1"/>
  <c r="KS34" i="1"/>
  <c r="KT34" i="1" a="1"/>
  <c r="KT34" i="1"/>
  <c r="KR34" i="1" s="1" a="1"/>
  <c r="KR34" i="1" s="1"/>
  <c r="KU34" i="1" s="1"/>
  <c r="KY34" i="1"/>
  <c r="KZ34" i="1" a="1"/>
  <c r="KZ34" i="1"/>
  <c r="LE34" i="1"/>
  <c r="LF34" i="1" a="1"/>
  <c r="LF34" i="1" s="1"/>
  <c r="LK34" i="1"/>
  <c r="LL34" i="1" a="1"/>
  <c r="LL34" i="1" s="1"/>
  <c r="LQ34" i="1"/>
  <c r="LR34" i="1" a="1"/>
  <c r="LR34" i="1" s="1"/>
  <c r="LW34" i="1"/>
  <c r="LX34" i="1" a="1"/>
  <c r="LX34" i="1" s="1"/>
  <c r="MC34" i="1"/>
  <c r="MD34" i="1" a="1"/>
  <c r="MD34" i="1" s="1"/>
  <c r="MI34" i="1"/>
  <c r="MJ34" i="1" a="1"/>
  <c r="MJ34" i="1" s="1"/>
  <c r="MO34" i="1"/>
  <c r="MP34" i="1" a="1"/>
  <c r="MP34" i="1"/>
  <c r="MN34" i="1" s="1" a="1"/>
  <c r="MN34" i="1" s="1"/>
  <c r="MQ34" i="1" s="1"/>
  <c r="MU34" i="1"/>
  <c r="MV34" i="1" a="1"/>
  <c r="MV34" i="1"/>
  <c r="NA34" i="1"/>
  <c r="NB34" i="1" a="1"/>
  <c r="NB34" i="1" s="1"/>
  <c r="MZ34" i="1" s="1" a="1"/>
  <c r="MZ34" i="1" s="1"/>
  <c r="NC34" i="1" s="1"/>
  <c r="NG34" i="1"/>
  <c r="NH34" i="1" a="1"/>
  <c r="NH34" i="1" s="1"/>
  <c r="NM34" i="1"/>
  <c r="NN34" i="1" a="1"/>
  <c r="NN34" i="1" s="1"/>
  <c r="NL34" i="1" s="1" a="1"/>
  <c r="NL34" i="1" s="1"/>
  <c r="NO34" i="1" s="1"/>
  <c r="NS34" i="1"/>
  <c r="NT34" i="1" a="1"/>
  <c r="NT34" i="1" s="1"/>
  <c r="NY34" i="1"/>
  <c r="NZ34" i="1" a="1"/>
  <c r="NZ34" i="1" s="1"/>
  <c r="NX34" i="1" s="1" a="1"/>
  <c r="NX34" i="1" s="1"/>
  <c r="OA34" i="1" s="1"/>
  <c r="OE34" i="1"/>
  <c r="OF34" i="1" a="1"/>
  <c r="OF34" i="1" s="1"/>
  <c r="OK34" i="1"/>
  <c r="OL34" i="1" a="1"/>
  <c r="OL34" i="1"/>
  <c r="OJ34" i="1" s="1" a="1"/>
  <c r="OJ34" i="1" s="1"/>
  <c r="OM34" i="1" s="1"/>
  <c r="OQ34" i="1"/>
  <c r="OR34" i="1" a="1"/>
  <c r="OR34" i="1"/>
  <c r="OW34" i="1"/>
  <c r="OX34" i="1" a="1"/>
  <c r="OX34" i="1" s="1"/>
  <c r="PC34" i="1"/>
  <c r="PD34" i="1" a="1"/>
  <c r="PD34" i="1" s="1"/>
  <c r="PI34" i="1"/>
  <c r="PJ34" i="1" a="1"/>
  <c r="PJ34" i="1" s="1"/>
  <c r="PO34" i="1"/>
  <c r="PP34" i="1" a="1"/>
  <c r="PP34" i="1" s="1"/>
  <c r="PU34" i="1"/>
  <c r="PV34" i="1" a="1"/>
  <c r="PV34" i="1" s="1"/>
  <c r="QA34" i="1"/>
  <c r="QB34" i="1" a="1"/>
  <c r="QB34" i="1" s="1"/>
  <c r="QG34" i="1"/>
  <c r="QH34" i="1" a="1"/>
  <c r="QH34" i="1"/>
  <c r="QF34" i="1" s="1" a="1"/>
  <c r="QF34" i="1" s="1"/>
  <c r="QI34" i="1" s="1"/>
  <c r="QM34" i="1"/>
  <c r="QN34" i="1" a="1"/>
  <c r="QN34" i="1"/>
  <c r="QS34" i="1"/>
  <c r="QT34" i="1" a="1"/>
  <c r="QT34" i="1" s="1"/>
  <c r="QR34" i="1" s="1" a="1"/>
  <c r="QR34" i="1" s="1"/>
  <c r="QU34" i="1" s="1"/>
  <c r="QY34" i="1"/>
  <c r="QZ34" i="1" a="1"/>
  <c r="QZ34" i="1" s="1"/>
  <c r="RE34" i="1"/>
  <c r="RF34" i="1" a="1"/>
  <c r="RF34" i="1" s="1"/>
  <c r="RD34" i="1" s="1" a="1"/>
  <c r="RD34" i="1" s="1"/>
  <c r="RG34" i="1" s="1"/>
  <c r="RK34" i="1"/>
  <c r="RL34" i="1" a="1"/>
  <c r="RL34" i="1" s="1"/>
  <c r="RQ34" i="1"/>
  <c r="RR34" i="1" a="1"/>
  <c r="RR34" i="1" s="1"/>
  <c r="RP34" i="1" s="1" a="1"/>
  <c r="RP34" i="1" s="1"/>
  <c r="RS34" i="1" s="1"/>
  <c r="RW34" i="1"/>
  <c r="RX34" i="1" a="1"/>
  <c r="RX34" i="1" s="1"/>
  <c r="SC34" i="1"/>
  <c r="SD34" i="1" a="1"/>
  <c r="SD34" i="1"/>
  <c r="SB34" i="1" s="1" a="1"/>
  <c r="SB34" i="1" s="1"/>
  <c r="SE34" i="1" s="1"/>
  <c r="SI34" i="1"/>
  <c r="SJ34" i="1" a="1"/>
  <c r="SJ34" i="1"/>
  <c r="SO34" i="1"/>
  <c r="SP34" i="1" a="1"/>
  <c r="SP34" i="1" s="1"/>
  <c r="SU34" i="1"/>
  <c r="SV34" i="1" a="1"/>
  <c r="SV34" i="1" s="1"/>
  <c r="TA34" i="1"/>
  <c r="TB34" i="1" a="1"/>
  <c r="TB34" i="1" s="1"/>
  <c r="TG34" i="1"/>
  <c r="TH34" i="1" a="1"/>
  <c r="TH34" i="1" s="1"/>
  <c r="TM34" i="1"/>
  <c r="TN34" i="1" a="1"/>
  <c r="TN34" i="1" s="1"/>
  <c r="TS34" i="1"/>
  <c r="TT34" i="1" a="1"/>
  <c r="TT34" i="1" s="1"/>
  <c r="TY34" i="1"/>
  <c r="TZ34" i="1" a="1"/>
  <c r="TZ34" i="1"/>
  <c r="TX34" i="1" s="1" a="1"/>
  <c r="TX34" i="1" s="1"/>
  <c r="UA34" i="1" s="1"/>
  <c r="UE34" i="1"/>
  <c r="UF34" i="1" a="1"/>
  <c r="UF34" i="1"/>
  <c r="UK34" i="1"/>
  <c r="UL34" i="1" a="1"/>
  <c r="UL34" i="1"/>
  <c r="UJ34" i="1" s="1" a="1"/>
  <c r="UJ34" i="1" s="1"/>
  <c r="UM34" i="1" s="1"/>
  <c r="UQ34" i="1"/>
  <c r="UR34" i="1" a="1"/>
  <c r="UR34" i="1"/>
  <c r="UW34" i="1"/>
  <c r="UX34" i="1" a="1"/>
  <c r="UX34" i="1"/>
  <c r="UV34" i="1" s="1" a="1"/>
  <c r="UV34" i="1" s="1"/>
  <c r="UY34" i="1" s="1"/>
  <c r="VC34" i="1"/>
  <c r="VD34" i="1" a="1"/>
  <c r="VD34" i="1"/>
  <c r="VI34" i="1"/>
  <c r="VJ34" i="1" a="1"/>
  <c r="VJ34" i="1" s="1"/>
  <c r="VH34" i="1" s="1" a="1"/>
  <c r="VH34" i="1" s="1"/>
  <c r="VK34" i="1" s="1"/>
  <c r="VO34" i="1"/>
  <c r="VP34" i="1" a="1"/>
  <c r="VP34" i="1" s="1"/>
  <c r="VU34" i="1"/>
  <c r="VV34" i="1" a="1"/>
  <c r="VV34" i="1"/>
  <c r="VT34" i="1" s="1" a="1"/>
  <c r="VT34" i="1" s="1"/>
  <c r="VW34" i="1" s="1"/>
  <c r="WA34" i="1"/>
  <c r="WB34" i="1" a="1"/>
  <c r="WB34" i="1"/>
  <c r="WF34" i="1" a="1"/>
  <c r="WF34" i="1" s="1"/>
  <c r="WI34" i="1" s="1"/>
  <c r="WG34" i="1"/>
  <c r="WH34" i="1" a="1"/>
  <c r="WH34" i="1"/>
  <c r="WM34" i="1"/>
  <c r="WN34" i="1" a="1"/>
  <c r="WN34" i="1"/>
  <c r="L34" i="1"/>
  <c r="L34" i="1" a="1"/>
  <c r="K34" i="1"/>
  <c r="F34" i="1" a="1"/>
  <c r="F34" i="1" s="1"/>
  <c r="E34" i="1"/>
  <c r="E49" i="1" l="1" a="1"/>
  <c r="E49" i="1" s="1"/>
  <c r="E50" i="1" a="1"/>
  <c r="E50" i="1" s="1"/>
  <c r="D50" i="1" a="1"/>
  <c r="D50" i="1" s="1"/>
  <c r="J55" i="1" s="1"/>
  <c r="F50" i="1" a="1"/>
  <c r="F50" i="1" s="1"/>
  <c r="F49" i="1" a="1"/>
  <c r="F49" i="1" s="1"/>
  <c r="D34" i="1" a="1"/>
  <c r="D34" i="1" s="1"/>
  <c r="G34" i="1" s="1"/>
  <c r="C50" i="1" a="1"/>
  <c r="C50" i="1" s="1"/>
  <c r="J54" i="1" s="1"/>
  <c r="AGV34" i="1" a="1"/>
  <c r="AGV34" i="1" s="1"/>
  <c r="AGY34" i="1" s="1"/>
  <c r="ADP34" i="1" a="1"/>
  <c r="ADP34" i="1" s="1"/>
  <c r="ADS34" i="1" s="1"/>
  <c r="ADD34" i="1" a="1"/>
  <c r="ADD34" i="1" s="1"/>
  <c r="ADG34" i="1" s="1"/>
  <c r="ZX34" i="1" a="1"/>
  <c r="ZX34" i="1" s="1"/>
  <c r="AAA34" i="1" s="1"/>
  <c r="ZL34" i="1" a="1"/>
  <c r="ZL34" i="1" s="1"/>
  <c r="ZO34" i="1" s="1"/>
  <c r="AQB34" i="1" a="1"/>
  <c r="AQB34" i="1" s="1"/>
  <c r="AQE34" i="1" s="1"/>
  <c r="AMV34" i="1" a="1"/>
  <c r="AMV34" i="1" s="1"/>
  <c r="AMY34" i="1" s="1"/>
  <c r="AIR34" i="1" a="1"/>
  <c r="AIR34" i="1" s="1"/>
  <c r="AIU34" i="1" s="1"/>
  <c r="AEZ34" i="1" a="1"/>
  <c r="AEZ34" i="1" s="1"/>
  <c r="AFC34" i="1" s="1"/>
  <c r="ABH34" i="1" a="1"/>
  <c r="ABH34" i="1" s="1"/>
  <c r="ABK34" i="1" s="1"/>
  <c r="AMJ34" i="1" a="1"/>
  <c r="AMJ34" i="1" s="1"/>
  <c r="AMM34" i="1" s="1"/>
  <c r="AJD34" i="1" a="1"/>
  <c r="AJD34" i="1" s="1"/>
  <c r="AJG34" i="1" s="1"/>
  <c r="TL34" i="1" a="1"/>
  <c r="TL34" i="1" s="1"/>
  <c r="TO34" i="1" s="1"/>
  <c r="SN34" i="1" a="1"/>
  <c r="SN34" i="1" s="1"/>
  <c r="SQ34" i="1" s="1"/>
  <c r="PH34" i="1" a="1"/>
  <c r="PH34" i="1" s="1"/>
  <c r="PK34" i="1" s="1"/>
  <c r="MB34" i="1" a="1"/>
  <c r="MB34" i="1" s="1"/>
  <c r="ME34" i="1" s="1"/>
  <c r="LP34" i="1" a="1"/>
  <c r="LP34" i="1" s="1"/>
  <c r="LS34" i="1" s="1"/>
  <c r="LD34" i="1" a="1"/>
  <c r="LD34" i="1" s="1"/>
  <c r="LG34" i="1" s="1"/>
  <c r="IJ34" i="1" a="1"/>
  <c r="IJ34" i="1" s="1"/>
  <c r="IM34" i="1" s="1"/>
  <c r="HX34" i="1" a="1"/>
  <c r="HX34" i="1" s="1"/>
  <c r="IA34" i="1" s="1"/>
  <c r="HL34" i="1" a="1"/>
  <c r="HL34" i="1" s="1"/>
  <c r="HO34" i="1" s="1"/>
  <c r="ER34" i="1" a="1"/>
  <c r="ER34" i="1" s="1"/>
  <c r="EU34" i="1" s="1"/>
  <c r="EF34" i="1" a="1"/>
  <c r="EF34" i="1" s="1"/>
  <c r="EI34" i="1" s="1"/>
  <c r="DT34" i="1" a="1"/>
  <c r="DT34" i="1" s="1"/>
  <c r="DW34" i="1" s="1"/>
  <c r="SZ34" i="1" a="1"/>
  <c r="SZ34" i="1" s="1"/>
  <c r="TC34" i="1" s="1"/>
  <c r="PT34" i="1" a="1"/>
  <c r="PT34" i="1" s="1"/>
  <c r="PW34" i="1" s="1"/>
  <c r="OV34" i="1" a="1"/>
  <c r="OV34" i="1" s="1"/>
  <c r="OY34" i="1" s="1"/>
  <c r="J56" i="1" l="1"/>
  <c r="B50" i="1"/>
  <c r="B49" i="1"/>
  <c r="H57" i="1" l="1"/>
  <c r="J57" i="1"/>
  <c r="B51" i="1"/>
  <c r="ALV21" i="1" l="1"/>
  <c r="AGT21" i="1"/>
  <c r="AMB20" i="1"/>
  <c r="ALV20" i="1"/>
  <c r="AGZ20" i="1"/>
  <c r="AGT20" i="1"/>
  <c r="AEF20" i="1"/>
  <c r="ADZ20" i="1"/>
  <c r="CZ20" i="1"/>
  <c r="CT20" i="1"/>
  <c r="H20" i="1"/>
  <c r="B20" i="1"/>
  <c r="AMB19" i="1"/>
  <c r="ALV19" i="1"/>
  <c r="ALD19" i="1"/>
  <c r="AKX19" i="1"/>
  <c r="AGZ19" i="1"/>
  <c r="AGT19" i="1"/>
  <c r="AEF19" i="1"/>
  <c r="ADZ19" i="1"/>
  <c r="ADN19" i="1"/>
  <c r="ACP19" i="1"/>
  <c r="ABX19" i="1"/>
  <c r="ABR19" i="1"/>
  <c r="UH19" i="1"/>
  <c r="ND19" i="1"/>
  <c r="MX19" i="1"/>
  <c r="MF19" i="1"/>
  <c r="LZ19" i="1"/>
  <c r="IH19" i="1"/>
  <c r="CZ19" i="1"/>
  <c r="CT19" i="1"/>
  <c r="H19" i="1"/>
  <c r="B19" i="1"/>
  <c r="ASH18" i="1"/>
  <c r="AMB18" i="1"/>
  <c r="ALV18" i="1"/>
  <c r="ALD18" i="1"/>
  <c r="AKX18" i="1"/>
  <c r="AJB18" i="1"/>
  <c r="AGZ18" i="1"/>
  <c r="AGT18" i="1"/>
  <c r="AGH18" i="1"/>
  <c r="AFV18" i="1"/>
  <c r="AEL18" i="1"/>
  <c r="AEF18" i="1"/>
  <c r="ADZ18" i="1"/>
  <c r="ADT18" i="1"/>
  <c r="ADN18" i="1"/>
  <c r="ADB18" i="1"/>
  <c r="ACV18" i="1"/>
  <c r="ACP18" i="1"/>
  <c r="ABX18" i="1"/>
  <c r="ABR18" i="1"/>
  <c r="ZV18" i="1"/>
  <c r="UN18" i="1"/>
  <c r="UH18" i="1"/>
  <c r="RT18" i="1"/>
  <c r="RN18" i="1"/>
  <c r="ND18" i="1"/>
  <c r="MX18" i="1"/>
  <c r="MF18" i="1"/>
  <c r="LZ18" i="1"/>
  <c r="IN18" i="1"/>
  <c r="IH18" i="1"/>
  <c r="CZ18" i="1"/>
  <c r="CT18" i="1"/>
  <c r="H18" i="1"/>
  <c r="B18" i="1"/>
  <c r="ASZ17" i="1"/>
  <c r="AST17" i="1"/>
  <c r="ASN17" i="1"/>
  <c r="ASH17" i="1"/>
  <c r="ARJ17" i="1"/>
  <c r="ANR17" i="1"/>
  <c r="AMB17" i="1"/>
  <c r="ALV17" i="1"/>
  <c r="ALJ17" i="1"/>
  <c r="ALD17" i="1"/>
  <c r="AKX17" i="1"/>
  <c r="AJH17" i="1"/>
  <c r="AJB17" i="1"/>
  <c r="AHX17" i="1"/>
  <c r="AHR17" i="1"/>
  <c r="AHL17" i="1"/>
  <c r="AHF17" i="1"/>
  <c r="AGZ17" i="1"/>
  <c r="AGT17" i="1"/>
  <c r="AGN17" i="1"/>
  <c r="AGH17" i="1"/>
  <c r="AGB17" i="1"/>
  <c r="AFV17" i="1"/>
  <c r="AER17" i="1"/>
  <c r="AEL17" i="1"/>
  <c r="AEF17" i="1"/>
  <c r="ADZ17" i="1"/>
  <c r="ADT17" i="1"/>
  <c r="ADN17" i="1"/>
  <c r="ADH17" i="1"/>
  <c r="ADB17" i="1"/>
  <c r="ACV17" i="1"/>
  <c r="ACP17" i="1"/>
  <c r="ABX17" i="1"/>
  <c r="ABR17" i="1"/>
  <c r="AAB17" i="1"/>
  <c r="ZV17" i="1"/>
  <c r="YX17" i="1"/>
  <c r="UT17" i="1"/>
  <c r="UN17" i="1"/>
  <c r="UH17" i="1"/>
  <c r="RT17" i="1"/>
  <c r="RN17" i="1"/>
  <c r="OT17" i="1"/>
  <c r="ON17" i="1"/>
  <c r="OH17" i="1"/>
  <c r="OB17" i="1"/>
  <c r="NV17" i="1"/>
  <c r="ND17" i="1"/>
  <c r="MX17" i="1"/>
  <c r="MF17" i="1"/>
  <c r="LZ17" i="1"/>
  <c r="JR17" i="1"/>
  <c r="IN17" i="1"/>
  <c r="IH17" i="1"/>
  <c r="GX17" i="1"/>
  <c r="FZ17" i="1"/>
  <c r="EP17" i="1"/>
  <c r="CZ17" i="1"/>
  <c r="CT17" i="1"/>
  <c r="BD17" i="1"/>
  <c r="AX17" i="1"/>
  <c r="H17" i="1"/>
  <c r="B17" i="1"/>
  <c r="ASZ16" i="1"/>
  <c r="AST16" i="1"/>
  <c r="ASN16" i="1"/>
  <c r="ASH16" i="1"/>
  <c r="ARP16" i="1"/>
  <c r="ARJ16" i="1"/>
  <c r="APT16" i="1"/>
  <c r="APN16" i="1"/>
  <c r="APH16" i="1"/>
  <c r="APB16" i="1"/>
  <c r="ANX16" i="1"/>
  <c r="ANR16" i="1"/>
  <c r="ANL16" i="1"/>
  <c r="ANF16" i="1"/>
  <c r="AMT16" i="1"/>
  <c r="AMN16" i="1"/>
  <c r="AMH16" i="1"/>
  <c r="AMB16" i="1"/>
  <c r="ALV16" i="1"/>
  <c r="ALP16" i="1"/>
  <c r="ALJ16" i="1"/>
  <c r="ALD16" i="1"/>
  <c r="AKX16" i="1"/>
  <c r="AJH16" i="1"/>
  <c r="AJB16" i="1"/>
  <c r="AHX16" i="1"/>
  <c r="AHR16" i="1"/>
  <c r="AHL16" i="1"/>
  <c r="AHF16" i="1"/>
  <c r="AGZ16" i="1"/>
  <c r="AGT16" i="1"/>
  <c r="AGN16" i="1"/>
  <c r="AGH16" i="1"/>
  <c r="AGB16" i="1"/>
  <c r="AFV16" i="1"/>
  <c r="AFD16" i="1"/>
  <c r="AEX16" i="1"/>
  <c r="AER16" i="1"/>
  <c r="AEL16" i="1"/>
  <c r="AEF16" i="1"/>
  <c r="ADZ16" i="1"/>
  <c r="ADT16" i="1"/>
  <c r="ADN16" i="1"/>
  <c r="ADH16" i="1"/>
  <c r="ADB16" i="1"/>
  <c r="ACV16" i="1"/>
  <c r="ACP16" i="1"/>
  <c r="ABX16" i="1"/>
  <c r="ABR16" i="1"/>
  <c r="AAB16" i="1"/>
  <c r="ZV16" i="1"/>
  <c r="ZD16" i="1"/>
  <c r="YX16" i="1"/>
  <c r="XZ16" i="1"/>
  <c r="WP16" i="1"/>
  <c r="VX16" i="1"/>
  <c r="VR16" i="1"/>
  <c r="UZ16" i="1"/>
  <c r="UT16" i="1"/>
  <c r="UN16" i="1"/>
  <c r="UH16" i="1"/>
  <c r="TV16" i="1"/>
  <c r="RT16" i="1"/>
  <c r="RN16" i="1"/>
  <c r="QP16" i="1"/>
  <c r="PR16" i="1"/>
  <c r="OZ16" i="1"/>
  <c r="OT16" i="1"/>
  <c r="ON16" i="1"/>
  <c r="OH16" i="1"/>
  <c r="OB16" i="1"/>
  <c r="NV16" i="1"/>
  <c r="NP16" i="1"/>
  <c r="NJ16" i="1"/>
  <c r="ND16" i="1"/>
  <c r="MX16" i="1"/>
  <c r="MR16" i="1"/>
  <c r="ML16" i="1"/>
  <c r="MF16" i="1"/>
  <c r="LZ16" i="1"/>
  <c r="LT16" i="1"/>
  <c r="LN16" i="1"/>
  <c r="KJ16" i="1"/>
  <c r="KD16" i="1"/>
  <c r="JX16" i="1"/>
  <c r="JR16" i="1"/>
  <c r="IZ16" i="1"/>
  <c r="IT16" i="1"/>
  <c r="IN16" i="1"/>
  <c r="IH16" i="1"/>
  <c r="HD16" i="1"/>
  <c r="GX16" i="1"/>
  <c r="GF16" i="1"/>
  <c r="FZ16" i="1"/>
  <c r="FT16" i="1"/>
  <c r="FN16" i="1"/>
  <c r="FH16" i="1"/>
  <c r="FB16" i="1"/>
  <c r="EV16" i="1"/>
  <c r="EP16" i="1"/>
  <c r="DF16" i="1"/>
  <c r="CZ16" i="1"/>
  <c r="CT16" i="1"/>
  <c r="BJ16" i="1"/>
  <c r="BD16" i="1"/>
  <c r="AX16" i="1"/>
  <c r="AF16" i="1"/>
  <c r="Z16" i="1"/>
  <c r="N16" i="1"/>
  <c r="H16" i="1"/>
  <c r="B16" i="1"/>
  <c r="ATF15" i="1"/>
  <c r="ASZ15" i="1"/>
  <c r="AST15" i="1"/>
  <c r="ASN15" i="1"/>
  <c r="ASH15" i="1"/>
  <c r="ASB15" i="1"/>
  <c r="ARV15" i="1"/>
  <c r="ARP15" i="1"/>
  <c r="ARJ15" i="1"/>
  <c r="APT15" i="1"/>
  <c r="APN15" i="1"/>
  <c r="APH15" i="1"/>
  <c r="APB15" i="1"/>
  <c r="AOP15" i="1"/>
  <c r="AOJ15" i="1"/>
  <c r="AOD15" i="1"/>
  <c r="ANX15" i="1"/>
  <c r="ANR15" i="1"/>
  <c r="ANL15" i="1"/>
  <c r="ANF15" i="1"/>
  <c r="AMZ15" i="1"/>
  <c r="AMT15" i="1"/>
  <c r="AMN15" i="1"/>
  <c r="AMH15" i="1"/>
  <c r="AMB15" i="1"/>
  <c r="ALV15" i="1"/>
  <c r="ALP15" i="1"/>
  <c r="ALJ15" i="1"/>
  <c r="ALD15" i="1"/>
  <c r="AKX15" i="1"/>
  <c r="AJZ15" i="1"/>
  <c r="AJH15" i="1"/>
  <c r="AJB15" i="1"/>
  <c r="AIV15" i="1"/>
  <c r="AIP15" i="1"/>
  <c r="AHX15" i="1"/>
  <c r="AHR15" i="1"/>
  <c r="AHL15" i="1"/>
  <c r="AHF15" i="1"/>
  <c r="AGZ15" i="1"/>
  <c r="AGT15" i="1"/>
  <c r="AGN15" i="1"/>
  <c r="AGH15" i="1"/>
  <c r="AGB15" i="1"/>
  <c r="AFV15" i="1"/>
  <c r="AFP15" i="1"/>
  <c r="AFJ15" i="1"/>
  <c r="AFD15" i="1"/>
  <c r="AEX15" i="1"/>
  <c r="AER15" i="1"/>
  <c r="AEL15" i="1"/>
  <c r="AEF15" i="1"/>
  <c r="ADZ15" i="1"/>
  <c r="ADT15" i="1"/>
  <c r="ADN15" i="1"/>
  <c r="ADH15" i="1"/>
  <c r="ADB15" i="1"/>
  <c r="ACV15" i="1"/>
  <c r="ACP15" i="1"/>
  <c r="ACD15" i="1"/>
  <c r="ABX15" i="1"/>
  <c r="ABR15" i="1"/>
  <c r="ABL15" i="1"/>
  <c r="ABF15" i="1"/>
  <c r="AAZ15" i="1"/>
  <c r="AAT15" i="1"/>
  <c r="AAH15" i="1"/>
  <c r="AAB15" i="1"/>
  <c r="ZV15" i="1"/>
  <c r="ZD15" i="1"/>
  <c r="YX15" i="1"/>
  <c r="YL15" i="1"/>
  <c r="YF15" i="1"/>
  <c r="XZ15" i="1"/>
  <c r="XT15" i="1"/>
  <c r="XN15" i="1"/>
  <c r="WV15" i="1"/>
  <c r="WP15" i="1"/>
  <c r="VX15" i="1"/>
  <c r="VR15" i="1"/>
  <c r="UZ15" i="1"/>
  <c r="UT15" i="1"/>
  <c r="UN15" i="1"/>
  <c r="UH15" i="1"/>
  <c r="UB15" i="1"/>
  <c r="TV15" i="1"/>
  <c r="TP15" i="1"/>
  <c r="TJ15" i="1"/>
  <c r="SF15" i="1"/>
  <c r="RZ15" i="1"/>
  <c r="RT15" i="1"/>
  <c r="RN15" i="1"/>
  <c r="RB15" i="1"/>
  <c r="QV15" i="1"/>
  <c r="QP15" i="1"/>
  <c r="QJ15" i="1"/>
  <c r="QD15" i="1"/>
  <c r="PX15" i="1"/>
  <c r="PR15" i="1"/>
  <c r="PL15" i="1"/>
  <c r="PF15" i="1"/>
  <c r="OZ15" i="1"/>
  <c r="OT15" i="1"/>
  <c r="ON15" i="1"/>
  <c r="OH15" i="1"/>
  <c r="OB15" i="1"/>
  <c r="NV15" i="1"/>
  <c r="NP15" i="1"/>
  <c r="NJ15" i="1"/>
  <c r="ND15" i="1"/>
  <c r="MX15" i="1"/>
  <c r="MR15" i="1"/>
  <c r="ML15" i="1"/>
  <c r="MF15" i="1"/>
  <c r="LZ15" i="1"/>
  <c r="LT15" i="1"/>
  <c r="LN15" i="1"/>
  <c r="LH15" i="1"/>
  <c r="LB15" i="1"/>
  <c r="KV15" i="1"/>
  <c r="KP15" i="1"/>
  <c r="KJ15" i="1"/>
  <c r="KD15" i="1"/>
  <c r="JX15" i="1"/>
  <c r="JR15" i="1"/>
  <c r="JL15" i="1"/>
  <c r="JF15" i="1"/>
  <c r="IZ15" i="1"/>
  <c r="IT15" i="1"/>
  <c r="IN15" i="1"/>
  <c r="IH15" i="1"/>
  <c r="HV15" i="1"/>
  <c r="HD15" i="1"/>
  <c r="GX15" i="1"/>
  <c r="GR15" i="1"/>
  <c r="GL15" i="1"/>
  <c r="GF15" i="1"/>
  <c r="FZ15" i="1"/>
  <c r="FT15" i="1"/>
  <c r="FN15" i="1"/>
  <c r="FH15" i="1"/>
  <c r="FB15" i="1"/>
  <c r="EV15" i="1"/>
  <c r="EP15" i="1"/>
  <c r="DX15" i="1"/>
  <c r="DR15" i="1"/>
  <c r="DL15" i="1"/>
  <c r="DF15" i="1"/>
  <c r="CZ15" i="1"/>
  <c r="CT15" i="1"/>
  <c r="BV15" i="1"/>
  <c r="BP15" i="1"/>
  <c r="BJ15" i="1"/>
  <c r="BD15" i="1"/>
  <c r="AX15" i="1"/>
  <c r="AL15" i="1"/>
  <c r="AF15" i="1"/>
  <c r="Z15" i="1"/>
  <c r="T15" i="1"/>
  <c r="N15" i="1"/>
  <c r="H15" i="1"/>
  <c r="B15" i="1"/>
  <c r="ATX14" i="1"/>
  <c r="ATR14" i="1"/>
  <c r="ATL14" i="1"/>
  <c r="ATF14" i="1"/>
  <c r="ASZ14" i="1"/>
  <c r="AST14" i="1"/>
  <c r="ASN14" i="1"/>
  <c r="ASH14" i="1"/>
  <c r="ASB14" i="1"/>
  <c r="ARV14" i="1"/>
  <c r="ARP14" i="1"/>
  <c r="ARJ14" i="1"/>
  <c r="ARD14" i="1"/>
  <c r="AQX14" i="1"/>
  <c r="AQR14" i="1"/>
  <c r="AQL14" i="1"/>
  <c r="APZ14" i="1"/>
  <c r="APT14" i="1"/>
  <c r="APN14" i="1"/>
  <c r="APH14" i="1"/>
  <c r="APB14" i="1"/>
  <c r="AOV14" i="1"/>
  <c r="AOP14" i="1"/>
  <c r="AOJ14" i="1"/>
  <c r="AOD14" i="1"/>
  <c r="ANX14" i="1"/>
  <c r="ANR14" i="1"/>
  <c r="ANL14" i="1"/>
  <c r="ANF14" i="1"/>
  <c r="AMZ14" i="1"/>
  <c r="AMT14" i="1"/>
  <c r="AMN14" i="1"/>
  <c r="AMH14" i="1"/>
  <c r="AMB14" i="1"/>
  <c r="ALV14" i="1"/>
  <c r="ALP14" i="1"/>
  <c r="ALJ14" i="1"/>
  <c r="ALD14" i="1"/>
  <c r="AKX14" i="1"/>
  <c r="AKR14" i="1"/>
  <c r="AKL14" i="1"/>
  <c r="AKF14" i="1"/>
  <c r="AJZ14" i="1"/>
  <c r="AJT14" i="1"/>
  <c r="AJN14" i="1"/>
  <c r="AJH14" i="1"/>
  <c r="AJB14" i="1"/>
  <c r="AIV14" i="1"/>
  <c r="AIP14" i="1"/>
  <c r="AID14" i="1"/>
  <c r="AHX14" i="1"/>
  <c r="AHR14" i="1"/>
  <c r="AHL14" i="1"/>
  <c r="AHF14" i="1"/>
  <c r="AGZ14" i="1"/>
  <c r="AGT14" i="1"/>
  <c r="AGN14" i="1"/>
  <c r="AGH14" i="1"/>
  <c r="AGB14" i="1"/>
  <c r="AFV14" i="1"/>
  <c r="AFP14" i="1"/>
  <c r="AFJ14" i="1"/>
  <c r="AFD14" i="1"/>
  <c r="AEX14" i="1"/>
  <c r="AER14" i="1"/>
  <c r="AEL14" i="1"/>
  <c r="AEF14" i="1"/>
  <c r="ADZ14" i="1"/>
  <c r="ADT14" i="1"/>
  <c r="ADN14" i="1"/>
  <c r="ADH14" i="1"/>
  <c r="ADB14" i="1"/>
  <c r="ACV14" i="1"/>
  <c r="ACP14" i="1"/>
  <c r="ACJ14" i="1"/>
  <c r="ACD14" i="1"/>
  <c r="ABX14" i="1"/>
  <c r="ABR14" i="1"/>
  <c r="ABL14" i="1"/>
  <c r="ABF14" i="1"/>
  <c r="AAZ14" i="1"/>
  <c r="AAT14" i="1"/>
  <c r="AAN14" i="1"/>
  <c r="AAH14" i="1"/>
  <c r="AAB14" i="1"/>
  <c r="ZV14" i="1"/>
  <c r="ZJ14" i="1"/>
  <c r="ZD14" i="1"/>
  <c r="YX14" i="1"/>
  <c r="YR14" i="1"/>
  <c r="YL14" i="1"/>
  <c r="YF14" i="1"/>
  <c r="XZ14" i="1"/>
  <c r="XT14" i="1"/>
  <c r="XN14" i="1"/>
  <c r="XH14" i="1"/>
  <c r="XB14" i="1"/>
  <c r="WV14" i="1"/>
  <c r="WP14" i="1"/>
  <c r="WJ14" i="1"/>
  <c r="WD14" i="1"/>
  <c r="VX14" i="1"/>
  <c r="VR14" i="1"/>
  <c r="VL14" i="1"/>
  <c r="VF14" i="1"/>
  <c r="UZ14" i="1"/>
  <c r="UT14" i="1"/>
  <c r="UN14" i="1"/>
  <c r="UH14" i="1"/>
  <c r="UB14" i="1"/>
  <c r="TV14" i="1"/>
  <c r="TP14" i="1"/>
  <c r="TJ14" i="1"/>
  <c r="TD14" i="1"/>
  <c r="SX14" i="1"/>
  <c r="SR14" i="1"/>
  <c r="SL14" i="1"/>
  <c r="SF14" i="1"/>
  <c r="RZ14" i="1"/>
  <c r="RT14" i="1"/>
  <c r="RN14" i="1"/>
  <c r="RH14" i="1"/>
  <c r="RB14" i="1"/>
  <c r="QV14" i="1"/>
  <c r="QP14" i="1"/>
  <c r="QJ14" i="1"/>
  <c r="QD14" i="1"/>
  <c r="PX14" i="1"/>
  <c r="PR14" i="1"/>
  <c r="PL14" i="1"/>
  <c r="PF14" i="1"/>
  <c r="OZ14" i="1"/>
  <c r="OT14" i="1"/>
  <c r="ON14" i="1"/>
  <c r="OH14" i="1"/>
  <c r="OB14" i="1"/>
  <c r="NV14" i="1"/>
  <c r="NP14" i="1"/>
  <c r="NJ14" i="1"/>
  <c r="ND14" i="1"/>
  <c r="MX14" i="1"/>
  <c r="MR14" i="1"/>
  <c r="ML14" i="1"/>
  <c r="MF14" i="1"/>
  <c r="LZ14" i="1"/>
  <c r="LT14" i="1"/>
  <c r="LN14" i="1"/>
  <c r="LH14" i="1"/>
  <c r="LB14" i="1"/>
  <c r="KV14" i="1"/>
  <c r="KP14" i="1"/>
  <c r="KJ14" i="1"/>
  <c r="KD14" i="1"/>
  <c r="JX14" i="1"/>
  <c r="JR14" i="1"/>
  <c r="JL14" i="1"/>
  <c r="JF14" i="1"/>
  <c r="IZ14" i="1"/>
  <c r="IT14" i="1"/>
  <c r="IN14" i="1"/>
  <c r="IH14" i="1"/>
  <c r="IB14" i="1"/>
  <c r="HV14" i="1"/>
  <c r="HD14" i="1"/>
  <c r="GX14" i="1"/>
  <c r="GR14" i="1"/>
  <c r="GL14" i="1"/>
  <c r="GF14" i="1"/>
  <c r="FZ14" i="1"/>
  <c r="FT14" i="1"/>
  <c r="FN14" i="1"/>
  <c r="FH14" i="1"/>
  <c r="FB14" i="1"/>
  <c r="EV14" i="1"/>
  <c r="EP14" i="1"/>
  <c r="EJ14" i="1"/>
  <c r="ED14" i="1"/>
  <c r="DX14" i="1"/>
  <c r="DR14" i="1"/>
  <c r="DL14" i="1"/>
  <c r="DF14" i="1"/>
  <c r="CZ14" i="1"/>
  <c r="CT14" i="1"/>
  <c r="CB14" i="1"/>
  <c r="BV14" i="1"/>
  <c r="BP14" i="1"/>
  <c r="BJ14" i="1"/>
  <c r="BD14" i="1"/>
  <c r="AX14" i="1"/>
  <c r="AR14" i="1"/>
  <c r="AL14" i="1"/>
  <c r="AF14" i="1"/>
  <c r="Z14" i="1"/>
  <c r="T14" i="1"/>
  <c r="N14" i="1"/>
  <c r="H14" i="1"/>
  <c r="B14" i="1"/>
  <c r="ATX13" i="1"/>
  <c r="ATR13" i="1"/>
  <c r="ATL13" i="1"/>
  <c r="ATF13" i="1"/>
  <c r="ASZ13" i="1"/>
  <c r="AST13" i="1"/>
  <c r="ASN13" i="1"/>
  <c r="ASH13" i="1"/>
  <c r="ASB13" i="1"/>
  <c r="ARV13" i="1"/>
  <c r="ARP13" i="1"/>
  <c r="ARJ13" i="1"/>
  <c r="ARD13" i="1"/>
  <c r="AQX13" i="1"/>
  <c r="AQR13" i="1"/>
  <c r="AQL13" i="1"/>
  <c r="AQF13" i="1"/>
  <c r="APZ13" i="1"/>
  <c r="APT13" i="1"/>
  <c r="APN13" i="1"/>
  <c r="APH13" i="1"/>
  <c r="APB13" i="1"/>
  <c r="AOV13" i="1"/>
  <c r="AOP13" i="1"/>
  <c r="AOJ13" i="1"/>
  <c r="AOD13" i="1"/>
  <c r="ANX13" i="1"/>
  <c r="ANR13" i="1"/>
  <c r="ANL13" i="1"/>
  <c r="ANF13" i="1"/>
  <c r="AMZ13" i="1"/>
  <c r="AMT13" i="1"/>
  <c r="AMN13" i="1"/>
  <c r="AMH13" i="1"/>
  <c r="AMB13" i="1"/>
  <c r="ALV13" i="1"/>
  <c r="ALP13" i="1"/>
  <c r="ALJ13" i="1"/>
  <c r="ALD13" i="1"/>
  <c r="AKX13" i="1"/>
  <c r="AKR13" i="1"/>
  <c r="AKL13" i="1"/>
  <c r="AKF13" i="1"/>
  <c r="AJZ13" i="1"/>
  <c r="AJT13" i="1"/>
  <c r="AJN13" i="1"/>
  <c r="AJH13" i="1"/>
  <c r="AJB13" i="1"/>
  <c r="AIV13" i="1"/>
  <c r="AIP13" i="1"/>
  <c r="AIJ13" i="1"/>
  <c r="AID13" i="1"/>
  <c r="AHX13" i="1"/>
  <c r="AHR13" i="1"/>
  <c r="AHL13" i="1"/>
  <c r="AHF13" i="1"/>
  <c r="AGZ13" i="1"/>
  <c r="AGT13" i="1"/>
  <c r="AGN13" i="1"/>
  <c r="AGH13" i="1"/>
  <c r="AGB13" i="1"/>
  <c r="AFV13" i="1"/>
  <c r="AFP13" i="1"/>
  <c r="AFJ13" i="1"/>
  <c r="AFD13" i="1"/>
  <c r="AEX13" i="1"/>
  <c r="AER13" i="1"/>
  <c r="AEL13" i="1"/>
  <c r="AEF13" i="1"/>
  <c r="ADZ13" i="1"/>
  <c r="ADT13" i="1"/>
  <c r="ADN13" i="1"/>
  <c r="ADH13" i="1"/>
  <c r="ADB13" i="1"/>
  <c r="ACV13" i="1"/>
  <c r="ACP13" i="1"/>
  <c r="ACJ13" i="1"/>
  <c r="ACD13" i="1"/>
  <c r="ABX13" i="1"/>
  <c r="ABR13" i="1"/>
  <c r="ABL13" i="1"/>
  <c r="ABF13" i="1"/>
  <c r="AAZ13" i="1"/>
  <c r="AAT13" i="1"/>
  <c r="AAN13" i="1"/>
  <c r="AAH13" i="1"/>
  <c r="AAB13" i="1"/>
  <c r="ZV13" i="1"/>
  <c r="ZP13" i="1"/>
  <c r="ZJ13" i="1"/>
  <c r="ZD13" i="1"/>
  <c r="YX13" i="1"/>
  <c r="YR13" i="1"/>
  <c r="YL13" i="1"/>
  <c r="YF13" i="1"/>
  <c r="XZ13" i="1"/>
  <c r="XT13" i="1"/>
  <c r="XN13" i="1"/>
  <c r="XH13" i="1"/>
  <c r="XB13" i="1"/>
  <c r="WV13" i="1"/>
  <c r="WP13" i="1"/>
  <c r="WJ13" i="1"/>
  <c r="WD13" i="1"/>
  <c r="VX13" i="1"/>
  <c r="VR13" i="1"/>
  <c r="VL13" i="1"/>
  <c r="VF13" i="1"/>
  <c r="UZ13" i="1"/>
  <c r="UT13" i="1"/>
  <c r="UN13" i="1"/>
  <c r="UH13" i="1"/>
  <c r="UB13" i="1"/>
  <c r="TV13" i="1"/>
  <c r="TP13" i="1"/>
  <c r="TJ13" i="1"/>
  <c r="TD13" i="1"/>
  <c r="SX13" i="1"/>
  <c r="SR13" i="1"/>
  <c r="SL13" i="1"/>
  <c r="SF13" i="1"/>
  <c r="RZ13" i="1"/>
  <c r="RT13" i="1"/>
  <c r="RN13" i="1"/>
  <c r="RH13" i="1"/>
  <c r="RB13" i="1"/>
  <c r="QV13" i="1"/>
  <c r="QP13" i="1"/>
  <c r="QJ13" i="1"/>
  <c r="QD13" i="1"/>
  <c r="PX13" i="1"/>
  <c r="PR13" i="1"/>
  <c r="PL13" i="1"/>
  <c r="PF13" i="1"/>
  <c r="OZ13" i="1"/>
  <c r="OT13" i="1"/>
  <c r="ON13" i="1"/>
  <c r="OH13" i="1"/>
  <c r="OB13" i="1"/>
  <c r="NV13" i="1"/>
  <c r="NP13" i="1"/>
  <c r="NJ13" i="1"/>
  <c r="ND13" i="1"/>
  <c r="MX13" i="1"/>
  <c r="MR13" i="1"/>
  <c r="ML13" i="1"/>
  <c r="MF13" i="1"/>
  <c r="LZ13" i="1"/>
  <c r="LT13" i="1"/>
  <c r="LN13" i="1"/>
  <c r="LH13" i="1"/>
  <c r="LB13" i="1"/>
  <c r="KV13" i="1"/>
  <c r="KP13" i="1"/>
  <c r="KJ13" i="1"/>
  <c r="KD13" i="1"/>
  <c r="JX13" i="1"/>
  <c r="JR13" i="1"/>
  <c r="JL13" i="1"/>
  <c r="JF13" i="1"/>
  <c r="IZ13" i="1"/>
  <c r="IT13" i="1"/>
  <c r="IN13" i="1"/>
  <c r="IH13" i="1"/>
  <c r="IB13" i="1"/>
  <c r="HV13" i="1"/>
  <c r="HP13" i="1"/>
  <c r="HJ13" i="1"/>
  <c r="HD13" i="1"/>
  <c r="GX13" i="1"/>
  <c r="GR13" i="1"/>
  <c r="GL13" i="1"/>
  <c r="GF13" i="1"/>
  <c r="FZ13" i="1"/>
  <c r="FT13" i="1"/>
  <c r="FN13" i="1"/>
  <c r="FH13" i="1"/>
  <c r="FB13" i="1"/>
  <c r="EV13" i="1"/>
  <c r="EP13" i="1"/>
  <c r="EJ13" i="1"/>
  <c r="ED13" i="1"/>
  <c r="DX13" i="1"/>
  <c r="DR13" i="1"/>
  <c r="DL13" i="1"/>
  <c r="DF13" i="1"/>
  <c r="CZ13" i="1"/>
  <c r="CT13" i="1"/>
  <c r="CN13" i="1"/>
  <c r="CH13" i="1"/>
  <c r="CB13" i="1"/>
  <c r="BV13" i="1"/>
  <c r="BP13" i="1"/>
  <c r="BJ13" i="1"/>
  <c r="BD13" i="1"/>
  <c r="AX13" i="1"/>
  <c r="AR13" i="1"/>
  <c r="AL13" i="1"/>
  <c r="AF13" i="1"/>
  <c r="Z13" i="1"/>
  <c r="T13" i="1"/>
  <c r="N13" i="1"/>
  <c r="H13" i="1"/>
  <c r="B13" i="1"/>
  <c r="ATX12" i="1"/>
  <c r="ATR12" i="1"/>
  <c r="ATL12" i="1"/>
  <c r="ATF12" i="1"/>
  <c r="ASZ12" i="1"/>
  <c r="AST12" i="1"/>
  <c r="ASN12" i="1"/>
  <c r="ASH12" i="1"/>
  <c r="ASB12" i="1"/>
  <c r="ARV12" i="1"/>
  <c r="ARP12" i="1"/>
  <c r="ARJ12" i="1"/>
  <c r="ARD12" i="1"/>
  <c r="AQX12" i="1"/>
  <c r="AQR12" i="1"/>
  <c r="AQL12" i="1"/>
  <c r="AQF12" i="1"/>
  <c r="APZ12" i="1"/>
  <c r="APT12" i="1"/>
  <c r="APN12" i="1"/>
  <c r="APH12" i="1"/>
  <c r="APB12" i="1"/>
  <c r="AOV12" i="1"/>
  <c r="AOP12" i="1"/>
  <c r="AOJ12" i="1"/>
  <c r="AOD12" i="1"/>
  <c r="ANX12" i="1"/>
  <c r="ANR12" i="1"/>
  <c r="ANL12" i="1"/>
  <c r="ANF12" i="1"/>
  <c r="AMZ12" i="1"/>
  <c r="AMT12" i="1"/>
  <c r="AMN12" i="1"/>
  <c r="AMH12" i="1"/>
  <c r="AMB12" i="1"/>
  <c r="ALV12" i="1"/>
  <c r="ALP12" i="1"/>
  <c r="ALJ12" i="1"/>
  <c r="ALD12" i="1"/>
  <c r="AKX12" i="1"/>
  <c r="AKR12" i="1"/>
  <c r="AKL12" i="1"/>
  <c r="AKF12" i="1"/>
  <c r="AJZ12" i="1"/>
  <c r="AJT12" i="1"/>
  <c r="AJN12" i="1"/>
  <c r="AJH12" i="1"/>
  <c r="AJB12" i="1"/>
  <c r="AIV12" i="1"/>
  <c r="AIP12" i="1"/>
  <c r="AIJ12" i="1"/>
  <c r="AID12" i="1"/>
  <c r="AHX12" i="1"/>
  <c r="AHR12" i="1"/>
  <c r="AHL12" i="1"/>
  <c r="AHF12" i="1"/>
  <c r="AGZ12" i="1"/>
  <c r="AGT12" i="1"/>
  <c r="AGN12" i="1"/>
  <c r="AGH12" i="1"/>
  <c r="AGB12" i="1"/>
  <c r="AFV12" i="1"/>
  <c r="AFP12" i="1"/>
  <c r="AFJ12" i="1"/>
  <c r="AFD12" i="1"/>
  <c r="AEX12" i="1"/>
  <c r="AER12" i="1"/>
  <c r="AEL12" i="1"/>
  <c r="AEF12" i="1"/>
  <c r="ADZ12" i="1"/>
  <c r="ADT12" i="1"/>
  <c r="ADN12" i="1"/>
  <c r="ADH12" i="1"/>
  <c r="ADB12" i="1"/>
  <c r="ACV12" i="1"/>
  <c r="ACP12" i="1"/>
  <c r="ACJ12" i="1"/>
  <c r="ACD12" i="1"/>
  <c r="ABX12" i="1"/>
  <c r="ABR12" i="1"/>
  <c r="ABL12" i="1"/>
  <c r="ABF12" i="1"/>
  <c r="AAZ12" i="1"/>
  <c r="AAT12" i="1"/>
  <c r="AAN12" i="1"/>
  <c r="AAH12" i="1"/>
  <c r="AAB12" i="1"/>
  <c r="ZV12" i="1"/>
  <c r="ZP12" i="1"/>
  <c r="ZJ12" i="1"/>
  <c r="ZD12" i="1"/>
  <c r="YX12" i="1"/>
  <c r="YR12" i="1"/>
  <c r="YL12" i="1"/>
  <c r="YF12" i="1"/>
  <c r="XZ12" i="1"/>
  <c r="XT12" i="1"/>
  <c r="XN12" i="1"/>
  <c r="XH12" i="1"/>
  <c r="XB12" i="1"/>
  <c r="WV12" i="1"/>
  <c r="WP12" i="1"/>
  <c r="WJ12" i="1"/>
  <c r="WD12" i="1"/>
  <c r="VX12" i="1"/>
  <c r="VR12" i="1"/>
  <c r="VL12" i="1"/>
  <c r="VF12" i="1"/>
  <c r="UZ12" i="1"/>
  <c r="UT12" i="1"/>
  <c r="UN12" i="1"/>
  <c r="UH12" i="1"/>
  <c r="UB12" i="1"/>
  <c r="TV12" i="1"/>
  <c r="TP12" i="1"/>
  <c r="TJ12" i="1"/>
  <c r="TD12" i="1"/>
  <c r="SX12" i="1"/>
  <c r="SR12" i="1"/>
  <c r="SL12" i="1"/>
  <c r="SF12" i="1"/>
  <c r="RZ12" i="1"/>
  <c r="RT12" i="1"/>
  <c r="RN12" i="1"/>
  <c r="RH12" i="1"/>
  <c r="RB12" i="1"/>
  <c r="QV12" i="1"/>
  <c r="QP12" i="1"/>
  <c r="QJ12" i="1"/>
  <c r="QD12" i="1"/>
  <c r="PX12" i="1"/>
  <c r="PR12" i="1"/>
  <c r="PL12" i="1"/>
  <c r="PF12" i="1"/>
  <c r="OZ12" i="1"/>
  <c r="OT12" i="1"/>
  <c r="ON12" i="1"/>
  <c r="OH12" i="1"/>
  <c r="OB12" i="1"/>
  <c r="NV12" i="1"/>
  <c r="NP12" i="1"/>
  <c r="NJ12" i="1"/>
  <c r="ND12" i="1"/>
  <c r="MX12" i="1"/>
  <c r="MR12" i="1"/>
  <c r="ML12" i="1"/>
  <c r="MF12" i="1"/>
  <c r="LZ12" i="1"/>
  <c r="LT12" i="1"/>
  <c r="LN12" i="1"/>
  <c r="LH12" i="1"/>
  <c r="LB12" i="1"/>
  <c r="KV12" i="1"/>
  <c r="KP12" i="1"/>
  <c r="KJ12" i="1"/>
  <c r="KD12" i="1"/>
  <c r="JX12" i="1"/>
  <c r="JR12" i="1"/>
  <c r="JL12" i="1"/>
  <c r="JF12" i="1"/>
  <c r="IZ12" i="1"/>
  <c r="IT12" i="1"/>
  <c r="IN12" i="1"/>
  <c r="IH12" i="1"/>
  <c r="IB12" i="1"/>
  <c r="HV12" i="1"/>
  <c r="HP12" i="1"/>
  <c r="HJ12" i="1"/>
  <c r="HD12" i="1"/>
  <c r="GX12" i="1"/>
  <c r="GR12" i="1"/>
  <c r="GL12" i="1"/>
  <c r="GF12" i="1"/>
  <c r="FZ12" i="1"/>
  <c r="FT12" i="1"/>
  <c r="FN12" i="1"/>
  <c r="FH12" i="1"/>
  <c r="FB12" i="1"/>
  <c r="EV12" i="1"/>
  <c r="EP12" i="1"/>
  <c r="EJ12" i="1"/>
  <c r="ED12" i="1"/>
  <c r="DX12" i="1"/>
  <c r="DR12" i="1"/>
  <c r="DL12" i="1"/>
  <c r="DF12" i="1"/>
  <c r="CZ12" i="1"/>
  <c r="CT12" i="1"/>
  <c r="CN12" i="1"/>
  <c r="CH12" i="1"/>
  <c r="CB12" i="1"/>
  <c r="BV12" i="1"/>
  <c r="BP12" i="1"/>
  <c r="BJ12" i="1"/>
  <c r="BD12" i="1"/>
  <c r="AX12" i="1"/>
  <c r="AR12" i="1"/>
  <c r="AL12" i="1"/>
  <c r="AF12" i="1"/>
  <c r="Z12" i="1"/>
  <c r="T12" i="1"/>
  <c r="N12" i="1"/>
  <c r="H12" i="1"/>
  <c r="B12" i="1"/>
  <c r="ATX11" i="1"/>
  <c r="ATR11" i="1"/>
  <c r="ATL11" i="1"/>
  <c r="ATF11" i="1"/>
  <c r="ASZ11" i="1"/>
  <c r="AST11" i="1"/>
  <c r="ASN11" i="1"/>
  <c r="ASH11" i="1"/>
  <c r="ASB11" i="1"/>
  <c r="ARV11" i="1"/>
  <c r="ARP11" i="1"/>
  <c r="ARJ11" i="1"/>
  <c r="ARD11" i="1"/>
  <c r="AQX11" i="1"/>
  <c r="AQR11" i="1"/>
  <c r="AQL11" i="1"/>
  <c r="AQF11" i="1"/>
  <c r="APZ11" i="1"/>
  <c r="APT11" i="1"/>
  <c r="APN11" i="1"/>
  <c r="APH11" i="1"/>
  <c r="APB11" i="1"/>
  <c r="AOV11" i="1"/>
  <c r="AOP11" i="1"/>
  <c r="AOJ11" i="1"/>
  <c r="AOD11" i="1"/>
  <c r="ANX11" i="1"/>
  <c r="ANR11" i="1"/>
  <c r="ANL11" i="1"/>
  <c r="ANF11" i="1"/>
  <c r="AMZ11" i="1"/>
  <c r="AMT11" i="1"/>
  <c r="AMN11" i="1"/>
  <c r="AMH11" i="1"/>
  <c r="AMB11" i="1"/>
  <c r="ALV11" i="1"/>
  <c r="ALP11" i="1"/>
  <c r="ALJ11" i="1"/>
  <c r="ALD11" i="1"/>
  <c r="AKX11" i="1"/>
  <c r="AKR11" i="1"/>
  <c r="AKL11" i="1"/>
  <c r="AKF11" i="1"/>
  <c r="AJZ11" i="1"/>
  <c r="AJT11" i="1"/>
  <c r="AJN11" i="1"/>
  <c r="AJH11" i="1"/>
  <c r="AJB11" i="1"/>
  <c r="AIV11" i="1"/>
  <c r="AIP11" i="1"/>
  <c r="AIJ11" i="1"/>
  <c r="AID11" i="1"/>
  <c r="AHX11" i="1"/>
  <c r="AHR11" i="1"/>
  <c r="AHL11" i="1"/>
  <c r="AHF11" i="1"/>
  <c r="AGZ11" i="1"/>
  <c r="AGT11" i="1"/>
  <c r="AGN11" i="1"/>
  <c r="AGH11" i="1"/>
  <c r="AGB11" i="1"/>
  <c r="AFV11" i="1"/>
  <c r="AFP11" i="1"/>
  <c r="AFJ11" i="1"/>
  <c r="AFD11" i="1"/>
  <c r="AEX11" i="1"/>
  <c r="AER11" i="1"/>
  <c r="AEL11" i="1"/>
  <c r="AEF11" i="1"/>
  <c r="ADZ11" i="1"/>
  <c r="ADT11" i="1"/>
  <c r="ADN11" i="1"/>
  <c r="ADH11" i="1"/>
  <c r="ADB11" i="1"/>
  <c r="ACV11" i="1"/>
  <c r="ACP11" i="1"/>
  <c r="ACJ11" i="1"/>
  <c r="ACD11" i="1"/>
  <c r="ABX11" i="1"/>
  <c r="ABR11" i="1"/>
  <c r="ABL11" i="1"/>
  <c r="ABF11" i="1"/>
  <c r="AAZ11" i="1"/>
  <c r="AAT11" i="1"/>
  <c r="AAN11" i="1"/>
  <c r="AAH11" i="1"/>
  <c r="AAB11" i="1"/>
  <c r="ZV11" i="1"/>
  <c r="ZP11" i="1"/>
  <c r="ZJ11" i="1"/>
  <c r="ZD11" i="1"/>
  <c r="YX11" i="1"/>
  <c r="YR11" i="1"/>
  <c r="YL11" i="1"/>
  <c r="YF11" i="1"/>
  <c r="XZ11" i="1"/>
  <c r="XT11" i="1"/>
  <c r="XN11" i="1"/>
  <c r="XH11" i="1"/>
  <c r="XB11" i="1"/>
  <c r="WV11" i="1"/>
  <c r="WP11" i="1"/>
  <c r="WJ11" i="1"/>
  <c r="WD11" i="1"/>
  <c r="VX11" i="1"/>
  <c r="VR11" i="1"/>
  <c r="VL11" i="1"/>
  <c r="VF11" i="1"/>
  <c r="UZ11" i="1"/>
  <c r="UT11" i="1"/>
  <c r="UN11" i="1"/>
  <c r="UH11" i="1"/>
  <c r="UB11" i="1"/>
  <c r="TV11" i="1"/>
  <c r="TP11" i="1"/>
  <c r="TJ11" i="1"/>
  <c r="TD11" i="1"/>
  <c r="SX11" i="1"/>
  <c r="SR11" i="1"/>
  <c r="SL11" i="1"/>
  <c r="SF11" i="1"/>
  <c r="RZ11" i="1"/>
  <c r="RT11" i="1"/>
  <c r="RN11" i="1"/>
  <c r="RH11" i="1"/>
  <c r="RB11" i="1"/>
  <c r="QV11" i="1"/>
  <c r="QP11" i="1"/>
  <c r="QJ11" i="1"/>
  <c r="QD11" i="1"/>
  <c r="PX11" i="1"/>
  <c r="PR11" i="1"/>
  <c r="PL11" i="1"/>
  <c r="PF11" i="1"/>
  <c r="OZ11" i="1"/>
  <c r="OT11" i="1"/>
  <c r="ON11" i="1"/>
  <c r="OH11" i="1"/>
  <c r="OB11" i="1"/>
  <c r="NV11" i="1"/>
  <c r="NP11" i="1"/>
  <c r="NJ11" i="1"/>
  <c r="ND11" i="1"/>
  <c r="MX11" i="1"/>
  <c r="MR11" i="1"/>
  <c r="ML11" i="1"/>
  <c r="MF11" i="1"/>
  <c r="LZ11" i="1"/>
  <c r="LT11" i="1"/>
  <c r="LN11" i="1"/>
  <c r="LH11" i="1"/>
  <c r="LB11" i="1"/>
  <c r="KV11" i="1"/>
  <c r="KP11" i="1"/>
  <c r="KJ11" i="1"/>
  <c r="KD11" i="1"/>
  <c r="JX11" i="1"/>
  <c r="JR11" i="1"/>
  <c r="JL11" i="1"/>
  <c r="JF11" i="1"/>
  <c r="IZ11" i="1"/>
  <c r="IT11" i="1"/>
  <c r="IN11" i="1"/>
  <c r="IH11" i="1"/>
  <c r="IB11" i="1"/>
  <c r="HV11" i="1"/>
  <c r="HP11" i="1"/>
  <c r="HJ11" i="1"/>
  <c r="HD11" i="1"/>
  <c r="GX11" i="1"/>
  <c r="GR11" i="1"/>
  <c r="GL11" i="1"/>
  <c r="GF11" i="1"/>
  <c r="FZ11" i="1"/>
  <c r="FT11" i="1"/>
  <c r="FN11" i="1"/>
  <c r="FH11" i="1"/>
  <c r="FB11" i="1"/>
  <c r="EV11" i="1"/>
  <c r="EP11" i="1"/>
  <c r="EJ11" i="1"/>
  <c r="ED11" i="1"/>
  <c r="DX11" i="1"/>
  <c r="DR11" i="1"/>
  <c r="DL11" i="1"/>
  <c r="DF11" i="1"/>
  <c r="CZ11" i="1"/>
  <c r="CT11" i="1"/>
  <c r="CN11" i="1"/>
  <c r="CH11" i="1"/>
  <c r="CB11" i="1"/>
  <c r="BV11" i="1"/>
  <c r="BP11" i="1"/>
  <c r="BJ11" i="1"/>
  <c r="BD11" i="1"/>
  <c r="AX11" i="1"/>
  <c r="AR11" i="1"/>
  <c r="AL11" i="1"/>
  <c r="AF11" i="1"/>
  <c r="Z11" i="1"/>
  <c r="T11" i="1"/>
  <c r="N11" i="1"/>
  <c r="H11" i="1"/>
  <c r="B11" i="1"/>
  <c r="ATX10" i="1"/>
  <c r="ATR10" i="1"/>
  <c r="ATL10" i="1"/>
  <c r="ATF10" i="1"/>
  <c r="ASZ10" i="1"/>
  <c r="AST10" i="1"/>
  <c r="ASN10" i="1"/>
  <c r="ASH10" i="1"/>
  <c r="ASB10" i="1"/>
  <c r="ARV10" i="1"/>
  <c r="ARP10" i="1"/>
  <c r="ARJ10" i="1"/>
  <c r="ARD10" i="1"/>
  <c r="AQX10" i="1"/>
  <c r="AQR10" i="1"/>
  <c r="AQL10" i="1"/>
  <c r="AQF10" i="1"/>
  <c r="APZ10" i="1"/>
  <c r="APT10" i="1"/>
  <c r="APN10" i="1"/>
  <c r="APH10" i="1"/>
  <c r="APB10" i="1"/>
  <c r="AOV10" i="1"/>
  <c r="AOP10" i="1"/>
  <c r="AOJ10" i="1"/>
  <c r="AOD10" i="1"/>
  <c r="ANX10" i="1"/>
  <c r="ANR10" i="1"/>
  <c r="ANL10" i="1"/>
  <c r="ANF10" i="1"/>
  <c r="AMZ10" i="1"/>
  <c r="AMT10" i="1"/>
  <c r="AMN10" i="1"/>
  <c r="AMH10" i="1"/>
  <c r="AMB10" i="1"/>
  <c r="ALV10" i="1"/>
  <c r="ALP10" i="1"/>
  <c r="ALJ10" i="1"/>
  <c r="ALD10" i="1"/>
  <c r="AKX10" i="1"/>
  <c r="AKR10" i="1"/>
  <c r="AKL10" i="1"/>
  <c r="AKF10" i="1"/>
  <c r="AJZ10" i="1"/>
  <c r="AJT10" i="1"/>
  <c r="AJN10" i="1"/>
  <c r="AJH10" i="1"/>
  <c r="AJB10" i="1"/>
  <c r="AIV10" i="1"/>
  <c r="AIP10" i="1"/>
  <c r="AIJ10" i="1"/>
  <c r="AID10" i="1"/>
  <c r="AHX10" i="1"/>
  <c r="AHR10" i="1"/>
  <c r="AHL10" i="1"/>
  <c r="AHF10" i="1"/>
  <c r="AGZ10" i="1"/>
  <c r="AGT10" i="1"/>
  <c r="AGN10" i="1"/>
  <c r="AGH10" i="1"/>
  <c r="AGB10" i="1"/>
  <c r="AFV10" i="1"/>
  <c r="AFP10" i="1"/>
  <c r="AFJ10" i="1"/>
  <c r="AFD10" i="1"/>
  <c r="AEX10" i="1"/>
  <c r="AER10" i="1"/>
  <c r="AEL10" i="1"/>
  <c r="AEF10" i="1"/>
  <c r="ADZ10" i="1"/>
  <c r="ADT10" i="1"/>
  <c r="ADN10" i="1"/>
  <c r="ADH10" i="1"/>
  <c r="ADB10" i="1"/>
  <c r="ACV10" i="1"/>
  <c r="ACP10" i="1"/>
  <c r="ACJ10" i="1"/>
  <c r="ACD10" i="1"/>
  <c r="ABX10" i="1"/>
  <c r="ABR10" i="1"/>
  <c r="ABL10" i="1"/>
  <c r="ABF10" i="1"/>
  <c r="AAZ10" i="1"/>
  <c r="AAT10" i="1"/>
  <c r="AAN10" i="1"/>
  <c r="AAH10" i="1"/>
  <c r="AAB10" i="1"/>
  <c r="ZV10" i="1"/>
  <c r="ZP10" i="1"/>
  <c r="ZJ10" i="1"/>
  <c r="ZD10" i="1"/>
  <c r="YX10" i="1"/>
  <c r="YR10" i="1"/>
  <c r="YL10" i="1"/>
  <c r="YF10" i="1"/>
  <c r="XZ10" i="1"/>
  <c r="XT10" i="1"/>
  <c r="XN10" i="1"/>
  <c r="XH10" i="1"/>
  <c r="XB10" i="1"/>
  <c r="WV10" i="1"/>
  <c r="WP10" i="1"/>
  <c r="WJ10" i="1"/>
  <c r="WD10" i="1"/>
  <c r="VX10" i="1"/>
  <c r="VR10" i="1"/>
  <c r="VL10" i="1"/>
  <c r="VF10" i="1"/>
  <c r="UZ10" i="1"/>
  <c r="UT10" i="1"/>
  <c r="UN10" i="1"/>
  <c r="UH10" i="1"/>
  <c r="UB10" i="1"/>
  <c r="TV10" i="1"/>
  <c r="TP10" i="1"/>
  <c r="TJ10" i="1"/>
  <c r="TD10" i="1"/>
  <c r="SX10" i="1"/>
  <c r="SR10" i="1"/>
  <c r="SL10" i="1"/>
  <c r="SF10" i="1"/>
  <c r="RZ10" i="1"/>
  <c r="RT10" i="1"/>
  <c r="RN10" i="1"/>
  <c r="RH10" i="1"/>
  <c r="RB10" i="1"/>
  <c r="QV10" i="1"/>
  <c r="QP10" i="1"/>
  <c r="QJ10" i="1"/>
  <c r="QD10" i="1"/>
  <c r="PX10" i="1"/>
  <c r="PR10" i="1"/>
  <c r="PL10" i="1"/>
  <c r="PF10" i="1"/>
  <c r="OZ10" i="1"/>
  <c r="OT10" i="1"/>
  <c r="ON10" i="1"/>
  <c r="OH10" i="1"/>
  <c r="OB10" i="1"/>
  <c r="NV10" i="1"/>
  <c r="NP10" i="1"/>
  <c r="NJ10" i="1"/>
  <c r="ND10" i="1"/>
  <c r="MX10" i="1"/>
  <c r="MR10" i="1"/>
  <c r="ML10" i="1"/>
  <c r="MF10" i="1"/>
  <c r="LZ10" i="1"/>
  <c r="LT10" i="1"/>
  <c r="LN10" i="1"/>
  <c r="LH10" i="1"/>
  <c r="LB10" i="1"/>
  <c r="KV10" i="1"/>
  <c r="KP10" i="1"/>
  <c r="KJ10" i="1"/>
  <c r="KD10" i="1"/>
  <c r="JX10" i="1"/>
  <c r="JR10" i="1"/>
  <c r="JL10" i="1"/>
  <c r="JF10" i="1"/>
  <c r="IZ10" i="1"/>
  <c r="IT10" i="1"/>
  <c r="IN10" i="1"/>
  <c r="IH10" i="1"/>
  <c r="IB10" i="1"/>
  <c r="HV10" i="1"/>
  <c r="HP10" i="1"/>
  <c r="HJ10" i="1"/>
  <c r="HD10" i="1"/>
  <c r="GX10" i="1"/>
  <c r="GR10" i="1"/>
  <c r="GL10" i="1"/>
  <c r="GF10" i="1"/>
  <c r="FZ10" i="1"/>
  <c r="FT10" i="1"/>
  <c r="FN10" i="1"/>
  <c r="FH10" i="1"/>
  <c r="FB10" i="1"/>
  <c r="EV10" i="1"/>
  <c r="EP10" i="1"/>
  <c r="EJ10" i="1"/>
  <c r="ED10" i="1"/>
  <c r="DX10" i="1"/>
  <c r="DR10" i="1"/>
  <c r="DL10" i="1"/>
  <c r="DF10" i="1"/>
  <c r="CZ10" i="1"/>
  <c r="CT10" i="1"/>
  <c r="CN10" i="1"/>
  <c r="CH10" i="1"/>
  <c r="CB10" i="1"/>
  <c r="BV10" i="1"/>
  <c r="BP10" i="1"/>
  <c r="BJ10" i="1"/>
  <c r="BD10" i="1"/>
  <c r="AX10" i="1"/>
  <c r="AR10" i="1"/>
  <c r="AL10" i="1"/>
  <c r="AF10" i="1"/>
  <c r="Z10" i="1"/>
  <c r="T10" i="1"/>
  <c r="N10" i="1"/>
  <c r="H10" i="1"/>
  <c r="B10" i="1"/>
  <c r="ATX9" i="1"/>
  <c r="ATR9" i="1"/>
  <c r="ATL9" i="1"/>
  <c r="ATF9" i="1"/>
  <c r="ASZ9" i="1"/>
  <c r="AST9" i="1"/>
  <c r="ASN9" i="1"/>
  <c r="ASH9" i="1"/>
  <c r="ASB9" i="1"/>
  <c r="ARV9" i="1"/>
  <c r="ARP9" i="1"/>
  <c r="ARJ9" i="1"/>
  <c r="ARD9" i="1"/>
  <c r="AQX9" i="1"/>
  <c r="AQR9" i="1"/>
  <c r="AQL9" i="1"/>
  <c r="AQF9" i="1"/>
  <c r="APZ9" i="1"/>
  <c r="APT9" i="1"/>
  <c r="APN9" i="1"/>
  <c r="APH9" i="1"/>
  <c r="APB9" i="1"/>
  <c r="AOV9" i="1"/>
  <c r="AOP9" i="1"/>
  <c r="AOJ9" i="1"/>
  <c r="AOD9" i="1"/>
  <c r="ANX9" i="1"/>
  <c r="ANR9" i="1"/>
  <c r="ANL9" i="1"/>
  <c r="ANF9" i="1"/>
  <c r="AMZ9" i="1"/>
  <c r="AMT9" i="1"/>
  <c r="AMN9" i="1"/>
  <c r="AMH9" i="1"/>
  <c r="AMB9" i="1"/>
  <c r="ALV9" i="1"/>
  <c r="ALP9" i="1"/>
  <c r="ALJ9" i="1"/>
  <c r="ALD9" i="1"/>
  <c r="AKX9" i="1"/>
  <c r="AKR9" i="1"/>
  <c r="AKL9" i="1"/>
  <c r="AKF9" i="1"/>
  <c r="AJZ9" i="1"/>
  <c r="AJT9" i="1"/>
  <c r="AJN9" i="1"/>
  <c r="AJH9" i="1"/>
  <c r="AJB9" i="1"/>
  <c r="AIV9" i="1"/>
  <c r="AIP9" i="1"/>
  <c r="AIJ9" i="1"/>
  <c r="AID9" i="1"/>
  <c r="AHX9" i="1"/>
  <c r="AHR9" i="1"/>
  <c r="AHL9" i="1"/>
  <c r="AHF9" i="1"/>
  <c r="AGZ9" i="1"/>
  <c r="AGT9" i="1"/>
  <c r="AGN9" i="1"/>
  <c r="AGH9" i="1"/>
  <c r="AGB9" i="1"/>
  <c r="AFV9" i="1"/>
  <c r="AFP9" i="1"/>
  <c r="AFJ9" i="1"/>
  <c r="AFD9" i="1"/>
  <c r="AEX9" i="1"/>
  <c r="AER9" i="1"/>
  <c r="AEL9" i="1"/>
  <c r="AEF9" i="1"/>
  <c r="ADZ9" i="1"/>
  <c r="ADT9" i="1"/>
  <c r="ADN9" i="1"/>
  <c r="ADH9" i="1"/>
  <c r="ADB9" i="1"/>
  <c r="ACV9" i="1"/>
  <c r="ACP9" i="1"/>
  <c r="ACJ9" i="1"/>
  <c r="ACD9" i="1"/>
  <c r="ABX9" i="1"/>
  <c r="ABR9" i="1"/>
  <c r="ABL9" i="1"/>
  <c r="ABF9" i="1"/>
  <c r="AAZ9" i="1"/>
  <c r="AAT9" i="1"/>
  <c r="AAN9" i="1"/>
  <c r="AAH9" i="1"/>
  <c r="AAB9" i="1"/>
  <c r="ZV9" i="1"/>
  <c r="ZP9" i="1"/>
  <c r="ZJ9" i="1"/>
  <c r="ZD9" i="1"/>
  <c r="YX9" i="1"/>
  <c r="YR9" i="1"/>
  <c r="YL9" i="1"/>
  <c r="YF9" i="1"/>
  <c r="XZ9" i="1"/>
  <c r="XT9" i="1"/>
  <c r="XN9" i="1"/>
  <c r="XH9" i="1"/>
  <c r="XB9" i="1"/>
  <c r="WV9" i="1"/>
  <c r="WP9" i="1"/>
  <c r="WJ9" i="1"/>
  <c r="WD9" i="1"/>
  <c r="VX9" i="1"/>
  <c r="VR9" i="1"/>
  <c r="VL9" i="1"/>
  <c r="VF9" i="1"/>
  <c r="UZ9" i="1"/>
  <c r="UT9" i="1"/>
  <c r="UN9" i="1"/>
  <c r="UH9" i="1"/>
  <c r="UB9" i="1"/>
  <c r="TV9" i="1"/>
  <c r="TP9" i="1"/>
  <c r="TJ9" i="1"/>
  <c r="TD9" i="1"/>
  <c r="SX9" i="1"/>
  <c r="SR9" i="1"/>
  <c r="SL9" i="1"/>
  <c r="SF9" i="1"/>
  <c r="RZ9" i="1"/>
  <c r="RT9" i="1"/>
  <c r="RN9" i="1"/>
  <c r="RH9" i="1"/>
  <c r="RB9" i="1"/>
  <c r="QV9" i="1"/>
  <c r="QP9" i="1"/>
  <c r="QJ9" i="1"/>
  <c r="QD9" i="1"/>
  <c r="PX9" i="1"/>
  <c r="PR9" i="1"/>
  <c r="PL9" i="1"/>
  <c r="PF9" i="1"/>
  <c r="OZ9" i="1"/>
  <c r="OT9" i="1"/>
  <c r="ON9" i="1"/>
  <c r="OH9" i="1"/>
  <c r="OB9" i="1"/>
  <c r="NV9" i="1"/>
  <c r="NP9" i="1"/>
  <c r="NJ9" i="1"/>
  <c r="ND9" i="1"/>
  <c r="MX9" i="1"/>
  <c r="MR9" i="1"/>
  <c r="ML9" i="1"/>
  <c r="MF9" i="1"/>
  <c r="LZ9" i="1"/>
  <c r="LT9" i="1"/>
  <c r="LN9" i="1"/>
  <c r="LH9" i="1"/>
  <c r="LB9" i="1"/>
  <c r="KV9" i="1"/>
  <c r="KP9" i="1"/>
  <c r="KJ9" i="1"/>
  <c r="KD9" i="1"/>
  <c r="JX9" i="1"/>
  <c r="JR9" i="1"/>
  <c r="JL9" i="1"/>
  <c r="JF9" i="1"/>
  <c r="IZ9" i="1"/>
  <c r="IT9" i="1"/>
  <c r="IN9" i="1"/>
  <c r="IH9" i="1"/>
  <c r="IB9" i="1"/>
  <c r="HV9" i="1"/>
  <c r="HP9" i="1"/>
  <c r="HJ9" i="1"/>
  <c r="HD9" i="1"/>
  <c r="GX9" i="1"/>
  <c r="GR9" i="1"/>
  <c r="GL9" i="1"/>
  <c r="GF9" i="1"/>
  <c r="FZ9" i="1"/>
  <c r="FT9" i="1"/>
  <c r="FN9" i="1"/>
  <c r="FH9" i="1"/>
  <c r="FB9" i="1"/>
  <c r="EV9" i="1"/>
  <c r="EP9" i="1"/>
  <c r="EJ9" i="1"/>
  <c r="ED9" i="1"/>
  <c r="DX9" i="1"/>
  <c r="DR9" i="1"/>
  <c r="DL9" i="1"/>
  <c r="DF9" i="1"/>
  <c r="CZ9" i="1"/>
  <c r="CT9" i="1"/>
  <c r="CN9" i="1"/>
  <c r="CH9" i="1"/>
  <c r="CB9" i="1"/>
  <c r="BV9" i="1"/>
  <c r="BP9" i="1"/>
  <c r="BJ9" i="1"/>
  <c r="BD9" i="1"/>
  <c r="AX9" i="1"/>
  <c r="AR9" i="1"/>
  <c r="AL9" i="1"/>
  <c r="AF9" i="1"/>
  <c r="Z9" i="1"/>
  <c r="T9" i="1"/>
  <c r="N9" i="1"/>
  <c r="H9" i="1"/>
  <c r="B9" i="1"/>
  <c r="ATX8" i="1"/>
  <c r="ATR8" i="1"/>
  <c r="ATL8" i="1"/>
  <c r="ATF8" i="1"/>
  <c r="ASZ8" i="1"/>
  <c r="AST8" i="1"/>
  <c r="ASN8" i="1"/>
  <c r="ASH8" i="1"/>
  <c r="ASB8" i="1"/>
  <c r="ARV8" i="1"/>
  <c r="ARP8" i="1"/>
  <c r="ARJ8" i="1"/>
  <c r="ARD8" i="1"/>
  <c r="AQX8" i="1"/>
  <c r="AQR8" i="1"/>
  <c r="AQL8" i="1"/>
  <c r="AQF8" i="1"/>
  <c r="APZ8" i="1"/>
  <c r="APT8" i="1"/>
  <c r="APN8" i="1"/>
  <c r="APH8" i="1"/>
  <c r="APB8" i="1"/>
  <c r="AOV8" i="1"/>
  <c r="AOP8" i="1"/>
  <c r="AOJ8" i="1"/>
  <c r="AOD8" i="1"/>
  <c r="ANX8" i="1"/>
  <c r="ANR8" i="1"/>
  <c r="ANL8" i="1"/>
  <c r="ANF8" i="1"/>
  <c r="AMZ8" i="1"/>
  <c r="AMT8" i="1"/>
  <c r="AMN8" i="1"/>
  <c r="AMH8" i="1"/>
  <c r="AMB8" i="1"/>
  <c r="ALV8" i="1"/>
  <c r="ALP8" i="1"/>
  <c r="ALJ8" i="1"/>
  <c r="ALD8" i="1"/>
  <c r="AKX8" i="1"/>
  <c r="AKR8" i="1"/>
  <c r="AKL8" i="1"/>
  <c r="AKF8" i="1"/>
  <c r="AJZ8" i="1"/>
  <c r="AJT8" i="1"/>
  <c r="AJN8" i="1"/>
  <c r="AJH8" i="1"/>
  <c r="AJB8" i="1"/>
  <c r="AIV8" i="1"/>
  <c r="AIP8" i="1"/>
  <c r="AIJ8" i="1"/>
  <c r="AID8" i="1"/>
  <c r="AHX8" i="1"/>
  <c r="AHR8" i="1"/>
  <c r="AHL8" i="1"/>
  <c r="AHF8" i="1"/>
  <c r="AGZ8" i="1"/>
  <c r="AGT8" i="1"/>
  <c r="AGN8" i="1"/>
  <c r="AGH8" i="1"/>
  <c r="AGB8" i="1"/>
  <c r="AFV8" i="1"/>
  <c r="AFP8" i="1"/>
  <c r="AFJ8" i="1"/>
  <c r="AFD8" i="1"/>
  <c r="AEX8" i="1"/>
  <c r="AER8" i="1"/>
  <c r="AEL8" i="1"/>
  <c r="AEF8" i="1"/>
  <c r="ADZ8" i="1"/>
  <c r="ADT8" i="1"/>
  <c r="ADN8" i="1"/>
  <c r="ADH8" i="1"/>
  <c r="ADB8" i="1"/>
  <c r="ACV8" i="1"/>
  <c r="ACP8" i="1"/>
  <c r="ACJ8" i="1"/>
  <c r="ACD8" i="1"/>
  <c r="ABX8" i="1"/>
  <c r="ABR8" i="1"/>
  <c r="ABL8" i="1"/>
  <c r="ABF8" i="1"/>
  <c r="AAZ8" i="1"/>
  <c r="AAT8" i="1"/>
  <c r="AAN8" i="1"/>
  <c r="AAH8" i="1"/>
  <c r="AAB8" i="1"/>
  <c r="ZV8" i="1"/>
  <c r="ZP8" i="1"/>
  <c r="ZJ8" i="1"/>
  <c r="ZD8" i="1"/>
  <c r="YX8" i="1"/>
  <c r="YR8" i="1"/>
  <c r="YL8" i="1"/>
  <c r="YF8" i="1"/>
  <c r="XZ8" i="1"/>
  <c r="XT8" i="1"/>
  <c r="XN8" i="1"/>
  <c r="XH8" i="1"/>
  <c r="XB8" i="1"/>
  <c r="WV8" i="1"/>
  <c r="WP8" i="1"/>
  <c r="WJ8" i="1"/>
  <c r="WD8" i="1"/>
  <c r="VX8" i="1"/>
  <c r="VR8" i="1"/>
  <c r="VL8" i="1"/>
  <c r="VF8" i="1"/>
  <c r="UZ8" i="1"/>
  <c r="UT8" i="1"/>
  <c r="UN8" i="1"/>
  <c r="UH8" i="1"/>
  <c r="UB8" i="1"/>
  <c r="TV8" i="1"/>
  <c r="TP8" i="1"/>
  <c r="TJ8" i="1"/>
  <c r="TD8" i="1"/>
  <c r="SX8" i="1"/>
  <c r="SR8" i="1"/>
  <c r="SL8" i="1"/>
  <c r="SF8" i="1"/>
  <c r="RZ8" i="1"/>
  <c r="RT8" i="1"/>
  <c r="RN8" i="1"/>
  <c r="RH8" i="1"/>
  <c r="RB8" i="1"/>
  <c r="QV8" i="1"/>
  <c r="QP8" i="1"/>
  <c r="QJ8" i="1"/>
  <c r="QD8" i="1"/>
  <c r="PX8" i="1"/>
  <c r="PR8" i="1"/>
  <c r="PL8" i="1"/>
  <c r="PF8" i="1"/>
  <c r="OZ8" i="1"/>
  <c r="OT8" i="1"/>
  <c r="ON8" i="1"/>
  <c r="OH8" i="1"/>
  <c r="OB8" i="1"/>
  <c r="NV8" i="1"/>
  <c r="NP8" i="1"/>
  <c r="NJ8" i="1"/>
  <c r="ND8" i="1"/>
  <c r="MX8" i="1"/>
  <c r="MR8" i="1"/>
  <c r="ML8" i="1"/>
  <c r="MF8" i="1"/>
  <c r="LZ8" i="1"/>
  <c r="LT8" i="1"/>
  <c r="LN8" i="1"/>
  <c r="LH8" i="1"/>
  <c r="LB8" i="1"/>
  <c r="KV8" i="1"/>
  <c r="KP8" i="1"/>
  <c r="KJ8" i="1"/>
  <c r="KD8" i="1"/>
  <c r="JX8" i="1"/>
  <c r="JR8" i="1"/>
  <c r="JL8" i="1"/>
  <c r="JF8" i="1"/>
  <c r="IZ8" i="1"/>
  <c r="IT8" i="1"/>
  <c r="IN8" i="1"/>
  <c r="IH8" i="1"/>
  <c r="IB8" i="1"/>
  <c r="HV8" i="1"/>
  <c r="HP8" i="1"/>
  <c r="HJ8" i="1"/>
  <c r="HD8" i="1"/>
  <c r="GX8" i="1"/>
  <c r="GR8" i="1"/>
  <c r="GL8" i="1"/>
  <c r="GF8" i="1"/>
  <c r="FZ8" i="1"/>
  <c r="FT8" i="1"/>
  <c r="FN8" i="1"/>
  <c r="FH8" i="1"/>
  <c r="FB8" i="1"/>
  <c r="EV8" i="1"/>
  <c r="EP8" i="1"/>
  <c r="EJ8" i="1"/>
  <c r="ED8" i="1"/>
  <c r="DX8" i="1"/>
  <c r="DR8" i="1"/>
  <c r="DL8" i="1"/>
  <c r="DF8" i="1"/>
  <c r="CZ8" i="1"/>
  <c r="CT8" i="1"/>
  <c r="CN8" i="1"/>
  <c r="CH8" i="1"/>
  <c r="CB8" i="1"/>
  <c r="BV8" i="1"/>
  <c r="BP8" i="1"/>
  <c r="BJ8" i="1"/>
  <c r="BD8" i="1"/>
  <c r="AX8" i="1"/>
  <c r="AR8" i="1"/>
  <c r="AL8" i="1"/>
  <c r="AF8" i="1"/>
  <c r="Z8" i="1"/>
  <c r="T8" i="1"/>
  <c r="N8" i="1"/>
  <c r="H8" i="1"/>
  <c r="B8" i="1"/>
  <c r="ATX7" i="1"/>
  <c r="ATR7" i="1"/>
  <c r="ATL7" i="1"/>
  <c r="ATF7" i="1"/>
  <c r="ASZ7" i="1"/>
  <c r="AST7" i="1"/>
  <c r="ASN7" i="1"/>
  <c r="ASH7" i="1"/>
  <c r="ASB7" i="1"/>
  <c r="ARV7" i="1"/>
  <c r="ARP7" i="1"/>
  <c r="ARJ7" i="1"/>
  <c r="ARD7" i="1"/>
  <c r="AQX7" i="1"/>
  <c r="AQR7" i="1"/>
  <c r="AQL7" i="1"/>
  <c r="AQF7" i="1"/>
  <c r="APZ7" i="1"/>
  <c r="APT7" i="1"/>
  <c r="APN7" i="1"/>
  <c r="APH7" i="1"/>
  <c r="APB7" i="1"/>
  <c r="AOV7" i="1"/>
  <c r="AOP7" i="1"/>
  <c r="AOJ7" i="1"/>
  <c r="AOD7" i="1"/>
  <c r="ANX7" i="1"/>
  <c r="ANR7" i="1"/>
  <c r="ANL7" i="1"/>
  <c r="ANF7" i="1"/>
  <c r="AMZ7" i="1"/>
  <c r="AMT7" i="1"/>
  <c r="AMN7" i="1"/>
  <c r="AMH7" i="1"/>
  <c r="AMB7" i="1"/>
  <c r="ALV7" i="1"/>
  <c r="ALP7" i="1"/>
  <c r="ALJ7" i="1"/>
  <c r="ALD7" i="1"/>
  <c r="AKX7" i="1"/>
  <c r="AKR7" i="1"/>
  <c r="AKL7" i="1"/>
  <c r="AKF7" i="1"/>
  <c r="AJZ7" i="1"/>
  <c r="AJT7" i="1"/>
  <c r="AJN7" i="1"/>
  <c r="AJH7" i="1"/>
  <c r="AJB7" i="1"/>
  <c r="AIV7" i="1"/>
  <c r="AIP7" i="1"/>
  <c r="AIJ7" i="1"/>
  <c r="AID7" i="1"/>
  <c r="AHX7" i="1"/>
  <c r="AHR7" i="1"/>
  <c r="AHL7" i="1"/>
  <c r="AHF7" i="1"/>
  <c r="AGZ7" i="1"/>
  <c r="AGT7" i="1"/>
  <c r="AGN7" i="1"/>
  <c r="AGH7" i="1"/>
  <c r="AGB7" i="1"/>
  <c r="AFV7" i="1"/>
  <c r="AFP7" i="1"/>
  <c r="AFJ7" i="1"/>
  <c r="AFD7" i="1"/>
  <c r="AEX7" i="1"/>
  <c r="AER7" i="1"/>
  <c r="AEL7" i="1"/>
  <c r="AEF7" i="1"/>
  <c r="ADZ7" i="1"/>
  <c r="ADT7" i="1"/>
  <c r="ADN7" i="1"/>
  <c r="ADH7" i="1"/>
  <c r="ADB7" i="1"/>
  <c r="ACV7" i="1"/>
  <c r="ACP7" i="1"/>
  <c r="ACJ7" i="1"/>
  <c r="ACD7" i="1"/>
  <c r="ABX7" i="1"/>
  <c r="ABR7" i="1"/>
  <c r="ABL7" i="1"/>
  <c r="ABF7" i="1"/>
  <c r="AAZ7" i="1"/>
  <c r="AAT7" i="1"/>
  <c r="AAN7" i="1"/>
  <c r="AAH7" i="1"/>
  <c r="AAB7" i="1"/>
  <c r="ZV7" i="1"/>
  <c r="ZP7" i="1"/>
  <c r="ZJ7" i="1"/>
  <c r="ZD7" i="1"/>
  <c r="YX7" i="1"/>
  <c r="YR7" i="1"/>
  <c r="YL7" i="1"/>
  <c r="YF7" i="1"/>
  <c r="XZ7" i="1"/>
  <c r="XT7" i="1"/>
  <c r="XN7" i="1"/>
  <c r="XH7" i="1"/>
  <c r="XB7" i="1"/>
  <c r="WV7" i="1"/>
  <c r="WP7" i="1"/>
  <c r="WJ7" i="1"/>
  <c r="WD7" i="1"/>
  <c r="VX7" i="1"/>
  <c r="VR7" i="1"/>
  <c r="VL7" i="1"/>
  <c r="VF7" i="1"/>
  <c r="UZ7" i="1"/>
  <c r="UT7" i="1"/>
  <c r="UN7" i="1"/>
  <c r="UH7" i="1"/>
  <c r="UB7" i="1"/>
  <c r="TV7" i="1"/>
  <c r="TP7" i="1"/>
  <c r="TJ7" i="1"/>
  <c r="TD7" i="1"/>
  <c r="SX7" i="1"/>
  <c r="SR7" i="1"/>
  <c r="SL7" i="1"/>
  <c r="SF7" i="1"/>
  <c r="RZ7" i="1"/>
  <c r="RT7" i="1"/>
  <c r="RN7" i="1"/>
  <c r="RH7" i="1"/>
  <c r="RB7" i="1"/>
  <c r="QV7" i="1"/>
  <c r="QP7" i="1"/>
  <c r="QJ7" i="1"/>
  <c r="QD7" i="1"/>
  <c r="PX7" i="1"/>
  <c r="PR7" i="1"/>
  <c r="PL7" i="1"/>
  <c r="PF7" i="1"/>
  <c r="OZ7" i="1"/>
  <c r="OT7" i="1"/>
  <c r="ON7" i="1"/>
  <c r="OH7" i="1"/>
  <c r="OB7" i="1"/>
  <c r="NV7" i="1"/>
  <c r="NP7" i="1"/>
  <c r="NJ7" i="1"/>
  <c r="ND7" i="1"/>
  <c r="MX7" i="1"/>
  <c r="MR7" i="1"/>
  <c r="ML7" i="1"/>
  <c r="MF7" i="1"/>
  <c r="LZ7" i="1"/>
  <c r="LT7" i="1"/>
  <c r="LN7" i="1"/>
  <c r="LH7" i="1"/>
  <c r="LB7" i="1"/>
  <c r="KV7" i="1"/>
  <c r="KP7" i="1"/>
  <c r="KJ7" i="1"/>
  <c r="KD7" i="1"/>
  <c r="JX7" i="1"/>
  <c r="JR7" i="1"/>
  <c r="JL7" i="1"/>
  <c r="JF7" i="1"/>
  <c r="IZ7" i="1"/>
  <c r="IT7" i="1"/>
  <c r="IN7" i="1"/>
  <c r="IH7" i="1"/>
  <c r="IB7" i="1"/>
  <c r="HV7" i="1"/>
  <c r="HP7" i="1"/>
  <c r="HJ7" i="1"/>
  <c r="HD7" i="1"/>
  <c r="GX7" i="1"/>
  <c r="GR7" i="1"/>
  <c r="GL7" i="1"/>
  <c r="GF7" i="1"/>
  <c r="FZ7" i="1"/>
  <c r="FT7" i="1"/>
  <c r="FN7" i="1"/>
  <c r="FH7" i="1"/>
  <c r="FB7" i="1"/>
  <c r="EV7" i="1"/>
  <c r="EP7" i="1"/>
  <c r="EJ7" i="1"/>
  <c r="ED7" i="1"/>
  <c r="DX7" i="1"/>
  <c r="DR7" i="1"/>
  <c r="DL7" i="1"/>
  <c r="DF7" i="1"/>
  <c r="CZ7" i="1"/>
  <c r="CT7" i="1"/>
  <c r="CN7" i="1"/>
  <c r="CH7" i="1"/>
  <c r="CB7" i="1"/>
  <c r="BV7" i="1"/>
  <c r="BP7" i="1"/>
  <c r="BJ7" i="1"/>
  <c r="BD7" i="1"/>
  <c r="AX7" i="1"/>
  <c r="AR7" i="1"/>
  <c r="AL7" i="1"/>
  <c r="AF7" i="1"/>
  <c r="Z7" i="1"/>
  <c r="T7" i="1"/>
  <c r="N7" i="1"/>
  <c r="H7" i="1"/>
  <c r="B7" i="1"/>
  <c r="ATX6" i="1"/>
  <c r="ATR6" i="1"/>
  <c r="ATL6" i="1"/>
  <c r="ATF6" i="1"/>
  <c r="ASZ6" i="1"/>
  <c r="AST6" i="1"/>
  <c r="ASN6" i="1"/>
  <c r="ASH6" i="1"/>
  <c r="ASB6" i="1"/>
  <c r="ARV6" i="1"/>
  <c r="ARP6" i="1"/>
  <c r="ARJ6" i="1"/>
  <c r="ARD6" i="1"/>
  <c r="AQX6" i="1"/>
  <c r="AQR6" i="1"/>
  <c r="AQL6" i="1"/>
  <c r="AQF6" i="1"/>
  <c r="APZ6" i="1"/>
  <c r="APT6" i="1"/>
  <c r="APN6" i="1"/>
  <c r="APH6" i="1"/>
  <c r="APB6" i="1"/>
  <c r="AOV6" i="1"/>
  <c r="AOP6" i="1"/>
  <c r="AOJ6" i="1"/>
  <c r="AOD6" i="1"/>
  <c r="ANX6" i="1"/>
  <c r="ANR6" i="1"/>
  <c r="ANL6" i="1"/>
  <c r="ANF6" i="1"/>
  <c r="AMZ6" i="1"/>
  <c r="AMT6" i="1"/>
  <c r="AMN6" i="1"/>
  <c r="AMH6" i="1"/>
  <c r="AMB6" i="1"/>
  <c r="ALV6" i="1"/>
  <c r="ALP6" i="1"/>
  <c r="ALJ6" i="1"/>
  <c r="ALD6" i="1"/>
  <c r="AKX6" i="1"/>
  <c r="AKR6" i="1"/>
  <c r="AKL6" i="1"/>
  <c r="AKF6" i="1"/>
  <c r="AJZ6" i="1"/>
  <c r="AJT6" i="1"/>
  <c r="AJN6" i="1"/>
  <c r="AJH6" i="1"/>
  <c r="AJB6" i="1"/>
  <c r="AIV6" i="1"/>
  <c r="AIP6" i="1"/>
  <c r="AIJ6" i="1"/>
  <c r="AID6" i="1"/>
  <c r="AHX6" i="1"/>
  <c r="AHR6" i="1"/>
  <c r="AHL6" i="1"/>
  <c r="AHF6" i="1"/>
  <c r="AGZ6" i="1"/>
  <c r="AGT6" i="1"/>
  <c r="AGN6" i="1"/>
  <c r="AGH6" i="1"/>
  <c r="AGB6" i="1"/>
  <c r="AFV6" i="1"/>
  <c r="AFP6" i="1"/>
  <c r="AFJ6" i="1"/>
  <c r="AFD6" i="1"/>
  <c r="AEX6" i="1"/>
  <c r="AER6" i="1"/>
  <c r="AEL6" i="1"/>
  <c r="AEF6" i="1"/>
  <c r="ADZ6" i="1"/>
  <c r="ADT6" i="1"/>
  <c r="ADN6" i="1"/>
  <c r="ADH6" i="1"/>
  <c r="ADB6" i="1"/>
  <c r="ACV6" i="1"/>
  <c r="ACP6" i="1"/>
  <c r="ACJ6" i="1"/>
  <c r="ACD6" i="1"/>
  <c r="ABX6" i="1"/>
  <c r="ABR6" i="1"/>
  <c r="ABL6" i="1"/>
  <c r="ABF6" i="1"/>
  <c r="AAZ6" i="1"/>
  <c r="AAT6" i="1"/>
  <c r="AAN6" i="1"/>
  <c r="AAH6" i="1"/>
  <c r="AAB6" i="1"/>
  <c r="ZV6" i="1"/>
  <c r="ZP6" i="1"/>
  <c r="ZJ6" i="1"/>
  <c r="ZD6" i="1"/>
  <c r="YX6" i="1"/>
  <c r="YR6" i="1"/>
  <c r="YL6" i="1"/>
  <c r="YF6" i="1"/>
  <c r="XZ6" i="1"/>
  <c r="XT6" i="1"/>
  <c r="XN6" i="1"/>
  <c r="XH6" i="1"/>
  <c r="XB6" i="1"/>
  <c r="WV6" i="1"/>
  <c r="WP6" i="1"/>
  <c r="WJ6" i="1"/>
  <c r="WD6" i="1"/>
  <c r="VX6" i="1"/>
  <c r="VR6" i="1"/>
  <c r="VL6" i="1"/>
  <c r="VF6" i="1"/>
  <c r="UZ6" i="1"/>
  <c r="UT6" i="1"/>
  <c r="UN6" i="1"/>
  <c r="UH6" i="1"/>
  <c r="UB6" i="1"/>
  <c r="TV6" i="1"/>
  <c r="TP6" i="1"/>
  <c r="TJ6" i="1"/>
  <c r="TD6" i="1"/>
  <c r="SX6" i="1"/>
  <c r="SR6" i="1"/>
  <c r="SL6" i="1"/>
  <c r="SF6" i="1"/>
  <c r="RZ6" i="1"/>
  <c r="RT6" i="1"/>
  <c r="RN6" i="1"/>
  <c r="RH6" i="1"/>
  <c r="RB6" i="1"/>
  <c r="QV6" i="1"/>
  <c r="QP6" i="1"/>
  <c r="QJ6" i="1"/>
  <c r="QD6" i="1"/>
  <c r="PX6" i="1"/>
  <c r="PR6" i="1"/>
  <c r="PL6" i="1"/>
  <c r="PF6" i="1"/>
  <c r="OZ6" i="1"/>
  <c r="OT6" i="1"/>
  <c r="ON6" i="1"/>
  <c r="OH6" i="1"/>
  <c r="OB6" i="1"/>
  <c r="NV6" i="1"/>
  <c r="NP6" i="1"/>
  <c r="NJ6" i="1"/>
  <c r="ND6" i="1"/>
  <c r="MX6" i="1"/>
  <c r="MR6" i="1"/>
  <c r="ML6" i="1"/>
  <c r="MF6" i="1"/>
  <c r="LZ6" i="1"/>
  <c r="LT6" i="1"/>
  <c r="LN6" i="1"/>
  <c r="LH6" i="1"/>
  <c r="LB6" i="1"/>
  <c r="KV6" i="1"/>
  <c r="KP6" i="1"/>
  <c r="KJ6" i="1"/>
  <c r="KD6" i="1"/>
  <c r="JX6" i="1"/>
  <c r="JR6" i="1"/>
  <c r="JL6" i="1"/>
  <c r="JF6" i="1"/>
  <c r="IZ6" i="1"/>
  <c r="IT6" i="1"/>
  <c r="IN6" i="1"/>
  <c r="IH6" i="1"/>
  <c r="IB6" i="1"/>
  <c r="HV6" i="1"/>
  <c r="HP6" i="1"/>
  <c r="HJ6" i="1"/>
  <c r="HD6" i="1"/>
  <c r="GX6" i="1"/>
  <c r="GR6" i="1"/>
  <c r="GL6" i="1"/>
  <c r="GF6" i="1"/>
  <c r="FZ6" i="1"/>
  <c r="FT6" i="1"/>
  <c r="FN6" i="1"/>
  <c r="FH6" i="1"/>
  <c r="FB6" i="1"/>
  <c r="EV6" i="1"/>
  <c r="EP6" i="1"/>
  <c r="EJ6" i="1"/>
  <c r="ED6" i="1"/>
  <c r="DX6" i="1"/>
  <c r="DR6" i="1"/>
  <c r="DL6" i="1"/>
  <c r="DF6" i="1"/>
  <c r="CZ6" i="1"/>
  <c r="CT6" i="1"/>
  <c r="CN6" i="1"/>
  <c r="CH6" i="1"/>
  <c r="CB6" i="1"/>
  <c r="BV6" i="1"/>
  <c r="BP6" i="1"/>
  <c r="BJ6" i="1"/>
  <c r="BD6" i="1"/>
  <c r="AX6" i="1"/>
  <c r="AR6" i="1"/>
  <c r="AL6" i="1"/>
  <c r="AF6" i="1"/>
  <c r="Z6" i="1"/>
  <c r="T6" i="1"/>
  <c r="N6" i="1"/>
  <c r="H6" i="1"/>
  <c r="B6" i="1"/>
  <c r="ATX5" i="1"/>
  <c r="ATR5" i="1"/>
  <c r="ATL5" i="1"/>
  <c r="ATF5" i="1"/>
  <c r="ASZ5" i="1"/>
  <c r="AST5" i="1"/>
  <c r="ASN5" i="1"/>
  <c r="ASH5" i="1"/>
  <c r="ASB5" i="1"/>
  <c r="ARV5" i="1"/>
  <c r="ARP5" i="1"/>
  <c r="ARJ5" i="1"/>
  <c r="ARD5" i="1"/>
  <c r="AQX5" i="1"/>
  <c r="AQR5" i="1"/>
  <c r="AQL5" i="1"/>
  <c r="AQF5" i="1"/>
  <c r="APZ5" i="1"/>
  <c r="APT5" i="1"/>
  <c r="APN5" i="1"/>
  <c r="APH5" i="1"/>
  <c r="APB5" i="1"/>
  <c r="AOV5" i="1"/>
  <c r="AOP5" i="1"/>
  <c r="AOJ5" i="1"/>
  <c r="AOD5" i="1"/>
  <c r="ANX5" i="1"/>
  <c r="ANR5" i="1"/>
  <c r="ANL5" i="1"/>
  <c r="ANF5" i="1"/>
  <c r="AMZ5" i="1"/>
  <c r="AMT5" i="1"/>
  <c r="AMN5" i="1"/>
  <c r="AMH5" i="1"/>
  <c r="AMB5" i="1"/>
  <c r="ALV5" i="1"/>
  <c r="ALP5" i="1"/>
  <c r="ALJ5" i="1"/>
  <c r="ALD5" i="1"/>
  <c r="AKX5" i="1"/>
  <c r="AKR5" i="1"/>
  <c r="AKL5" i="1"/>
  <c r="AKF5" i="1"/>
  <c r="AJZ5" i="1"/>
  <c r="AJT5" i="1"/>
  <c r="AJN5" i="1"/>
  <c r="AJH5" i="1"/>
  <c r="AJB5" i="1"/>
  <c r="AIV5" i="1"/>
  <c r="AIP5" i="1"/>
  <c r="AIJ5" i="1"/>
  <c r="AID5" i="1"/>
  <c r="AHX5" i="1"/>
  <c r="AHR5" i="1"/>
  <c r="AHL5" i="1"/>
  <c r="AHF5" i="1"/>
  <c r="AGZ5" i="1"/>
  <c r="AGT5" i="1"/>
  <c r="AGN5" i="1"/>
  <c r="AGH5" i="1"/>
  <c r="AGB5" i="1"/>
  <c r="AFV5" i="1"/>
  <c r="AFP5" i="1"/>
  <c r="AFJ5" i="1"/>
  <c r="AFD5" i="1"/>
  <c r="AEX5" i="1"/>
  <c r="AER5" i="1"/>
  <c r="AEL5" i="1"/>
  <c r="AEF5" i="1"/>
  <c r="ADZ5" i="1"/>
  <c r="ADT5" i="1"/>
  <c r="ADN5" i="1"/>
  <c r="ADH5" i="1"/>
  <c r="ADB5" i="1"/>
  <c r="ACV5" i="1"/>
  <c r="ACP5" i="1"/>
  <c r="ACJ5" i="1"/>
  <c r="ACD5" i="1"/>
  <c r="ABX5" i="1"/>
  <c r="ABR5" i="1"/>
  <c r="ABL5" i="1"/>
  <c r="ABF5" i="1"/>
  <c r="AAZ5" i="1"/>
  <c r="AAT5" i="1"/>
  <c r="AAN5" i="1"/>
  <c r="AAH5" i="1"/>
  <c r="AAB5" i="1"/>
  <c r="ZV5" i="1"/>
  <c r="ZP5" i="1"/>
  <c r="ZJ5" i="1"/>
  <c r="ZD5" i="1"/>
  <c r="YX5" i="1"/>
  <c r="YR5" i="1"/>
  <c r="YL5" i="1"/>
  <c r="YF5" i="1"/>
  <c r="XZ5" i="1"/>
  <c r="XT5" i="1"/>
  <c r="XN5" i="1"/>
  <c r="XH5" i="1"/>
  <c r="XB5" i="1"/>
  <c r="WV5" i="1"/>
  <c r="WP5" i="1"/>
  <c r="WJ5" i="1"/>
  <c r="WD5" i="1"/>
  <c r="VX5" i="1"/>
  <c r="VR5" i="1"/>
  <c r="VL5" i="1"/>
  <c r="VF5" i="1"/>
  <c r="UZ5" i="1"/>
  <c r="UT5" i="1"/>
  <c r="UN5" i="1"/>
  <c r="UH5" i="1"/>
  <c r="UB5" i="1"/>
  <c r="TV5" i="1"/>
  <c r="TP5" i="1"/>
  <c r="TJ5" i="1"/>
  <c r="TD5" i="1"/>
  <c r="SX5" i="1"/>
  <c r="SR5" i="1"/>
  <c r="SL5" i="1"/>
  <c r="SF5" i="1"/>
  <c r="RZ5" i="1"/>
  <c r="RT5" i="1"/>
  <c r="RN5" i="1"/>
  <c r="RH5" i="1"/>
  <c r="RB5" i="1"/>
  <c r="QV5" i="1"/>
  <c r="QP5" i="1"/>
  <c r="QJ5" i="1"/>
  <c r="QD5" i="1"/>
  <c r="PX5" i="1"/>
  <c r="PR5" i="1"/>
  <c r="PL5" i="1"/>
  <c r="PF5" i="1"/>
  <c r="OZ5" i="1"/>
  <c r="OT5" i="1"/>
  <c r="ON5" i="1"/>
  <c r="OH5" i="1"/>
  <c r="OB5" i="1"/>
  <c r="NV5" i="1"/>
  <c r="NP5" i="1"/>
  <c r="NJ5" i="1"/>
  <c r="ND5" i="1"/>
  <c r="MX5" i="1"/>
  <c r="MR5" i="1"/>
  <c r="ML5" i="1"/>
  <c r="MF5" i="1"/>
  <c r="LZ5" i="1"/>
  <c r="LT5" i="1"/>
  <c r="LN5" i="1"/>
  <c r="LH5" i="1"/>
  <c r="LB5" i="1"/>
  <c r="KV5" i="1"/>
  <c r="KP5" i="1"/>
  <c r="KJ5" i="1"/>
  <c r="KD5" i="1"/>
  <c r="JX5" i="1"/>
  <c r="JR5" i="1"/>
  <c r="JL5" i="1"/>
  <c r="JF5" i="1"/>
  <c r="IZ5" i="1"/>
  <c r="IT5" i="1"/>
  <c r="IN5" i="1"/>
  <c r="IH5" i="1"/>
  <c r="IB5" i="1"/>
  <c r="HV5" i="1"/>
  <c r="HP5" i="1"/>
  <c r="HJ5" i="1"/>
  <c r="HD5" i="1"/>
  <c r="GX5" i="1"/>
  <c r="GR5" i="1"/>
  <c r="GL5" i="1"/>
  <c r="GF5" i="1"/>
  <c r="FZ5" i="1"/>
  <c r="FT5" i="1"/>
  <c r="FN5" i="1"/>
  <c r="FH5" i="1"/>
  <c r="FB5" i="1"/>
  <c r="EV5" i="1"/>
  <c r="EP5" i="1"/>
  <c r="EJ5" i="1"/>
  <c r="ED5" i="1"/>
  <c r="DX5" i="1"/>
  <c r="DR5" i="1"/>
  <c r="DL5" i="1"/>
  <c r="DF5" i="1"/>
  <c r="CZ5" i="1"/>
  <c r="CT5" i="1"/>
  <c r="CN5" i="1"/>
  <c r="CH5" i="1"/>
  <c r="CB5" i="1"/>
  <c r="BV5" i="1"/>
  <c r="BP5" i="1"/>
  <c r="BJ5" i="1"/>
  <c r="BD5" i="1"/>
  <c r="AX5" i="1"/>
  <c r="AR5" i="1"/>
  <c r="AL5" i="1"/>
  <c r="AF5" i="1"/>
  <c r="Z5" i="1"/>
  <c r="T5" i="1"/>
  <c r="N5" i="1"/>
  <c r="H5" i="1"/>
  <c r="B5" i="1"/>
  <c r="ATX4" i="1"/>
  <c r="ATR4" i="1"/>
  <c r="ATL4" i="1"/>
  <c r="ATF4" i="1"/>
  <c r="ASZ4" i="1"/>
  <c r="AST4" i="1"/>
  <c r="ASN4" i="1"/>
  <c r="ASH4" i="1"/>
  <c r="ASB4" i="1"/>
  <c r="ARV4" i="1"/>
  <c r="ARP4" i="1"/>
  <c r="ARJ4" i="1"/>
  <c r="ARD4" i="1"/>
  <c r="AQX4" i="1"/>
  <c r="AQR4" i="1"/>
  <c r="AQL4" i="1"/>
  <c r="AQF4" i="1"/>
  <c r="APZ4" i="1"/>
  <c r="APT4" i="1"/>
  <c r="APN4" i="1"/>
  <c r="APH4" i="1"/>
  <c r="APB4" i="1"/>
  <c r="AOV4" i="1"/>
  <c r="AOP4" i="1"/>
  <c r="AOJ4" i="1"/>
  <c r="AOD4" i="1"/>
  <c r="ANX4" i="1"/>
  <c r="ANR4" i="1"/>
  <c r="ANL4" i="1"/>
  <c r="ANF4" i="1"/>
  <c r="AMZ4" i="1"/>
  <c r="AMT4" i="1"/>
  <c r="AMN4" i="1"/>
  <c r="AMH4" i="1"/>
  <c r="AMB4" i="1"/>
  <c r="ALV4" i="1"/>
  <c r="ALP4" i="1"/>
  <c r="ALJ4" i="1"/>
  <c r="ALD4" i="1"/>
  <c r="AKX4" i="1"/>
  <c r="AKR4" i="1"/>
  <c r="AKL4" i="1"/>
  <c r="AKF4" i="1"/>
  <c r="AJZ4" i="1"/>
  <c r="AJT4" i="1"/>
  <c r="AJN4" i="1"/>
  <c r="AJH4" i="1"/>
  <c r="AJB4" i="1"/>
  <c r="AIV4" i="1"/>
  <c r="AIP4" i="1"/>
  <c r="AIJ4" i="1"/>
  <c r="AID4" i="1"/>
  <c r="AHX4" i="1"/>
  <c r="AHR4" i="1"/>
  <c r="AHL4" i="1"/>
  <c r="AHF4" i="1"/>
  <c r="AGZ4" i="1"/>
  <c r="AGT4" i="1"/>
  <c r="AGN4" i="1"/>
  <c r="AGH4" i="1"/>
  <c r="AGB4" i="1"/>
  <c r="AFV4" i="1"/>
  <c r="AFP4" i="1"/>
  <c r="AFJ4" i="1"/>
  <c r="AFD4" i="1"/>
  <c r="AEX4" i="1"/>
  <c r="AER4" i="1"/>
  <c r="AEL4" i="1"/>
  <c r="AEF4" i="1"/>
  <c r="ADZ4" i="1"/>
  <c r="ADT4" i="1"/>
  <c r="ADN4" i="1"/>
  <c r="ADH4" i="1"/>
  <c r="ADB4" i="1"/>
  <c r="ACV4" i="1"/>
  <c r="ACP4" i="1"/>
  <c r="ACJ4" i="1"/>
  <c r="ACD4" i="1"/>
  <c r="ABX4" i="1"/>
  <c r="ABR4" i="1"/>
  <c r="ABL4" i="1"/>
  <c r="ABF4" i="1"/>
  <c r="AAZ4" i="1"/>
  <c r="AAT4" i="1"/>
  <c r="AAN4" i="1"/>
  <c r="AAH4" i="1"/>
  <c r="AAB4" i="1"/>
  <c r="ZV4" i="1"/>
  <c r="ZP4" i="1"/>
  <c r="ZJ4" i="1"/>
  <c r="ZD4" i="1"/>
  <c r="YX4" i="1"/>
  <c r="YR4" i="1"/>
  <c r="YL4" i="1"/>
  <c r="YF4" i="1"/>
  <c r="XZ4" i="1"/>
  <c r="XT4" i="1"/>
  <c r="XN4" i="1"/>
  <c r="XH4" i="1"/>
  <c r="XB4" i="1"/>
  <c r="WV4" i="1"/>
  <c r="WP4" i="1"/>
  <c r="WJ4" i="1"/>
  <c r="WD4" i="1"/>
  <c r="VX4" i="1"/>
  <c r="VR4" i="1"/>
  <c r="VL4" i="1"/>
  <c r="VF4" i="1"/>
  <c r="UZ4" i="1"/>
  <c r="UT4" i="1"/>
  <c r="UN4" i="1"/>
  <c r="UH4" i="1"/>
  <c r="UB4" i="1"/>
  <c r="TV4" i="1"/>
  <c r="TP4" i="1"/>
  <c r="TJ4" i="1"/>
  <c r="TD4" i="1"/>
  <c r="SX4" i="1"/>
  <c r="SR4" i="1"/>
  <c r="SL4" i="1"/>
  <c r="SF4" i="1"/>
  <c r="RZ4" i="1"/>
  <c r="RT4" i="1"/>
  <c r="RN4" i="1"/>
  <c r="RH4" i="1"/>
  <c r="RB4" i="1"/>
  <c r="QV4" i="1"/>
  <c r="QP4" i="1"/>
  <c r="QJ4" i="1"/>
  <c r="QD4" i="1"/>
  <c r="PX4" i="1"/>
  <c r="PR4" i="1"/>
  <c r="PL4" i="1"/>
  <c r="PF4" i="1"/>
  <c r="OZ4" i="1"/>
  <c r="OT4" i="1"/>
  <c r="ON4" i="1"/>
  <c r="OH4" i="1"/>
  <c r="OB4" i="1"/>
  <c r="NV4" i="1"/>
  <c r="NP4" i="1"/>
  <c r="NJ4" i="1"/>
  <c r="ND4" i="1"/>
  <c r="MX4" i="1"/>
  <c r="MR4" i="1"/>
  <c r="ML4" i="1"/>
  <c r="MF4" i="1"/>
  <c r="LZ4" i="1"/>
  <c r="LT4" i="1"/>
  <c r="LN4" i="1"/>
  <c r="LH4" i="1"/>
  <c r="LB4" i="1"/>
  <c r="KV4" i="1"/>
  <c r="KP4" i="1"/>
  <c r="KJ4" i="1"/>
  <c r="KD4" i="1"/>
  <c r="JX4" i="1"/>
  <c r="JR4" i="1"/>
  <c r="JL4" i="1"/>
  <c r="JF4" i="1"/>
  <c r="IZ4" i="1"/>
  <c r="IT4" i="1"/>
  <c r="IN4" i="1"/>
  <c r="IH4" i="1"/>
  <c r="IB4" i="1"/>
  <c r="HV4" i="1"/>
  <c r="HP4" i="1"/>
  <c r="HJ4" i="1"/>
  <c r="HD4" i="1"/>
  <c r="GX4" i="1"/>
  <c r="GR4" i="1"/>
  <c r="GL4" i="1"/>
  <c r="GF4" i="1"/>
  <c r="FZ4" i="1"/>
  <c r="FT4" i="1"/>
  <c r="FN4" i="1"/>
  <c r="FH4" i="1"/>
  <c r="FB4" i="1"/>
  <c r="EV4" i="1"/>
  <c r="EP4" i="1"/>
  <c r="EJ4" i="1"/>
  <c r="ED4" i="1"/>
  <c r="DX4" i="1"/>
  <c r="DR4" i="1"/>
  <c r="DL4" i="1"/>
  <c r="DF4" i="1"/>
  <c r="CZ4" i="1"/>
  <c r="CT4" i="1"/>
  <c r="CN4" i="1"/>
  <c r="CH4" i="1"/>
  <c r="CB4" i="1"/>
  <c r="BV4" i="1"/>
  <c r="BP4" i="1"/>
  <c r="BJ4" i="1"/>
  <c r="BD4" i="1"/>
  <c r="AX4" i="1"/>
  <c r="AR4" i="1"/>
  <c r="AL4" i="1"/>
  <c r="AF4" i="1"/>
  <c r="Z4" i="1"/>
  <c r="T4" i="1"/>
  <c r="N4" i="1"/>
  <c r="H4" i="1"/>
  <c r="B4" i="1"/>
  <c r="ATX3" i="1"/>
  <c r="ATR3" i="1"/>
  <c r="ATL3" i="1"/>
  <c r="ATF3" i="1"/>
  <c r="ASZ3" i="1"/>
  <c r="AST3" i="1"/>
  <c r="ASN3" i="1"/>
  <c r="ASH3" i="1"/>
  <c r="ASB3" i="1"/>
  <c r="ARV3" i="1"/>
  <c r="ARP3" i="1"/>
  <c r="ARJ3" i="1"/>
  <c r="ARD3" i="1"/>
  <c r="AQX3" i="1"/>
  <c r="AQR3" i="1"/>
  <c r="AQL3" i="1"/>
  <c r="AQF3" i="1"/>
  <c r="APZ3" i="1"/>
  <c r="APT3" i="1"/>
  <c r="APN3" i="1"/>
  <c r="APH3" i="1"/>
  <c r="APB3" i="1"/>
  <c r="AOV3" i="1"/>
  <c r="AOP3" i="1"/>
  <c r="AOJ3" i="1"/>
  <c r="AOD3" i="1"/>
  <c r="ANX3" i="1"/>
  <c r="ANR3" i="1"/>
  <c r="ANL3" i="1"/>
  <c r="ANF3" i="1"/>
  <c r="AMZ3" i="1"/>
  <c r="AMT3" i="1"/>
  <c r="AMN3" i="1"/>
  <c r="AMH3" i="1"/>
  <c r="AMB3" i="1"/>
  <c r="ALV3" i="1"/>
  <c r="ALP3" i="1"/>
  <c r="ALJ3" i="1"/>
  <c r="ALD3" i="1"/>
  <c r="AKX3" i="1"/>
  <c r="AKR3" i="1"/>
  <c r="AKL3" i="1"/>
  <c r="AKF3" i="1"/>
  <c r="AJZ3" i="1"/>
  <c r="AJT3" i="1"/>
  <c r="AJN3" i="1"/>
  <c r="AJH3" i="1"/>
  <c r="AJB3" i="1"/>
  <c r="AIV3" i="1"/>
  <c r="AIP3" i="1"/>
  <c r="AIJ3" i="1"/>
  <c r="AID3" i="1"/>
  <c r="AHX3" i="1"/>
  <c r="AHR3" i="1"/>
  <c r="AHL3" i="1"/>
  <c r="AHF3" i="1"/>
  <c r="AGZ3" i="1"/>
  <c r="AGT3" i="1"/>
  <c r="AGN3" i="1"/>
  <c r="AGH3" i="1"/>
  <c r="AGB3" i="1"/>
  <c r="AFV3" i="1"/>
  <c r="AFP3" i="1"/>
  <c r="AFJ3" i="1"/>
  <c r="AFD3" i="1"/>
  <c r="AEX3" i="1"/>
  <c r="AER3" i="1"/>
  <c r="AEL3" i="1"/>
  <c r="AEF3" i="1"/>
  <c r="ADZ3" i="1"/>
  <c r="ADT3" i="1"/>
  <c r="ADN3" i="1"/>
  <c r="ADH3" i="1"/>
  <c r="ADB3" i="1"/>
  <c r="ACV3" i="1"/>
  <c r="ACP3" i="1"/>
  <c r="ACJ3" i="1"/>
  <c r="ACD3" i="1"/>
  <c r="ABX3" i="1"/>
  <c r="ABR3" i="1"/>
  <c r="ABL3" i="1"/>
  <c r="ABF3" i="1"/>
  <c r="AAZ3" i="1"/>
  <c r="AAT3" i="1"/>
  <c r="AAN3" i="1"/>
  <c r="AAH3" i="1"/>
  <c r="AAB3" i="1"/>
  <c r="ZV3" i="1"/>
  <c r="ZP3" i="1"/>
  <c r="ZJ3" i="1"/>
  <c r="ZD3" i="1"/>
  <c r="YX3" i="1"/>
  <c r="YR3" i="1"/>
  <c r="YL3" i="1"/>
  <c r="YF3" i="1"/>
  <c r="XZ3" i="1"/>
  <c r="XT3" i="1"/>
  <c r="XN3" i="1"/>
  <c r="XH3" i="1"/>
  <c r="XB3" i="1"/>
  <c r="WV3" i="1"/>
  <c r="WP3" i="1"/>
  <c r="WJ3" i="1"/>
  <c r="WD3" i="1"/>
  <c r="VX3" i="1"/>
  <c r="VR3" i="1"/>
  <c r="VL3" i="1"/>
  <c r="VF3" i="1"/>
  <c r="UZ3" i="1"/>
  <c r="UT3" i="1"/>
  <c r="UN3" i="1"/>
  <c r="UH3" i="1"/>
  <c r="UB3" i="1"/>
  <c r="TV3" i="1"/>
  <c r="TP3" i="1"/>
  <c r="TJ3" i="1"/>
  <c r="TD3" i="1"/>
  <c r="SX3" i="1"/>
  <c r="SR3" i="1"/>
  <c r="SL3" i="1"/>
  <c r="SF3" i="1"/>
  <c r="RZ3" i="1"/>
  <c r="RT3" i="1"/>
  <c r="RN3" i="1"/>
  <c r="RH3" i="1"/>
  <c r="RB3" i="1"/>
  <c r="QV3" i="1"/>
  <c r="QP3" i="1"/>
  <c r="QJ3" i="1"/>
  <c r="QD3" i="1"/>
  <c r="PX3" i="1"/>
  <c r="PR3" i="1"/>
  <c r="PL3" i="1"/>
  <c r="PF3" i="1"/>
  <c r="OZ3" i="1"/>
  <c r="OT3" i="1"/>
  <c r="ON3" i="1"/>
  <c r="OH3" i="1"/>
  <c r="OB3" i="1"/>
  <c r="NV3" i="1"/>
  <c r="NP3" i="1"/>
  <c r="NJ3" i="1"/>
  <c r="ND3" i="1"/>
  <c r="MX3" i="1"/>
  <c r="MR3" i="1"/>
  <c r="ML3" i="1"/>
  <c r="MF3" i="1"/>
  <c r="LZ3" i="1"/>
  <c r="LT3" i="1"/>
  <c r="LN3" i="1"/>
  <c r="LH3" i="1"/>
  <c r="LB3" i="1"/>
  <c r="KV3" i="1"/>
  <c r="KP3" i="1"/>
  <c r="KJ3" i="1"/>
  <c r="KD3" i="1"/>
  <c r="JX3" i="1"/>
  <c r="JR3" i="1"/>
  <c r="JL3" i="1"/>
  <c r="JF3" i="1"/>
  <c r="IZ3" i="1"/>
  <c r="IT3" i="1"/>
  <c r="IN3" i="1"/>
  <c r="IH3" i="1"/>
  <c r="IB3" i="1"/>
  <c r="HV3" i="1"/>
  <c r="HP3" i="1"/>
  <c r="HJ3" i="1"/>
  <c r="HD3" i="1"/>
  <c r="GX3" i="1"/>
  <c r="GR3" i="1"/>
  <c r="GL3" i="1"/>
  <c r="GF3" i="1"/>
  <c r="FZ3" i="1"/>
  <c r="FT3" i="1"/>
  <c r="FN3" i="1"/>
  <c r="FH3" i="1"/>
  <c r="FB3" i="1"/>
  <c r="EV3" i="1"/>
  <c r="EP3" i="1"/>
  <c r="EJ3" i="1"/>
  <c r="ED3" i="1"/>
  <c r="DX3" i="1"/>
  <c r="DR3" i="1"/>
  <c r="DL3" i="1"/>
  <c r="DF3" i="1"/>
  <c r="CZ3" i="1"/>
  <c r="CT3" i="1"/>
  <c r="CN3" i="1"/>
  <c r="CH3" i="1"/>
  <c r="CB3" i="1"/>
  <c r="BV3" i="1"/>
  <c r="BP3" i="1"/>
  <c r="BJ3" i="1"/>
  <c r="BD3" i="1"/>
  <c r="AX3" i="1"/>
  <c r="AR3" i="1"/>
  <c r="AL3" i="1"/>
  <c r="AF3" i="1"/>
  <c r="Z3" i="1"/>
  <c r="T3" i="1"/>
  <c r="N3" i="1"/>
  <c r="H3" i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<sst xmlns="http://schemas.openxmlformats.org/spreadsheetml/2006/main" count="6366" uniqueCount="4815">
  <si>
    <t>Score</t>
  </si>
  <si>
    <t>Greedy</t>
  </si>
  <si>
    <t>Combi</t>
  </si>
  <si>
    <t>WERING</t>
  </si>
  <si>
    <t>CHANTEUR</t>
  </si>
  <si>
    <t>INEEN</t>
  </si>
  <si>
    <t>BDSM</t>
  </si>
  <si>
    <t>DVDS</t>
  </si>
  <si>
    <t>CEDERS</t>
  </si>
  <si>
    <t>GEPIT</t>
  </si>
  <si>
    <t>LUWER</t>
  </si>
  <si>
    <t>ZENG</t>
  </si>
  <si>
    <t>MEXT</t>
  </si>
  <si>
    <t>YO</t>
  </si>
  <si>
    <t>NOP</t>
  </si>
  <si>
    <t>NOVICES</t>
  </si>
  <si>
    <t>SOFA</t>
  </si>
  <si>
    <t>SOEZEN</t>
  </si>
  <si>
    <t>PRIEMDE</t>
  </si>
  <si>
    <t>EIWIT</t>
  </si>
  <si>
    <t>HOESTBUI</t>
  </si>
  <si>
    <t>FAXE</t>
  </si>
  <si>
    <t>HIV</t>
  </si>
  <si>
    <t>WECKE</t>
  </si>
  <si>
    <t>XERES</t>
  </si>
  <si>
    <t>MOEKE</t>
  </si>
  <si>
    <t>BOMEND</t>
  </si>
  <si>
    <t>YOGI</t>
  </si>
  <si>
    <t>ZING</t>
  </si>
  <si>
    <t>ECHEL</t>
  </si>
  <si>
    <t>ZOG</t>
  </si>
  <si>
    <t>WANNEER</t>
  </si>
  <si>
    <t>YAWS</t>
  </si>
  <si>
    <t>TOEGAF</t>
  </si>
  <si>
    <t>TABBETJE</t>
  </si>
  <si>
    <t>HAVOS</t>
  </si>
  <si>
    <t>MAX</t>
  </si>
  <si>
    <t>GEWE</t>
  </si>
  <si>
    <t>GLAZEN</t>
  </si>
  <si>
    <t>TUT</t>
  </si>
  <si>
    <t>ROTTENDE</t>
  </si>
  <si>
    <t>CONGES</t>
  </si>
  <si>
    <t>KENTERDE</t>
  </si>
  <si>
    <t>CONGE</t>
  </si>
  <si>
    <t>OMWOEIEN</t>
  </si>
  <si>
    <t>GEWAMD</t>
  </si>
  <si>
    <t>WIG</t>
  </si>
  <si>
    <t>SNOBS</t>
  </si>
  <si>
    <t>GUNNEN</t>
  </si>
  <si>
    <t>BINNE</t>
  </si>
  <si>
    <t>HELI</t>
  </si>
  <si>
    <t>GRIJN</t>
  </si>
  <si>
    <t>HENRY</t>
  </si>
  <si>
    <t>INRAMEN</t>
  </si>
  <si>
    <t>KRING</t>
  </si>
  <si>
    <t>ISMEN</t>
  </si>
  <si>
    <t>SLUIKSE</t>
  </si>
  <si>
    <t>JAGERS</t>
  </si>
  <si>
    <t>YOGIS</t>
  </si>
  <si>
    <t>MEXEND</t>
  </si>
  <si>
    <t>EXMAN</t>
  </si>
  <si>
    <t>GOMDE</t>
  </si>
  <si>
    <t>AHORNS</t>
  </si>
  <si>
    <t>KEZEN</t>
  </si>
  <si>
    <t>FEEEN</t>
  </si>
  <si>
    <t>HUH</t>
  </si>
  <si>
    <t>NEY</t>
  </si>
  <si>
    <t>HEDEN</t>
  </si>
  <si>
    <t>IEPE</t>
  </si>
  <si>
    <t>PARSETE</t>
  </si>
  <si>
    <t>MSNEN</t>
  </si>
  <si>
    <t>MAZOUT</t>
  </si>
  <si>
    <t>NAZIEN</t>
  </si>
  <si>
    <t>ONWIS</t>
  </si>
  <si>
    <t>HINGEN</t>
  </si>
  <si>
    <t>BEVEN</t>
  </si>
  <si>
    <t>JETJE</t>
  </si>
  <si>
    <t>BUIKTE</t>
  </si>
  <si>
    <t>CIPRES</t>
  </si>
  <si>
    <t>TOORN</t>
  </si>
  <si>
    <t>NOPEN</t>
  </si>
  <si>
    <t>NEUZEN</t>
  </si>
  <si>
    <t>NEUSDEN</t>
  </si>
  <si>
    <t>FEETJE</t>
  </si>
  <si>
    <t>DEGENEN</t>
  </si>
  <si>
    <t>VLEZEN</t>
  </si>
  <si>
    <t>EXJE</t>
  </si>
  <si>
    <t>KENNER</t>
  </si>
  <si>
    <t>RIJNS</t>
  </si>
  <si>
    <t>NAKIND</t>
  </si>
  <si>
    <t>MMM</t>
  </si>
  <si>
    <t>RAMSJTE</t>
  </si>
  <si>
    <t>MAT</t>
  </si>
  <si>
    <t>EXTRA</t>
  </si>
  <si>
    <t>VAS</t>
  </si>
  <si>
    <t>GLOOR</t>
  </si>
  <si>
    <t>XYLEEN</t>
  </si>
  <si>
    <t>DR</t>
  </si>
  <si>
    <t>HA</t>
  </si>
  <si>
    <t>DWAZE</t>
  </si>
  <si>
    <t>HERWIN</t>
  </si>
  <si>
    <t>DADE</t>
  </si>
  <si>
    <t>JAM</t>
  </si>
  <si>
    <t>ZWENK</t>
  </si>
  <si>
    <t>OMHANDEN</t>
  </si>
  <si>
    <t>ONYX</t>
  </si>
  <si>
    <t>DEKENAAT</t>
  </si>
  <si>
    <t>QATJE</t>
  </si>
  <si>
    <t>ZAK</t>
  </si>
  <si>
    <t>KOLAS</t>
  </si>
  <si>
    <t>RUL</t>
  </si>
  <si>
    <t>ROCS</t>
  </si>
  <si>
    <t>JOKE</t>
  </si>
  <si>
    <t>BLAFFEN</t>
  </si>
  <si>
    <t>MAF</t>
  </si>
  <si>
    <t>WREEF</t>
  </si>
  <si>
    <t>VIVACE</t>
  </si>
  <si>
    <t>ACTUM</t>
  </si>
  <si>
    <t>KRIBDE</t>
  </si>
  <si>
    <t>OMKADEN</t>
  </si>
  <si>
    <t>PUIKJE</t>
  </si>
  <si>
    <t>GEURT</t>
  </si>
  <si>
    <t>HINDES</t>
  </si>
  <si>
    <t>GEZAND</t>
  </si>
  <si>
    <t>AFREMT</t>
  </si>
  <si>
    <t>ZWAK</t>
  </si>
  <si>
    <t>SLIKNAT</t>
  </si>
  <si>
    <t>DOFT</t>
  </si>
  <si>
    <t>BANJER</t>
  </si>
  <si>
    <t>ZUS</t>
  </si>
  <si>
    <t>PORT</t>
  </si>
  <si>
    <t>AL</t>
  </si>
  <si>
    <t>BEF</t>
  </si>
  <si>
    <t>KLOM</t>
  </si>
  <si>
    <t>HOP</t>
  </si>
  <si>
    <t>SCHOP</t>
  </si>
  <si>
    <t>FAZEN</t>
  </si>
  <si>
    <t>LEX</t>
  </si>
  <si>
    <t>JOZEF</t>
  </si>
  <si>
    <t>ACEJE</t>
  </si>
  <si>
    <t>VOCE</t>
  </si>
  <si>
    <t>WINNER</t>
  </si>
  <si>
    <t>JUDEX</t>
  </si>
  <si>
    <t>FLUT</t>
  </si>
  <si>
    <t>ARYL</t>
  </si>
  <si>
    <t>ANNEX</t>
  </si>
  <si>
    <t>DECIEL</t>
  </si>
  <si>
    <t>PERCENT</t>
  </si>
  <si>
    <t>WEBCAST</t>
  </si>
  <si>
    <t>ZAP</t>
  </si>
  <si>
    <t>SEXT</t>
  </si>
  <si>
    <t>CAMEO</t>
  </si>
  <si>
    <t>BATSMAN</t>
  </si>
  <si>
    <t>HEU</t>
  </si>
  <si>
    <t>SLOW</t>
  </si>
  <si>
    <t>LIC</t>
  </si>
  <si>
    <t>VACUA</t>
  </si>
  <si>
    <t>CREEP</t>
  </si>
  <si>
    <t>COUVADE</t>
  </si>
  <si>
    <t>RUFTTE</t>
  </si>
  <si>
    <t>HOEKS</t>
  </si>
  <si>
    <t>PROFES</t>
  </si>
  <si>
    <t>WOW</t>
  </si>
  <si>
    <t>WEGGA</t>
  </si>
  <si>
    <t>IMMENSE</t>
  </si>
  <si>
    <t>PLENS</t>
  </si>
  <si>
    <t>SPRING</t>
  </si>
  <si>
    <t>ADDERS</t>
  </si>
  <si>
    <t>FERM</t>
  </si>
  <si>
    <t>QUANGOS</t>
  </si>
  <si>
    <t>BOX</t>
  </si>
  <si>
    <t>WINDJES</t>
  </si>
  <si>
    <t>HOU</t>
  </si>
  <si>
    <t>HOUSEDJ</t>
  </si>
  <si>
    <t>ESSENCE</t>
  </si>
  <si>
    <t>JERSEY</t>
  </si>
  <si>
    <t>GEDEK</t>
  </si>
  <si>
    <t>ACNE</t>
  </si>
  <si>
    <t>SHELL</t>
  </si>
  <si>
    <t>DISK</t>
  </si>
  <si>
    <t>BIOGAS</t>
  </si>
  <si>
    <t>EXPO</t>
  </si>
  <si>
    <t>HUISTOE</t>
  </si>
  <si>
    <t>GENOT</t>
  </si>
  <si>
    <t>OGNKGEN</t>
  </si>
  <si>
    <t>LOER</t>
  </si>
  <si>
    <t>LOQNJRE</t>
  </si>
  <si>
    <t>EINDJE</t>
  </si>
  <si>
    <t>AEEDOIJ</t>
  </si>
  <si>
    <t>X</t>
  </si>
  <si>
    <t>ANCTXVA</t>
  </si>
  <si>
    <t>MNTANUN</t>
  </si>
  <si>
    <t>GENESE</t>
  </si>
  <si>
    <t>MEENEGE</t>
  </si>
  <si>
    <t>STEILE</t>
  </si>
  <si>
    <t>AIASTEE</t>
  </si>
  <si>
    <t>OVENTIJD</t>
  </si>
  <si>
    <t>NJIV DO</t>
  </si>
  <si>
    <t>CREME</t>
  </si>
  <si>
    <t>LCMRENE</t>
  </si>
  <si>
    <t>PST</t>
  </si>
  <si>
    <t>KSVPJTH</t>
  </si>
  <si>
    <t>RAUWE</t>
  </si>
  <si>
    <t>ERAIUWF</t>
  </si>
  <si>
    <t>VROON</t>
  </si>
  <si>
    <t>IVNAOOR</t>
  </si>
  <si>
    <t>OPBOKSTE</t>
  </si>
  <si>
    <t>OEOPTBK</t>
  </si>
  <si>
    <t>DAGBLAD</t>
  </si>
  <si>
    <t>GADLMAD</t>
  </si>
  <si>
    <t>OPHOPE</t>
  </si>
  <si>
    <t>AOHOEPR</t>
  </si>
  <si>
    <t>SNEUERE</t>
  </si>
  <si>
    <t>SREENEU</t>
  </si>
  <si>
    <t>GEHEMDE</t>
  </si>
  <si>
    <t>MDEGHNE</t>
  </si>
  <si>
    <t>ZEEK</t>
  </si>
  <si>
    <t>ENAKZCA</t>
  </si>
  <si>
    <t>PROFS</t>
  </si>
  <si>
    <t>OSMPRKF</t>
  </si>
  <si>
    <t>DWEEPTEN</t>
  </si>
  <si>
    <t>DWE TEN</t>
  </si>
  <si>
    <t>MODEST</t>
  </si>
  <si>
    <t>FYDETOM</t>
  </si>
  <si>
    <t>VODJES</t>
  </si>
  <si>
    <t>SGEJJVO</t>
  </si>
  <si>
    <t>WIENS</t>
  </si>
  <si>
    <t>XITNWSL</t>
  </si>
  <si>
    <t>BUFEN</t>
  </si>
  <si>
    <t>TUFEBNO</t>
  </si>
  <si>
    <t>KLUNEN</t>
  </si>
  <si>
    <t>NNUEKLN</t>
  </si>
  <si>
    <t>N</t>
  </si>
  <si>
    <t>A BNTON</t>
  </si>
  <si>
    <t>ONTKEND</t>
  </si>
  <si>
    <t>TDN ENK</t>
  </si>
  <si>
    <t>KOUTE</t>
  </si>
  <si>
    <t>KTEOEUA</t>
  </si>
  <si>
    <t>AQUIFERS</t>
  </si>
  <si>
    <t>QSIF EU</t>
  </si>
  <si>
    <t>DIMME</t>
  </si>
  <si>
    <t>NDEAMMT</t>
  </si>
  <si>
    <t>VELDFOUT</t>
  </si>
  <si>
    <t>T UVOFL</t>
  </si>
  <si>
    <t>LENDEN</t>
  </si>
  <si>
    <t>EELDQNN</t>
  </si>
  <si>
    <t>DYNES</t>
  </si>
  <si>
    <t>YNDEEGK</t>
  </si>
  <si>
    <t>PUNKY</t>
  </si>
  <si>
    <t>UKTNRQP</t>
  </si>
  <si>
    <t>OLIES</t>
  </si>
  <si>
    <t>OEEOIOS</t>
  </si>
  <si>
    <t>HELPEN</t>
  </si>
  <si>
    <t>NERLPNH</t>
  </si>
  <si>
    <t>QAT</t>
  </si>
  <si>
    <t>NNANRQO</t>
  </si>
  <si>
    <t>SCORE</t>
  </si>
  <si>
    <t>ORIESCB</t>
  </si>
  <si>
    <t>SLEUF</t>
  </si>
  <si>
    <t>VDUSLFL</t>
  </si>
  <si>
    <t>ZWEER</t>
  </si>
  <si>
    <t>JWEEEEZ</t>
  </si>
  <si>
    <t>JARE</t>
  </si>
  <si>
    <t>EELAERJ</t>
  </si>
  <si>
    <t>REX</t>
  </si>
  <si>
    <t>NEOGDAX</t>
  </si>
  <si>
    <t>DODENCEL</t>
  </si>
  <si>
    <t>COEELDN</t>
  </si>
  <si>
    <t>KORZEL</t>
  </si>
  <si>
    <t>FQROKEZ</t>
  </si>
  <si>
    <t>GAANDE</t>
  </si>
  <si>
    <t>NDGDAAE</t>
  </si>
  <si>
    <t>GEJEND</t>
  </si>
  <si>
    <t>VNGNDEJ</t>
  </si>
  <si>
    <t>KEF</t>
  </si>
  <si>
    <t>QSKRNGF</t>
  </si>
  <si>
    <t>ZOOS</t>
  </si>
  <si>
    <t>AAOZOSG</t>
  </si>
  <si>
    <t>ZEG</t>
  </si>
  <si>
    <t>NZSPEGS</t>
  </si>
  <si>
    <t>EPOCHE</t>
  </si>
  <si>
    <t>DCAPEOW</t>
  </si>
  <si>
    <t>RIEM</t>
  </si>
  <si>
    <t>JMIAEEE</t>
  </si>
  <si>
    <t>GEMANKT</t>
  </si>
  <si>
    <t>NPGTKYE</t>
  </si>
  <si>
    <t>HOONDEN</t>
  </si>
  <si>
    <t>ENHOODN</t>
  </si>
  <si>
    <t>DECENTE</t>
  </si>
  <si>
    <t>ETCEENA</t>
  </si>
  <si>
    <t>BUHNES</t>
  </si>
  <si>
    <t>NEMHEBU</t>
  </si>
  <si>
    <t>GEHUKT</t>
  </si>
  <si>
    <t>TUSEGNK</t>
  </si>
  <si>
    <t>LAP</t>
  </si>
  <si>
    <t>ZNPALPR</t>
  </si>
  <si>
    <t>DOLHUIS</t>
  </si>
  <si>
    <t>HULISSO</t>
  </si>
  <si>
    <t>TONDEUSE</t>
  </si>
  <si>
    <t>SONEUET</t>
  </si>
  <si>
    <t>ZIENS</t>
  </si>
  <si>
    <t>ENEITZI</t>
  </si>
  <si>
    <t>HULP</t>
  </si>
  <si>
    <t>NTUDHPL</t>
  </si>
  <si>
    <t>AFA</t>
  </si>
  <si>
    <t>EANFEOA</t>
  </si>
  <si>
    <t>POF</t>
  </si>
  <si>
    <t>DFQOPCE</t>
  </si>
  <si>
    <t>PENTAAN</t>
  </si>
  <si>
    <t>ANTAENB</t>
  </si>
  <si>
    <t>FICTIES</t>
  </si>
  <si>
    <t>CFSTENI</t>
  </si>
  <si>
    <t>YUP</t>
  </si>
  <si>
    <t>UEOEPNY</t>
  </si>
  <si>
    <t>GARD</t>
  </si>
  <si>
    <t>TDRARDG</t>
  </si>
  <si>
    <t>IJL</t>
  </si>
  <si>
    <t>LJLOEIC</t>
  </si>
  <si>
    <t>TELEXT</t>
  </si>
  <si>
    <t>LFXTEHT</t>
  </si>
  <si>
    <t>BEB</t>
  </si>
  <si>
    <t>BPSTOBE</t>
  </si>
  <si>
    <t>BUG</t>
  </si>
  <si>
    <t>UZGBMYT</t>
  </si>
  <si>
    <t>GEPUF</t>
  </si>
  <si>
    <t>FEUOPEE</t>
  </si>
  <si>
    <t>SMOUSEN</t>
  </si>
  <si>
    <t>USEMNOS</t>
  </si>
  <si>
    <t>ZINKT</t>
  </si>
  <si>
    <t xml:space="preserve">NTKSOZ </t>
  </si>
  <si>
    <t>CIPRESSEN</t>
  </si>
  <si>
    <t>FTSIENP</t>
  </si>
  <si>
    <t>MEX</t>
  </si>
  <si>
    <t>QVMXEAE</t>
  </si>
  <si>
    <t>HAPT</t>
  </si>
  <si>
    <t>JQTAPNH</t>
  </si>
  <si>
    <t>ADDAXEN</t>
  </si>
  <si>
    <t>ANADEDX</t>
  </si>
  <si>
    <t>SJAKO</t>
  </si>
  <si>
    <t>JASBKGO</t>
  </si>
  <si>
    <t>MAM</t>
  </si>
  <si>
    <t>EMLEMND</t>
  </si>
  <si>
    <t>HERNEME</t>
  </si>
  <si>
    <t>NRMHEEE</t>
  </si>
  <si>
    <t>JUNTAS</t>
  </si>
  <si>
    <t>JLTNUSA</t>
  </si>
  <si>
    <t>CORVEEEN</t>
  </si>
  <si>
    <t xml:space="preserve">CNEEOR </t>
  </si>
  <si>
    <t>WEET</t>
  </si>
  <si>
    <t>WEREETE</t>
  </si>
  <si>
    <t>SNOEK</t>
  </si>
  <si>
    <t>OKNS NN</t>
  </si>
  <si>
    <t>ONTAARDE</t>
  </si>
  <si>
    <t>TNADAOE</t>
  </si>
  <si>
    <t>EH</t>
  </si>
  <si>
    <t>THDNTBE</t>
  </si>
  <si>
    <t>WENNE</t>
  </si>
  <si>
    <t>RNWECHN</t>
  </si>
  <si>
    <t>GASFASE</t>
  </si>
  <si>
    <t>FS AGES</t>
  </si>
  <si>
    <t>GEK</t>
  </si>
  <si>
    <t>DKENNFN</t>
  </si>
  <si>
    <t>ONGEREPT</t>
  </si>
  <si>
    <t>TRGNOPE</t>
  </si>
  <si>
    <t>AFROL</t>
  </si>
  <si>
    <t>KALRNFJ</t>
  </si>
  <si>
    <t>REF</t>
  </si>
  <si>
    <t>FNRNEVN</t>
  </si>
  <si>
    <t>FTPDE</t>
  </si>
  <si>
    <t>ZPEFTDD</t>
  </si>
  <si>
    <t>RONDT</t>
  </si>
  <si>
    <t>TVZVDNO</t>
  </si>
  <si>
    <t>POEDERS</t>
  </si>
  <si>
    <t>PEORSSE</t>
  </si>
  <si>
    <t>TURNT</t>
  </si>
  <si>
    <t>WYUNTTR</t>
  </si>
  <si>
    <t>BOTEL</t>
  </si>
  <si>
    <t>LBEMTOD</t>
  </si>
  <si>
    <t>FJES</t>
  </si>
  <si>
    <t>QESNJNF</t>
  </si>
  <si>
    <t>NNHO VT</t>
  </si>
  <si>
    <t>INSPINNE</t>
  </si>
  <si>
    <t>SIINEPN</t>
  </si>
  <si>
    <t>MUFFE</t>
  </si>
  <si>
    <t>OUFFEME</t>
  </si>
  <si>
    <t>PALETOT</t>
  </si>
  <si>
    <t>NALTEPO</t>
  </si>
  <si>
    <t>STALT</t>
  </si>
  <si>
    <t>TLTNRAS</t>
  </si>
  <si>
    <t>OREADEN</t>
  </si>
  <si>
    <t>NDREOEE</t>
  </si>
  <si>
    <t>BAMBOE</t>
  </si>
  <si>
    <t>HEBEBMA</t>
  </si>
  <si>
    <t>BASES</t>
  </si>
  <si>
    <t>SBDRAVE</t>
  </si>
  <si>
    <t>GEM</t>
  </si>
  <si>
    <t>LJMEGDT</t>
  </si>
  <si>
    <t>AMORF</t>
  </si>
  <si>
    <t>AODRMNF</t>
  </si>
  <si>
    <t>TEZEN</t>
  </si>
  <si>
    <t>TNZNEEN</t>
  </si>
  <si>
    <t>ZEFIER</t>
  </si>
  <si>
    <t>MEEICZR</t>
  </si>
  <si>
    <t>ZEFIEREN</t>
  </si>
  <si>
    <t>NNAEDSW</t>
  </si>
  <si>
    <t>DITO</t>
  </si>
  <si>
    <t>TIONDTO</t>
  </si>
  <si>
    <t>NEERGA</t>
  </si>
  <si>
    <t>NGUEAER</t>
  </si>
  <si>
    <t>AFSTEMME</t>
  </si>
  <si>
    <t>ETFSMAE</t>
  </si>
  <si>
    <t>GENUA</t>
  </si>
  <si>
    <t>GOAPEUN</t>
  </si>
  <si>
    <t>GIJNS</t>
  </si>
  <si>
    <t>NAGESJA</t>
  </si>
  <si>
    <t>MOVES</t>
  </si>
  <si>
    <t>EMVYTEO</t>
  </si>
  <si>
    <t>SNAKEN</t>
  </si>
  <si>
    <t>NSEASNK</t>
  </si>
  <si>
    <t>HAUYN</t>
  </si>
  <si>
    <t>AUHONAY</t>
  </si>
  <si>
    <t>LAXEREN</t>
  </si>
  <si>
    <t xml:space="preserve"> EALNKX</t>
  </si>
  <si>
    <t>AEMSDTO</t>
  </si>
  <si>
    <t>NEARLSO</t>
  </si>
  <si>
    <t>OVERSPAN</t>
  </si>
  <si>
    <t>ANOPVRS</t>
  </si>
  <si>
    <t>DENDERDE</t>
  </si>
  <si>
    <t>ERDNEED</t>
  </si>
  <si>
    <t>MUSSEN</t>
  </si>
  <si>
    <t>SESCMNU</t>
  </si>
  <si>
    <t>ERNONGE</t>
  </si>
  <si>
    <t>PEDANTER</t>
  </si>
  <si>
    <t>P EDETN</t>
  </si>
  <si>
    <t>OPGEILEN</t>
  </si>
  <si>
    <t>NEPEGOI</t>
  </si>
  <si>
    <t>TENUE</t>
  </si>
  <si>
    <t>TUNEOEN</t>
  </si>
  <si>
    <t>TANDRAD</t>
  </si>
  <si>
    <t>DARNATT</t>
  </si>
  <si>
    <t>CUNET</t>
  </si>
  <si>
    <t>FQUNGEC</t>
  </si>
  <si>
    <t>SUS</t>
  </si>
  <si>
    <t>SGAASSU</t>
  </si>
  <si>
    <t>INWIERP</t>
  </si>
  <si>
    <t>HIPWREI</t>
  </si>
  <si>
    <t>RETINAS</t>
  </si>
  <si>
    <t>ATENR I</t>
  </si>
  <si>
    <t>KIES</t>
  </si>
  <si>
    <t>EESOEIK</t>
  </si>
  <si>
    <t>AKSE</t>
  </si>
  <si>
    <t>ENESEKA</t>
  </si>
  <si>
    <t>KEYE</t>
  </si>
  <si>
    <t>TTJKTYE</t>
  </si>
  <si>
    <t>ROTANS</t>
  </si>
  <si>
    <t>TRNSARO</t>
  </si>
  <si>
    <t>VEI</t>
  </si>
  <si>
    <t>NNNNVIN</t>
  </si>
  <si>
    <t>INRUKKEN</t>
  </si>
  <si>
    <t>UK IENN</t>
  </si>
  <si>
    <t>NUANCEN</t>
  </si>
  <si>
    <t>NUNERCA</t>
  </si>
  <si>
    <t>BETEN</t>
  </si>
  <si>
    <t>NGTENBE</t>
  </si>
  <si>
    <t>ADDAX</t>
  </si>
  <si>
    <t>DAXWDHA</t>
  </si>
  <si>
    <t>JEN</t>
  </si>
  <si>
    <t>MNANJDE</t>
  </si>
  <si>
    <t>DEUGDE</t>
  </si>
  <si>
    <t>UDEEGED</t>
  </si>
  <si>
    <t>RAIL</t>
  </si>
  <si>
    <t>LNIRAET</t>
  </si>
  <si>
    <t>SLONK</t>
  </si>
  <si>
    <t>WNOQKSB</t>
  </si>
  <si>
    <t>ONTVEL</t>
  </si>
  <si>
    <t>GTOEFLV</t>
  </si>
  <si>
    <t>ZENDT</t>
  </si>
  <si>
    <t>RNNDTZN</t>
  </si>
  <si>
    <t>GEKUSTE</t>
  </si>
  <si>
    <t>ESKGHET</t>
  </si>
  <si>
    <t>SUFFER</t>
  </si>
  <si>
    <t>NRFSNUF</t>
  </si>
  <si>
    <t>FLUTE</t>
  </si>
  <si>
    <t>NEANEDA</t>
  </si>
  <si>
    <t>OMWERKT</t>
  </si>
  <si>
    <t>RMUWKEO</t>
  </si>
  <si>
    <t>LINO</t>
  </si>
  <si>
    <t>UODNINL</t>
  </si>
  <si>
    <t>NOTEREN</t>
  </si>
  <si>
    <t>REENATO</t>
  </si>
  <si>
    <t>ONEENGE</t>
  </si>
  <si>
    <t>BEDJE</t>
  </si>
  <si>
    <t>ANABJED</t>
  </si>
  <si>
    <t>RIED</t>
  </si>
  <si>
    <t>RIIADAR</t>
  </si>
  <si>
    <t>VEREEUWIG</t>
  </si>
  <si>
    <t xml:space="preserve">IUVEWE </t>
  </si>
  <si>
    <t>GRIJNS</t>
  </si>
  <si>
    <t>RBNGNJI</t>
  </si>
  <si>
    <t>SLENTER</t>
  </si>
  <si>
    <t>RLSETEN</t>
  </si>
  <si>
    <t>HERADEM</t>
  </si>
  <si>
    <t>EWHRDME</t>
  </si>
  <si>
    <t>CADENS</t>
  </si>
  <si>
    <t>CED ANQ</t>
  </si>
  <si>
    <t>MEEUWEN</t>
  </si>
  <si>
    <t>MEENEUW</t>
  </si>
  <si>
    <t>AANZIEN</t>
  </si>
  <si>
    <t xml:space="preserve">ANANZE </t>
  </si>
  <si>
    <t>LICET</t>
  </si>
  <si>
    <t>TEGREET</t>
  </si>
  <si>
    <t>DIS</t>
  </si>
  <si>
    <t>DNNINNS</t>
  </si>
  <si>
    <t>HINNNEG</t>
  </si>
  <si>
    <t>RIJNSE</t>
  </si>
  <si>
    <t>QJNXRES</t>
  </si>
  <si>
    <t>VREEMDST</t>
  </si>
  <si>
    <t>STEEDRM</t>
  </si>
  <si>
    <t>EXAGENT</t>
  </si>
  <si>
    <t>D EXNGT</t>
  </si>
  <si>
    <t>FRONTALE</t>
  </si>
  <si>
    <t xml:space="preserve"> ENTAOR</t>
  </si>
  <si>
    <t>SNEESCO</t>
  </si>
  <si>
    <t>MOGEN</t>
  </si>
  <si>
    <t>EURNMNG</t>
  </si>
  <si>
    <t>DORT</t>
  </si>
  <si>
    <t>DDRNTDO</t>
  </si>
  <si>
    <t>AANPOOT</t>
  </si>
  <si>
    <t>ANTEOPA</t>
  </si>
  <si>
    <t>BEHALEN</t>
  </si>
  <si>
    <t>BEENULH</t>
  </si>
  <si>
    <t>BERGJE</t>
  </si>
  <si>
    <t>BJZEMRE</t>
  </si>
  <si>
    <t>OPTREDEN</t>
  </si>
  <si>
    <t>POTERDN</t>
  </si>
  <si>
    <t>TREDEND</t>
  </si>
  <si>
    <t xml:space="preserve">ENDDRE </t>
  </si>
  <si>
    <t>INTREDENDE</t>
  </si>
  <si>
    <t>NRPENNI</t>
  </si>
  <si>
    <t>HERROEP</t>
  </si>
  <si>
    <t>POE RNH</t>
  </si>
  <si>
    <t>GEHOP</t>
  </si>
  <si>
    <t>DEGKOHE</t>
  </si>
  <si>
    <t>EXSLAVEN</t>
  </si>
  <si>
    <t>LENEVXA</t>
  </si>
  <si>
    <t>STINKEND</t>
  </si>
  <si>
    <t xml:space="preserve">TNSKIN </t>
  </si>
  <si>
    <t>REEFDEN</t>
  </si>
  <si>
    <t>NEDEREP</t>
  </si>
  <si>
    <t>DALANGS</t>
  </si>
  <si>
    <t>GSDLAKA</t>
  </si>
  <si>
    <t>HAAS</t>
  </si>
  <si>
    <t>AAGHDST</t>
  </si>
  <si>
    <t>MEXE</t>
  </si>
  <si>
    <t>EXEEIME</t>
  </si>
  <si>
    <t>NEERLAG</t>
  </si>
  <si>
    <t>GE LRER</t>
  </si>
  <si>
    <t>GROFSTE</t>
  </si>
  <si>
    <t>ROSETYF</t>
  </si>
  <si>
    <t>SCENE</t>
  </si>
  <si>
    <t>GENECDN</t>
  </si>
  <si>
    <t>ZONUREN</t>
  </si>
  <si>
    <t xml:space="preserve">UFNZRE </t>
  </si>
  <si>
    <t>KENDO</t>
  </si>
  <si>
    <t>NKOVO D</t>
  </si>
  <si>
    <t>REMDEN</t>
  </si>
  <si>
    <t>DMRDNEE</t>
  </si>
  <si>
    <t>BEMENSTE</t>
  </si>
  <si>
    <t xml:space="preserve">SNTEME </t>
  </si>
  <si>
    <t>XI</t>
  </si>
  <si>
    <t>HXIETHE</t>
  </si>
  <si>
    <t>KAP</t>
  </si>
  <si>
    <t>NKENGPE</t>
  </si>
  <si>
    <t>ZEN</t>
  </si>
  <si>
    <t>NZNRENL</t>
  </si>
  <si>
    <t>DOMINOEN</t>
  </si>
  <si>
    <t>NODNOEM</t>
  </si>
  <si>
    <t>ZENDER</t>
  </si>
  <si>
    <t>NNFZERE</t>
  </si>
  <si>
    <t>BUIDE</t>
  </si>
  <si>
    <t>UIGEBDE</t>
  </si>
  <si>
    <t>HERLAS</t>
  </si>
  <si>
    <t>HSRRNAL</t>
  </si>
  <si>
    <t>GNOMEN</t>
  </si>
  <si>
    <t>KGNREMU</t>
  </si>
  <si>
    <t>EL</t>
  </si>
  <si>
    <t>QNJNEEL</t>
  </si>
  <si>
    <t>AOT QFW</t>
  </si>
  <si>
    <t>CAVA</t>
  </si>
  <si>
    <t>ANCTVAO</t>
  </si>
  <si>
    <t>AB</t>
  </si>
  <si>
    <t>NNNNBAP</t>
  </si>
  <si>
    <t>ZMOK</t>
  </si>
  <si>
    <t>MEKOZND</t>
  </si>
  <si>
    <t>MOEER</t>
  </si>
  <si>
    <t>AAREMAE</t>
  </si>
  <si>
    <t>KOZEN</t>
  </si>
  <si>
    <t>ZEUKOXN</t>
  </si>
  <si>
    <t>UNI</t>
  </si>
  <si>
    <t>LNNINAU</t>
  </si>
  <si>
    <t>J</t>
  </si>
  <si>
    <t>KVJHRZP</t>
  </si>
  <si>
    <t>WEGENIS</t>
  </si>
  <si>
    <t>IFGENSE</t>
  </si>
  <si>
    <t>PROPAGATIE</t>
  </si>
  <si>
    <t xml:space="preserve">IAEGTA </t>
  </si>
  <si>
    <t>HEB</t>
  </si>
  <si>
    <t>NEEHEBO</t>
  </si>
  <si>
    <t>LEMEN</t>
  </si>
  <si>
    <t>MYELENR</t>
  </si>
  <si>
    <t>ZERK</t>
  </si>
  <si>
    <t>ARNKEJZ</t>
  </si>
  <si>
    <t>WEEF</t>
  </si>
  <si>
    <t>YAFWEEF</t>
  </si>
  <si>
    <t>ZOPEN</t>
  </si>
  <si>
    <t>NNSOPEC</t>
  </si>
  <si>
    <t>CARBON</t>
  </si>
  <si>
    <t>NACAORR</t>
  </si>
  <si>
    <t>WEEFKAM</t>
  </si>
  <si>
    <t>MKFAWUE</t>
  </si>
  <si>
    <t>JET</t>
  </si>
  <si>
    <t>EKTJDQE</t>
  </si>
  <si>
    <t>FYDAINE</t>
  </si>
  <si>
    <t>EGT</t>
  </si>
  <si>
    <t>GJMTGME</t>
  </si>
  <si>
    <t>LUX</t>
  </si>
  <si>
    <t>XTLRTRN</t>
  </si>
  <si>
    <t>CANON</t>
  </si>
  <si>
    <t>TNOAKCN</t>
  </si>
  <si>
    <t>DERNY</t>
  </si>
  <si>
    <t>NDRCEWR</t>
  </si>
  <si>
    <t>BELCANTO</t>
  </si>
  <si>
    <t>A BTONL</t>
  </si>
  <si>
    <t>MEIOSE</t>
  </si>
  <si>
    <t>EIMFEOS</t>
  </si>
  <si>
    <t>SLICE</t>
  </si>
  <si>
    <t>EALNCIT</t>
  </si>
  <si>
    <t>KREEG</t>
  </si>
  <si>
    <t>RKEGGEF</t>
  </si>
  <si>
    <t>TEAEN</t>
  </si>
  <si>
    <t>NATEEEE</t>
  </si>
  <si>
    <t>HOETEL</t>
  </si>
  <si>
    <t>LNENETH</t>
  </si>
  <si>
    <t>S</t>
  </si>
  <si>
    <t>QSWCGNM</t>
  </si>
  <si>
    <t>KOTE</t>
  </si>
  <si>
    <t>EGKOETO</t>
  </si>
  <si>
    <t>JUT</t>
  </si>
  <si>
    <t>TRQJLTU</t>
  </si>
  <si>
    <t>ICE</t>
  </si>
  <si>
    <t>EOOACIE</t>
  </si>
  <si>
    <t>VERHIP</t>
  </si>
  <si>
    <t>RNPVIKH</t>
  </si>
  <si>
    <t>MOREN</t>
  </si>
  <si>
    <t>NNNROME</t>
  </si>
  <si>
    <t>BASIC</t>
  </si>
  <si>
    <t>IBACSWV</t>
  </si>
  <si>
    <t>GEKENTERDE</t>
  </si>
  <si>
    <t>VDLEQGN</t>
  </si>
  <si>
    <t>FIJNE</t>
  </si>
  <si>
    <t>JEEFINN</t>
  </si>
  <si>
    <t>RENNE</t>
  </si>
  <si>
    <t>ELEZNRR</t>
  </si>
  <si>
    <t>GEMAND</t>
  </si>
  <si>
    <t>NEOGDAM</t>
  </si>
  <si>
    <t>OMINEUZE</t>
  </si>
  <si>
    <t>IMZUEEN</t>
  </si>
  <si>
    <t>FIETST</t>
  </si>
  <si>
    <t>FQTTIFS</t>
  </si>
  <si>
    <t>HIERNA</t>
  </si>
  <si>
    <t>DXEHRWI</t>
  </si>
  <si>
    <t>AH</t>
  </si>
  <si>
    <t>VNHOTTA</t>
  </si>
  <si>
    <t>MN</t>
  </si>
  <si>
    <t>QSRNGMS</t>
  </si>
  <si>
    <t>GAASDOEK</t>
  </si>
  <si>
    <t xml:space="preserve">AAGDOS </t>
  </si>
  <si>
    <t>PENSUMS</t>
  </si>
  <si>
    <t xml:space="preserve">NSPSEM </t>
  </si>
  <si>
    <t>ZWETS</t>
  </si>
  <si>
    <t>DAWEOTZ</t>
  </si>
  <si>
    <t>JAEEDEC</t>
  </si>
  <si>
    <t>PENNY</t>
  </si>
  <si>
    <t>PYETNEN</t>
  </si>
  <si>
    <t>TOENAMEN</t>
  </si>
  <si>
    <t>TOEAMNE</t>
  </si>
  <si>
    <t>BANKT</t>
  </si>
  <si>
    <t>AKBLBTF</t>
  </si>
  <si>
    <t>MOEITE</t>
  </si>
  <si>
    <t>MEEEIEO</t>
  </si>
  <si>
    <t>SKIM</t>
  </si>
  <si>
    <t>SNNNMEI</t>
  </si>
  <si>
    <t>POR</t>
  </si>
  <si>
    <t>ZNPRZDO</t>
  </si>
  <si>
    <t>FES</t>
  </si>
  <si>
    <t>SFWNQNE</t>
  </si>
  <si>
    <t>SHOWE</t>
  </si>
  <si>
    <t>HEAWAJO</t>
  </si>
  <si>
    <t>ETEND</t>
  </si>
  <si>
    <t>ETINEDA</t>
  </si>
  <si>
    <t>TREND</t>
  </si>
  <si>
    <t>NTDRNEM</t>
  </si>
  <si>
    <t>ENEOOQR</t>
  </si>
  <si>
    <t>BEDEN</t>
  </si>
  <si>
    <t>DQCEIEB</t>
  </si>
  <si>
    <t>BO</t>
  </si>
  <si>
    <t>BEOTROR</t>
  </si>
  <si>
    <t>GENER</t>
  </si>
  <si>
    <t>NJERRGE</t>
  </si>
  <si>
    <t>P</t>
  </si>
  <si>
    <t>EOEPNTM</t>
  </si>
  <si>
    <t>NADRUKT</t>
  </si>
  <si>
    <t>TRDZNUK</t>
  </si>
  <si>
    <t>VACUOLE</t>
  </si>
  <si>
    <t>LOECOVU</t>
  </si>
  <si>
    <t>HADJ</t>
  </si>
  <si>
    <t>FHDJNWG</t>
  </si>
  <si>
    <t>SOF</t>
  </si>
  <si>
    <t>PSTOCFR</t>
  </si>
  <si>
    <t>ZMYTNDE</t>
  </si>
  <si>
    <t>ELO</t>
  </si>
  <si>
    <t>OEENSLE</t>
  </si>
  <si>
    <t>YELDE</t>
  </si>
  <si>
    <t>RCEYOLD</t>
  </si>
  <si>
    <t>SKI</t>
  </si>
  <si>
    <t>SOKIIEN</t>
  </si>
  <si>
    <t>ZIPTE</t>
  </si>
  <si>
    <t>FTIPGZG</t>
  </si>
  <si>
    <t>ZE</t>
  </si>
  <si>
    <t>QVEAEZJ</t>
  </si>
  <si>
    <t>IN</t>
  </si>
  <si>
    <t>JQNCN R</t>
  </si>
  <si>
    <t>METAAL</t>
  </si>
  <si>
    <t>LITAEMI</t>
  </si>
  <si>
    <t>BIGOTTE</t>
  </si>
  <si>
    <t>BGTO TE</t>
  </si>
  <si>
    <t>ERELEDEN</t>
  </si>
  <si>
    <t>ELENDER</t>
  </si>
  <si>
    <t>ZANDGEEL</t>
  </si>
  <si>
    <t>ZADLEEG</t>
  </si>
  <si>
    <t>VELER</t>
  </si>
  <si>
    <t>LSVGNER</t>
  </si>
  <si>
    <t>QUIZ</t>
  </si>
  <si>
    <t>EEQIFUU</t>
  </si>
  <si>
    <t>BERM</t>
  </si>
  <si>
    <t>REEDMBG</t>
  </si>
  <si>
    <t>NUANCE</t>
  </si>
  <si>
    <t>NNUAEEC</t>
  </si>
  <si>
    <t>SNELT</t>
  </si>
  <si>
    <t>ESGLWTN</t>
  </si>
  <si>
    <t>BADMAT</t>
  </si>
  <si>
    <t>TDNTBAO</t>
  </si>
  <si>
    <t>RANCHER</t>
  </si>
  <si>
    <t>RCHENAR</t>
  </si>
  <si>
    <t>ECHECS</t>
  </si>
  <si>
    <t>CV MEEC</t>
  </si>
  <si>
    <t>JENNEND</t>
  </si>
  <si>
    <t>DNNFNEJ</t>
  </si>
  <si>
    <t>CLIP</t>
  </si>
  <si>
    <t>QLIECBN</t>
  </si>
  <si>
    <t>JACK</t>
  </si>
  <si>
    <t>KNJNCNN</t>
  </si>
  <si>
    <t>VBO</t>
  </si>
  <si>
    <t>NNVNOBN</t>
  </si>
  <si>
    <t>ZO</t>
  </si>
  <si>
    <t>ZDLOEKE</t>
  </si>
  <si>
    <t>PLANK</t>
  </si>
  <si>
    <t>VZVALNK</t>
  </si>
  <si>
    <t>SINUS</t>
  </si>
  <si>
    <t>SIUTANR</t>
  </si>
  <si>
    <t>BOYS</t>
  </si>
  <si>
    <t>WYQBSFN</t>
  </si>
  <si>
    <t>YUKO</t>
  </si>
  <si>
    <t>MDEUAKO</t>
  </si>
  <si>
    <t>RONG</t>
  </si>
  <si>
    <t>QNNROGC</t>
  </si>
  <si>
    <t>ONNUTST</t>
  </si>
  <si>
    <t>NO TSTN</t>
  </si>
  <si>
    <t>CREEER</t>
  </si>
  <si>
    <t>LCRERRE</t>
  </si>
  <si>
    <t>DEMON</t>
  </si>
  <si>
    <t>OMELNDO</t>
  </si>
  <si>
    <t>DUETTEN</t>
  </si>
  <si>
    <t>N UDEEA</t>
  </si>
  <si>
    <t>GROEFDEN</t>
  </si>
  <si>
    <t>NROEGEF</t>
  </si>
  <si>
    <t>KADEETJE</t>
  </si>
  <si>
    <t>EDEJATK</t>
  </si>
  <si>
    <t>HEPEN</t>
  </si>
  <si>
    <t>HEEVNPE</t>
  </si>
  <si>
    <t>AFVAREND</t>
  </si>
  <si>
    <t>DRVENFA</t>
  </si>
  <si>
    <t>CEDEL</t>
  </si>
  <si>
    <t>LJDTWCE</t>
  </si>
  <si>
    <t>DNENNTN</t>
  </si>
  <si>
    <t>RULHEID</t>
  </si>
  <si>
    <t>NNDHGEI</t>
  </si>
  <si>
    <t>GALM</t>
  </si>
  <si>
    <t>MCGHSRL</t>
  </si>
  <si>
    <t>DANS</t>
  </si>
  <si>
    <t>NADSWQW</t>
  </si>
  <si>
    <t>BANK</t>
  </si>
  <si>
    <t>NTOTBAK</t>
  </si>
  <si>
    <t>BAUD</t>
  </si>
  <si>
    <t>UD JCAZ</t>
  </si>
  <si>
    <t>RAL</t>
  </si>
  <si>
    <t>LARRNNN</t>
  </si>
  <si>
    <t>POEPEND</t>
  </si>
  <si>
    <t>OPEPEND</t>
  </si>
  <si>
    <t>AEAPRIH</t>
  </si>
  <si>
    <t>YEL</t>
  </si>
  <si>
    <t>YTENLDR</t>
  </si>
  <si>
    <t>OOS</t>
  </si>
  <si>
    <t>SEOVEIO</t>
  </si>
  <si>
    <t>GALOP</t>
  </si>
  <si>
    <t>OANDLGB</t>
  </si>
  <si>
    <t>TEME</t>
  </si>
  <si>
    <t>KEMUEST</t>
  </si>
  <si>
    <t>VERKASSEN</t>
  </si>
  <si>
    <t>AKEVNSE</t>
  </si>
  <si>
    <t>POZEN</t>
  </si>
  <si>
    <t>NERSOUZ</t>
  </si>
  <si>
    <t>ONGENADE</t>
  </si>
  <si>
    <t>DOGNEAE</t>
  </si>
  <si>
    <t>WASCO</t>
  </si>
  <si>
    <t>EHHOCAW</t>
  </si>
  <si>
    <t>EDICT</t>
  </si>
  <si>
    <t>CTDMIED</t>
  </si>
  <si>
    <t>HERTOGEN</t>
  </si>
  <si>
    <t>ERONGEH</t>
  </si>
  <si>
    <t>LYCHEE</t>
  </si>
  <si>
    <t>EFLHRYC</t>
  </si>
  <si>
    <t>WEDDE</t>
  </si>
  <si>
    <t>TDWCAED</t>
  </si>
  <si>
    <t>ONVNSZN</t>
  </si>
  <si>
    <t>MEM</t>
  </si>
  <si>
    <t>TBEMLMN</t>
  </si>
  <si>
    <t>FENG</t>
  </si>
  <si>
    <t>FQGNEKK</t>
  </si>
  <si>
    <t>EERDAAGS</t>
  </si>
  <si>
    <t>GAASDEE</t>
  </si>
  <si>
    <t>HIP</t>
  </si>
  <si>
    <t>HINDBZK</t>
  </si>
  <si>
    <t>EX</t>
  </si>
  <si>
    <t>DEBEXQO</t>
  </si>
  <si>
    <t>STEENDE</t>
  </si>
  <si>
    <t>EOENDTE</t>
  </si>
  <si>
    <t>BEDENKEN</t>
  </si>
  <si>
    <t xml:space="preserve">NEEEND </t>
  </si>
  <si>
    <t>SPORTTEAM</t>
  </si>
  <si>
    <t>TTJTEMA</t>
  </si>
  <si>
    <t>MOP</t>
  </si>
  <si>
    <t>ROPMGNN</t>
  </si>
  <si>
    <t>ENEN</t>
  </si>
  <si>
    <t>NNNNNEE</t>
  </si>
  <si>
    <t>FLEECE</t>
  </si>
  <si>
    <t>LFDEBCE</t>
  </si>
  <si>
    <t>BEVIS</t>
  </si>
  <si>
    <t>RNVEBIS</t>
  </si>
  <si>
    <t>GESCAND</t>
  </si>
  <si>
    <t>GNEADSM</t>
  </si>
  <si>
    <t>WHUKREL</t>
  </si>
  <si>
    <t>ADEMEND</t>
  </si>
  <si>
    <t>MANDNEE</t>
  </si>
  <si>
    <t>COMA</t>
  </si>
  <si>
    <t>EMNCAOE</t>
  </si>
  <si>
    <t>NETPETR</t>
  </si>
  <si>
    <t>MUNT</t>
  </si>
  <si>
    <t>WQBMUTN</t>
  </si>
  <si>
    <t>GI</t>
  </si>
  <si>
    <t>GFGGKLR</t>
  </si>
  <si>
    <t>TAVERNEN</t>
  </si>
  <si>
    <t>RNNETAE</t>
  </si>
  <si>
    <t>OH</t>
  </si>
  <si>
    <t>HBOVMKU</t>
  </si>
  <si>
    <t>VENEN</t>
  </si>
  <si>
    <t>NNNNVQE</t>
  </si>
  <si>
    <t>AFZANDEN</t>
  </si>
  <si>
    <t>NANEDAZ</t>
  </si>
  <si>
    <t>ELAN</t>
  </si>
  <si>
    <t>ULEUALN</t>
  </si>
  <si>
    <t>SUDDEREN</t>
  </si>
  <si>
    <t>UDNSEDE</t>
  </si>
  <si>
    <t>HAGE</t>
  </si>
  <si>
    <t>ANGHNFA</t>
  </si>
  <si>
    <t>ANI</t>
  </si>
  <si>
    <t>ENEANDI</t>
  </si>
  <si>
    <t>TANGA</t>
  </si>
  <si>
    <t>ANAGNTA</t>
  </si>
  <si>
    <t>EILACI</t>
  </si>
  <si>
    <t>IAARECL</t>
  </si>
  <si>
    <t>GEQAT</t>
  </si>
  <si>
    <t xml:space="preserve"> LZEQNG</t>
  </si>
  <si>
    <t>BANGSTE</t>
  </si>
  <si>
    <t>BNDEAGT</t>
  </si>
  <si>
    <t>GRIJNSDE</t>
  </si>
  <si>
    <t>MOVVDTE</t>
  </si>
  <si>
    <t>ONTWENNE</t>
  </si>
  <si>
    <t xml:space="preserve">WNONEE </t>
  </si>
  <si>
    <t>TOEPAD</t>
  </si>
  <si>
    <t>QDIEPOA</t>
  </si>
  <si>
    <t>LEGATO</t>
  </si>
  <si>
    <t>GELAKTO</t>
  </si>
  <si>
    <t>ST</t>
  </si>
  <si>
    <t>SNRRTND</t>
  </si>
  <si>
    <t>R</t>
  </si>
  <si>
    <t>GREETER</t>
  </si>
  <si>
    <t>NNNNVSF</t>
  </si>
  <si>
    <t>REKENEND</t>
  </si>
  <si>
    <t>NEDNRKE</t>
  </si>
  <si>
    <t>QUAD</t>
  </si>
  <si>
    <t>QXDLREU</t>
  </si>
  <si>
    <t>EMOE</t>
  </si>
  <si>
    <t>ORNEEEE</t>
  </si>
  <si>
    <t>VERWEK</t>
  </si>
  <si>
    <t>DERVWNK</t>
  </si>
  <si>
    <t>OPTREDE</t>
  </si>
  <si>
    <t>WRPDEEO</t>
  </si>
  <si>
    <t>BEMOEI</t>
  </si>
  <si>
    <t>OBMOEIE</t>
  </si>
  <si>
    <t>NEER</t>
  </si>
  <si>
    <t>URNELRN</t>
  </si>
  <si>
    <t>DUH</t>
  </si>
  <si>
    <t>DNDOTUH</t>
  </si>
  <si>
    <t>RAVEN</t>
  </si>
  <si>
    <t>EVNAKAR</t>
  </si>
  <si>
    <t>UCEEZSS</t>
  </si>
  <si>
    <t>NAKOM</t>
  </si>
  <si>
    <t>ZMOSNKA</t>
  </si>
  <si>
    <t>VOMEREN</t>
  </si>
  <si>
    <t>QNRLEEV</t>
  </si>
  <si>
    <t>SNAUWEND</t>
  </si>
  <si>
    <t>SAEUN W</t>
  </si>
  <si>
    <t>PENDEN</t>
  </si>
  <si>
    <t>RPNNEDE</t>
  </si>
  <si>
    <t>ZEENATIE</t>
  </si>
  <si>
    <t>NETZAIE</t>
  </si>
  <si>
    <t>STEDEKE</t>
  </si>
  <si>
    <t>DKEEETS</t>
  </si>
  <si>
    <t>AVONDUUR</t>
  </si>
  <si>
    <t>DURNUOA</t>
  </si>
  <si>
    <t>GEDUW</t>
  </si>
  <si>
    <t>WEEGDAJ</t>
  </si>
  <si>
    <t>HAPPY</t>
  </si>
  <si>
    <t>PYDZNHP</t>
  </si>
  <si>
    <t>NERINKJE</t>
  </si>
  <si>
    <t>KIENJRN</t>
  </si>
  <si>
    <t>DUNT</t>
  </si>
  <si>
    <t>GDTN OD</t>
  </si>
  <si>
    <t>BIETE</t>
  </si>
  <si>
    <t>EIEVBEO</t>
  </si>
  <si>
    <t>KRUIM</t>
  </si>
  <si>
    <t>REEMRUK</t>
  </si>
  <si>
    <t>NEUTE</t>
  </si>
  <si>
    <t>YTCNUCE</t>
  </si>
  <si>
    <t>GDNLDMR</t>
  </si>
  <si>
    <t>RAPSCENE</t>
  </si>
  <si>
    <t>FJEAPQR</t>
  </si>
  <si>
    <t>ALTVIOOL</t>
  </si>
  <si>
    <t>VO TAIL</t>
  </si>
  <si>
    <t>AFZAGE</t>
  </si>
  <si>
    <t>DFAAIZG</t>
  </si>
  <si>
    <t>ONDERKEN</t>
  </si>
  <si>
    <t>ODNERNE</t>
  </si>
  <si>
    <t>HALTE</t>
  </si>
  <si>
    <t>HETHELA</t>
  </si>
  <si>
    <t>OENIGE</t>
  </si>
  <si>
    <t>NENGEOI</t>
  </si>
  <si>
    <t>NRNLVDD</t>
  </si>
  <si>
    <t>AFREZEN</t>
  </si>
  <si>
    <t>ZNRKFAE</t>
  </si>
  <si>
    <t>NFEPEUX</t>
  </si>
  <si>
    <t>GLACES</t>
  </si>
  <si>
    <t>GEKACNS</t>
  </si>
  <si>
    <t>DANVERS</t>
  </si>
  <si>
    <t>RNEDNAV</t>
  </si>
  <si>
    <t>KURU</t>
  </si>
  <si>
    <t>KRUVSDV</t>
  </si>
  <si>
    <t>QNJNEER</t>
  </si>
  <si>
    <t>LYMFE</t>
  </si>
  <si>
    <t>O FWYMN</t>
  </si>
  <si>
    <t>AJU</t>
  </si>
  <si>
    <t>NTAONEU</t>
  </si>
  <si>
    <t>KNAP</t>
  </si>
  <si>
    <t>NNNNPKH</t>
  </si>
  <si>
    <t>EJECT</t>
  </si>
  <si>
    <t>ENDWJCT</t>
  </si>
  <si>
    <t>LAME</t>
  </si>
  <si>
    <t>AAADELM</t>
  </si>
  <si>
    <t>DUX</t>
  </si>
  <si>
    <t>UXNTRDI</t>
  </si>
  <si>
    <t>REEL</t>
  </si>
  <si>
    <t>LNNAERE</t>
  </si>
  <si>
    <t>ZERP</t>
  </si>
  <si>
    <t>KVHRZPO</t>
  </si>
  <si>
    <t>KUDDE</t>
  </si>
  <si>
    <t>FDMDKVU</t>
  </si>
  <si>
    <t>LEDENPAS</t>
  </si>
  <si>
    <t>SEDPLEN</t>
  </si>
  <si>
    <t>TREZOREN</t>
  </si>
  <si>
    <t>NEEORRZ</t>
  </si>
  <si>
    <t>WERKTE</t>
  </si>
  <si>
    <t>YRWEKTW</t>
  </si>
  <si>
    <t>CATCH</t>
  </si>
  <si>
    <t>ANJNCTC</t>
  </si>
  <si>
    <t>CAST</t>
  </si>
  <si>
    <t>YAFDMTS</t>
  </si>
  <si>
    <t>NSCFUZT</t>
  </si>
  <si>
    <t>LOU</t>
  </si>
  <si>
    <t>ARENOLE</t>
  </si>
  <si>
    <t>MURW</t>
  </si>
  <si>
    <t>URNBCMC</t>
  </si>
  <si>
    <t>TEKE</t>
  </si>
  <si>
    <t>KDQETET</t>
  </si>
  <si>
    <t>AFDIENEN</t>
  </si>
  <si>
    <t>FDAINEN</t>
  </si>
  <si>
    <t>ZIJG</t>
  </si>
  <si>
    <t>JMGMKZQ</t>
  </si>
  <si>
    <t>LORT</t>
  </si>
  <si>
    <t>TRTRNLN</t>
  </si>
  <si>
    <t>EIERTIK</t>
  </si>
  <si>
    <t>TKIEERI</t>
  </si>
  <si>
    <t>HEG</t>
  </si>
  <si>
    <t>CWRREEH</t>
  </si>
  <si>
    <t>EINDES</t>
  </si>
  <si>
    <t>EESQEID</t>
  </si>
  <si>
    <t>ERFDEN</t>
  </si>
  <si>
    <t>FDESRMR</t>
  </si>
  <si>
    <t>CANT</t>
  </si>
  <si>
    <t>ANTNART</t>
  </si>
  <si>
    <t>GEDOFT</t>
  </si>
  <si>
    <t>GFOATED</t>
  </si>
  <si>
    <t>GEBINTEN</t>
  </si>
  <si>
    <t>EEBN GN</t>
  </si>
  <si>
    <t>NABI</t>
  </si>
  <si>
    <t>NNIAKSI</t>
  </si>
  <si>
    <t>WANG</t>
  </si>
  <si>
    <t>QWCGNMA</t>
  </si>
  <si>
    <t>BEDROGEN</t>
  </si>
  <si>
    <t>GEODNBR</t>
  </si>
  <si>
    <t>STEL</t>
  </si>
  <si>
    <t>RQLTSES</t>
  </si>
  <si>
    <t>JOFEL</t>
  </si>
  <si>
    <t>OOAEJFL</t>
  </si>
  <si>
    <t>ANK</t>
  </si>
  <si>
    <t xml:space="preserve">NKNAEN </t>
  </si>
  <si>
    <t>ASSE</t>
  </si>
  <si>
    <t xml:space="preserve">NNANSS </t>
  </si>
  <si>
    <t>WOU</t>
  </si>
  <si>
    <t>WVVIEUB</t>
  </si>
  <si>
    <t>DEL</t>
  </si>
  <si>
    <t>VDLQNYN</t>
  </si>
  <si>
    <t>EG</t>
  </si>
  <si>
    <t>EEN ENO</t>
  </si>
  <si>
    <t>HALLS</t>
  </si>
  <si>
    <t>LZRSAHL</t>
  </si>
  <si>
    <t>WOGEN</t>
  </si>
  <si>
    <t>OSPGWER</t>
  </si>
  <si>
    <t>NASPEUR</t>
  </si>
  <si>
    <t>ARDPUSN</t>
  </si>
  <si>
    <t>FEE</t>
  </si>
  <si>
    <t>QFEEJOS</t>
  </si>
  <si>
    <t>KS</t>
  </si>
  <si>
    <t>DXWSLKN</t>
  </si>
  <si>
    <t>SIERT</t>
  </si>
  <si>
    <t>VNOTTEI</t>
  </si>
  <si>
    <t>MALS</t>
  </si>
  <si>
    <t>QSRGSLA</t>
  </si>
  <si>
    <t>EPUSOOX</t>
  </si>
  <si>
    <t>PERSMAN</t>
  </si>
  <si>
    <t>MRNEN S</t>
  </si>
  <si>
    <t>AFROEIDE</t>
  </si>
  <si>
    <t>DAOFIER</t>
  </si>
  <si>
    <t>DEDGLTZ</t>
  </si>
  <si>
    <t>TEXE</t>
  </si>
  <si>
    <t>ETEFXUU</t>
  </si>
  <si>
    <t>CADDY</t>
  </si>
  <si>
    <t>ADYCODE</t>
  </si>
  <si>
    <t>BLEEF</t>
  </si>
  <si>
    <t>LBFESZS</t>
  </si>
  <si>
    <t>KWEE</t>
  </si>
  <si>
    <t>EEWNKNA</t>
  </si>
  <si>
    <t>WON</t>
  </si>
  <si>
    <t>NNNERWO</t>
  </si>
  <si>
    <t>HEM</t>
  </si>
  <si>
    <t>ZNZDMHS</t>
  </si>
  <si>
    <t>ONWEER</t>
  </si>
  <si>
    <t>WNQNEEO</t>
  </si>
  <si>
    <t>AFRIJ</t>
  </si>
  <si>
    <t>AAJIFER</t>
  </si>
  <si>
    <t>AFVEEG</t>
  </si>
  <si>
    <t>IAEUVGE</t>
  </si>
  <si>
    <t>MAND</t>
  </si>
  <si>
    <t>NMSDSDA</t>
  </si>
  <si>
    <t>LEENNORM</t>
  </si>
  <si>
    <t>ENEROLM</t>
  </si>
  <si>
    <t>CIDER</t>
  </si>
  <si>
    <t>QCIRXLE</t>
  </si>
  <si>
    <t>GERE</t>
  </si>
  <si>
    <t>ETROREG</t>
  </si>
  <si>
    <t>ZWEVER</t>
  </si>
  <si>
    <t>JREZVTW</t>
  </si>
  <si>
    <t>D</t>
  </si>
  <si>
    <t>EOENTMD</t>
  </si>
  <si>
    <t>VOZEN</t>
  </si>
  <si>
    <t>ZNENNVO</t>
  </si>
  <si>
    <t>MOA</t>
  </si>
  <si>
    <t>OIAMNAS</t>
  </si>
  <si>
    <t>ENG</t>
  </si>
  <si>
    <t>FNWGZYE</t>
  </si>
  <si>
    <t>RIT</t>
  </si>
  <si>
    <t>PTCRNRI</t>
  </si>
  <si>
    <t>HYVE</t>
  </si>
  <si>
    <t>MYEAVLE</t>
  </si>
  <si>
    <t>CES</t>
  </si>
  <si>
    <t>ENSEATC</t>
  </si>
  <si>
    <t>CONGA</t>
  </si>
  <si>
    <t>RCOGALP</t>
  </si>
  <si>
    <t>OI</t>
  </si>
  <si>
    <t>OIENNER</t>
  </si>
  <si>
    <t>GONG</t>
  </si>
  <si>
    <t>FGGNAON</t>
  </si>
  <si>
    <t>GAVEN</t>
  </si>
  <si>
    <t>QVAEJNE</t>
  </si>
  <si>
    <t>CEL</t>
  </si>
  <si>
    <t>JQCNRLE</t>
  </si>
  <si>
    <t>IIUYIOG</t>
  </si>
  <si>
    <t>EB</t>
  </si>
  <si>
    <t>EFNWBNO</t>
  </si>
  <si>
    <t>ZEEEN</t>
  </si>
  <si>
    <t>NYEECZE</t>
  </si>
  <si>
    <t>AFTOBBE</t>
  </si>
  <si>
    <t>AOBETBT</t>
  </si>
  <si>
    <t>VANG</t>
  </si>
  <si>
    <t>SGNAVMN</t>
  </si>
  <si>
    <t>AFNEUZEN</t>
  </si>
  <si>
    <t>EEFUN Z</t>
  </si>
  <si>
    <t>GEDAASD</t>
  </si>
  <si>
    <t>EDGAOSD</t>
  </si>
  <si>
    <t>BEGERE</t>
  </si>
  <si>
    <t>ENEGABE</t>
  </si>
  <si>
    <t>WIGJE</t>
  </si>
  <si>
    <t>GWIEAOT</t>
  </si>
  <si>
    <t>GENAT</t>
  </si>
  <si>
    <t>NTOAGEO</t>
  </si>
  <si>
    <t>LIEFS</t>
  </si>
  <si>
    <t>AELEFIS</t>
  </si>
  <si>
    <t>WIEME</t>
  </si>
  <si>
    <t>VMEUWIE</t>
  </si>
  <si>
    <t>BEKAF</t>
  </si>
  <si>
    <t>FEBAQKA</t>
  </si>
  <si>
    <t>BEHA</t>
  </si>
  <si>
    <t>QEBNAHN</t>
  </si>
  <si>
    <t>HUW</t>
  </si>
  <si>
    <t>NNNNUEW</t>
  </si>
  <si>
    <t>PRMAN</t>
  </si>
  <si>
    <t>NNNNRAM</t>
  </si>
  <si>
    <t>KOELENDE</t>
  </si>
  <si>
    <t>DLEKEOE</t>
  </si>
  <si>
    <t>ZIN</t>
  </si>
  <si>
    <t>VZVIENE</t>
  </si>
  <si>
    <t>CARGA</t>
  </si>
  <si>
    <t>TARC AG</t>
  </si>
  <si>
    <t>WEB</t>
  </si>
  <si>
    <t>WQFNEME</t>
  </si>
  <si>
    <t>MEANDERT</t>
  </si>
  <si>
    <t>MDEAREN</t>
  </si>
  <si>
    <t>EXCES</t>
  </si>
  <si>
    <t>QNCXNEE</t>
  </si>
  <si>
    <t>NEOTEEN</t>
  </si>
  <si>
    <t xml:space="preserve">TEOENU </t>
  </si>
  <si>
    <t>STRENGEL</t>
  </si>
  <si>
    <t>LRNGSTE</t>
  </si>
  <si>
    <t>JULLIE</t>
  </si>
  <si>
    <t>LOIOJUE</t>
  </si>
  <si>
    <t>VIA</t>
  </si>
  <si>
    <t>AIRVIEE</t>
  </si>
  <si>
    <t>HEVEN</t>
  </si>
  <si>
    <t>SHENVNR</t>
  </si>
  <si>
    <t>KWIS</t>
  </si>
  <si>
    <t>EWIFEOS</t>
  </si>
  <si>
    <t>VEMEN</t>
  </si>
  <si>
    <t>VNENUNE</t>
  </si>
  <si>
    <t>HYBRIDE</t>
  </si>
  <si>
    <t xml:space="preserve"> IRHEEY</t>
  </si>
  <si>
    <t>WAR</t>
  </si>
  <si>
    <t>JTWPAJO</t>
  </si>
  <si>
    <t>FLANKEN</t>
  </si>
  <si>
    <t>ETNNLKA</t>
  </si>
  <si>
    <t>PINGUIN</t>
  </si>
  <si>
    <t>NNGFPIU</t>
  </si>
  <si>
    <t>BR</t>
  </si>
  <si>
    <t>CHSRBNN</t>
  </si>
  <si>
    <t>WQWARXI</t>
  </si>
  <si>
    <t>ERTS</t>
  </si>
  <si>
    <t>TOTLMDS</t>
  </si>
  <si>
    <t>JOUWEN</t>
  </si>
  <si>
    <t>JCZGOJZ</t>
  </si>
  <si>
    <t>GRINTTE</t>
  </si>
  <si>
    <t>RNNNTGE</t>
  </si>
  <si>
    <t>ZWEED</t>
  </si>
  <si>
    <t>ERJWZER</t>
  </si>
  <si>
    <t>PA</t>
  </si>
  <si>
    <t>EAPRINT</t>
  </si>
  <si>
    <t>VOETRAND</t>
  </si>
  <si>
    <t>TNDRAVO</t>
  </si>
  <si>
    <t>VRIJGEEF</t>
  </si>
  <si>
    <t>EVEIFJR</t>
  </si>
  <si>
    <t>NDBTNLN</t>
  </si>
  <si>
    <t>USO</t>
  </si>
  <si>
    <t>KUSQCTO</t>
  </si>
  <si>
    <t>SAFES</t>
  </si>
  <si>
    <t>ESLEFIA</t>
  </si>
  <si>
    <t>LUT</t>
  </si>
  <si>
    <t>RSUTLTE</t>
  </si>
  <si>
    <t>BENZINE</t>
  </si>
  <si>
    <t>ICEENBZ</t>
  </si>
  <si>
    <t xml:space="preserve">EHHVEG </t>
  </si>
  <si>
    <t>BROMT</t>
  </si>
  <si>
    <t>DMDRBOW</t>
  </si>
  <si>
    <t>QANBJLA</t>
  </si>
  <si>
    <t>FOREN</t>
  </si>
  <si>
    <t>FRONSEK</t>
  </si>
  <si>
    <t>VOYANTE</t>
  </si>
  <si>
    <t>TCAY VN</t>
  </si>
  <si>
    <t>NA</t>
  </si>
  <si>
    <t>NVNSNAN</t>
  </si>
  <si>
    <t>BLONDEN</t>
  </si>
  <si>
    <t xml:space="preserve">TBLNNO </t>
  </si>
  <si>
    <t>KOEKJE</t>
  </si>
  <si>
    <t>QKKEJOE</t>
  </si>
  <si>
    <t>KOUTEN</t>
  </si>
  <si>
    <t>OTEANKU</t>
  </si>
  <si>
    <t>NDBZKTQ</t>
  </si>
  <si>
    <t>BOES</t>
  </si>
  <si>
    <t>DBEQOSA</t>
  </si>
  <si>
    <t>KROLLE</t>
  </si>
  <si>
    <t>ORZLLEN</t>
  </si>
  <si>
    <t>AFVAL</t>
  </si>
  <si>
    <t>DLFAFVS</t>
  </si>
  <si>
    <t>ACUUT</t>
  </si>
  <si>
    <t>TJTUCDU</t>
  </si>
  <si>
    <t>ZONG</t>
  </si>
  <si>
    <t>RGNNOZN</t>
  </si>
  <si>
    <t>FREON</t>
  </si>
  <si>
    <t>NNN FME</t>
  </si>
  <si>
    <t>BERENDE</t>
  </si>
  <si>
    <t>DBEEQER</t>
  </si>
  <si>
    <t>FORTEN</t>
  </si>
  <si>
    <t>RNFTEOO</t>
  </si>
  <si>
    <t>MUTAGENE</t>
  </si>
  <si>
    <t>M ENEUG</t>
  </si>
  <si>
    <t>SHAKE</t>
  </si>
  <si>
    <t>HKAUOSE</t>
  </si>
  <si>
    <t>NWKCSAL</t>
  </si>
  <si>
    <t>ERELINT</t>
  </si>
  <si>
    <t>ENEI TL</t>
  </si>
  <si>
    <t>ENTERNET</t>
  </si>
  <si>
    <t>NETETRN</t>
  </si>
  <si>
    <t>QATTEN</t>
  </si>
  <si>
    <t>WQBANTE</t>
  </si>
  <si>
    <t>ELKS</t>
  </si>
  <si>
    <t>FGGKLRS</t>
  </si>
  <si>
    <t>TAXIEN</t>
  </si>
  <si>
    <t>X ENATN</t>
  </si>
  <si>
    <t>RUBY</t>
  </si>
  <si>
    <t>BVMKUNY</t>
  </si>
  <si>
    <t>ANUS</t>
  </si>
  <si>
    <t>NNQMAZS</t>
  </si>
  <si>
    <t>AFGOOIEN</t>
  </si>
  <si>
    <t>OGFAIOE</t>
  </si>
  <si>
    <t>HUG</t>
  </si>
  <si>
    <t>UULHJGV</t>
  </si>
  <si>
    <t>SPOORDE</t>
  </si>
  <si>
    <t>OODPSER</t>
  </si>
  <si>
    <t>AFNAM</t>
  </si>
  <si>
    <t>NNFAACM</t>
  </si>
  <si>
    <t>ZENDE</t>
  </si>
  <si>
    <t>EENDFZM</t>
  </si>
  <si>
    <t>NOVA</t>
  </si>
  <si>
    <t>NANVOFN</t>
  </si>
  <si>
    <t>ESTRADEN</t>
  </si>
  <si>
    <t>ARSTEND</t>
  </si>
  <si>
    <t>RAYON</t>
  </si>
  <si>
    <t>LZNOROY</t>
  </si>
  <si>
    <t>DDMNEUE</t>
  </si>
  <si>
    <t>TURVE</t>
  </si>
  <si>
    <t>MOVVTUR</t>
  </si>
  <si>
    <t>LEUKS</t>
  </si>
  <si>
    <t>POLSUSK</t>
  </si>
  <si>
    <t>SNIJ</t>
  </si>
  <si>
    <t>QISIEJN</t>
  </si>
  <si>
    <t>WEKKE</t>
  </si>
  <si>
    <t>KEJYKTE</t>
  </si>
  <si>
    <t>NERD</t>
  </si>
  <si>
    <t>NRRNDET</t>
  </si>
  <si>
    <t>WEGERT</t>
  </si>
  <si>
    <t>GEETERW</t>
  </si>
  <si>
    <t>NUF</t>
  </si>
  <si>
    <t>NNNNVFU</t>
  </si>
  <si>
    <t>VERHINGEN</t>
  </si>
  <si>
    <t xml:space="preserve">ZECVAK </t>
  </si>
  <si>
    <t>RELAXED</t>
  </si>
  <si>
    <t>XLREEAE</t>
  </si>
  <si>
    <t>HERKENNE</t>
  </si>
  <si>
    <t>RNEEHNK</t>
  </si>
  <si>
    <t>HERKENNENDE</t>
  </si>
  <si>
    <t>DNIOZES</t>
  </si>
  <si>
    <t>CYSTE</t>
  </si>
  <si>
    <t>WGSCETY</t>
  </si>
  <si>
    <t>DEVOON</t>
  </si>
  <si>
    <t>OENDDVJ</t>
  </si>
  <si>
    <t>NUL</t>
  </si>
  <si>
    <t>ULRNNEE</t>
  </si>
  <si>
    <t>ONTBOND</t>
  </si>
  <si>
    <t>NDOT NO</t>
  </si>
  <si>
    <t>KAPINGEN</t>
  </si>
  <si>
    <t>KAGNNEI</t>
  </si>
  <si>
    <t>CESUREN</t>
  </si>
  <si>
    <t>UCESSNR</t>
  </si>
  <si>
    <t>OS</t>
  </si>
  <si>
    <t>ZSOTDON</t>
  </si>
  <si>
    <t>QLXEACC</t>
  </si>
  <si>
    <t>GESMEEK</t>
  </si>
  <si>
    <t>AMKEGSE</t>
  </si>
  <si>
    <t>LECTOR</t>
  </si>
  <si>
    <t>RDOKCTL</t>
  </si>
  <si>
    <t>BEDENKT</t>
  </si>
  <si>
    <t>DNEKBTB</t>
  </si>
  <si>
    <t>NAFT</t>
  </si>
  <si>
    <t>TNEAQFD</t>
  </si>
  <si>
    <t>NAIEVE</t>
  </si>
  <si>
    <t>NENEACV</t>
  </si>
  <si>
    <t>BEES</t>
  </si>
  <si>
    <t>EAJSEBJ</t>
  </si>
  <si>
    <t>ZIEND</t>
  </si>
  <si>
    <t>DZNOEIA</t>
  </si>
  <si>
    <t>BADER</t>
  </si>
  <si>
    <t>BNOEADO</t>
  </si>
  <si>
    <t>VIRAGO</t>
  </si>
  <si>
    <t>G ODIVA</t>
  </si>
  <si>
    <t>GEVAT</t>
  </si>
  <si>
    <t>VEOTNFA</t>
  </si>
  <si>
    <t>MEREN</t>
  </si>
  <si>
    <t>EERZNEE</t>
  </si>
  <si>
    <t>YEN</t>
  </si>
  <si>
    <t>YCCNJEE</t>
  </si>
  <si>
    <t>DNLDRDV</t>
  </si>
  <si>
    <t>PROFJE</t>
  </si>
  <si>
    <t>FJEQAPO</t>
  </si>
  <si>
    <t>QUANT</t>
  </si>
  <si>
    <t>QRUNTWN</t>
  </si>
  <si>
    <t>ZIP</t>
  </si>
  <si>
    <t>DILNPNZ</t>
  </si>
  <si>
    <t>ESCGNOF</t>
  </si>
  <si>
    <t>HULLE</t>
  </si>
  <si>
    <t>HELJSUL</t>
  </si>
  <si>
    <t>NIMF</t>
  </si>
  <si>
    <t>NSRKFMB</t>
  </si>
  <si>
    <t>MONDEN</t>
  </si>
  <si>
    <t>NNLVDOE</t>
  </si>
  <si>
    <t>CELKERN</t>
  </si>
  <si>
    <t>KR NEEC</t>
  </si>
  <si>
    <t>CUP</t>
  </si>
  <si>
    <t>NFPEUNG</t>
  </si>
  <si>
    <t>KOMENDEN</t>
  </si>
  <si>
    <t>KNNDOEM</t>
  </si>
  <si>
    <t>ZWANST</t>
  </si>
  <si>
    <t>NNCATZW</t>
  </si>
  <si>
    <t>AS</t>
  </si>
  <si>
    <t>VSDV JZ</t>
  </si>
  <si>
    <t>CENTEREN</t>
  </si>
  <si>
    <t>NEERNET</t>
  </si>
  <si>
    <t>HUWE</t>
  </si>
  <si>
    <t>OWNBHEU</t>
  </si>
  <si>
    <t>O</t>
  </si>
  <si>
    <t>NTONEOE</t>
  </si>
  <si>
    <t>HEBT</t>
  </si>
  <si>
    <t>NNNNHEB</t>
  </si>
  <si>
    <t>SHOWY</t>
  </si>
  <si>
    <t>NDWROYH</t>
  </si>
  <si>
    <t>AANBAD</t>
  </si>
  <si>
    <t>AADANBA</t>
  </si>
  <si>
    <t>STRUIN</t>
  </si>
  <si>
    <t>UNTRISO</t>
  </si>
  <si>
    <t>NAARDER</t>
  </si>
  <si>
    <t>NNADAER</t>
  </si>
  <si>
    <t>HM</t>
  </si>
  <si>
    <t>KVHOTNM</t>
  </si>
  <si>
    <t>FOKVEE</t>
  </si>
  <si>
    <t>FMVOEQK</t>
  </si>
  <si>
    <t>EEANCXZ</t>
  </si>
  <si>
    <t>OMTUINEN</t>
  </si>
  <si>
    <t>NTU IEM</t>
  </si>
  <si>
    <t>SAVEDE</t>
  </si>
  <si>
    <t>YWSEEAV</t>
  </si>
  <si>
    <t>JANKE</t>
  </si>
  <si>
    <t>NJNGNKA</t>
  </si>
  <si>
    <t>YAM</t>
  </si>
  <si>
    <t>YFDMLNV</t>
  </si>
  <si>
    <t>ACT</t>
  </si>
  <si>
    <t>NCFZTAF</t>
  </si>
  <si>
    <t>KASJEREN</t>
  </si>
  <si>
    <t>ARENESJ</t>
  </si>
  <si>
    <t>NBCCOSS</t>
  </si>
  <si>
    <t>DINGT</t>
  </si>
  <si>
    <t>DQETGJN</t>
  </si>
  <si>
    <t>HOEDEN</t>
  </si>
  <si>
    <t>NDOEEHE</t>
  </si>
  <si>
    <t>QUA</t>
  </si>
  <si>
    <t>MMKQEVU</t>
  </si>
  <si>
    <t>SNERT</t>
  </si>
  <si>
    <t>TRNNENS</t>
  </si>
  <si>
    <t>DRY</t>
  </si>
  <si>
    <t>ZZDYEES</t>
  </si>
  <si>
    <t>CREA</t>
  </si>
  <si>
    <t>CWRREEA</t>
  </si>
  <si>
    <t>EDE</t>
  </si>
  <si>
    <t>QEEGEFE</t>
  </si>
  <si>
    <t>SMEREN</t>
  </si>
  <si>
    <t>SMRENSE</t>
  </si>
  <si>
    <t>DRIFT</t>
  </si>
  <si>
    <t>NARTDIF</t>
  </si>
  <si>
    <t>BRANDDE</t>
  </si>
  <si>
    <t>ABZDDER</t>
  </si>
  <si>
    <t>JAPON</t>
  </si>
  <si>
    <t>PHAJSOT</t>
  </si>
  <si>
    <t>SI</t>
  </si>
  <si>
    <t>NKSIDWZ</t>
  </si>
  <si>
    <t>MEES</t>
  </si>
  <si>
    <t>QCMCESE</t>
  </si>
  <si>
    <t>ONTWOND</t>
  </si>
  <si>
    <t>NBNOTDW</t>
  </si>
  <si>
    <t>STELERS</t>
  </si>
  <si>
    <t>RQSOGEZ</t>
  </si>
  <si>
    <t>BEHELPEN</t>
  </si>
  <si>
    <t>OAEBARB</t>
  </si>
  <si>
    <t>JE</t>
  </si>
  <si>
    <t>NEN JEV</t>
  </si>
  <si>
    <t>XENON</t>
  </si>
  <si>
    <t>NNNEDEX</t>
  </si>
  <si>
    <t>BLIJVE</t>
  </si>
  <si>
    <t>VVIEBJL</t>
  </si>
  <si>
    <t>BIN</t>
  </si>
  <si>
    <t>VQNYNIB</t>
  </si>
  <si>
    <t>FIJNEN</t>
  </si>
  <si>
    <t>EN ENOR</t>
  </si>
  <si>
    <t>ZRASZRN</t>
  </si>
  <si>
    <t>SOPJES</t>
  </si>
  <si>
    <t>SPRJSEO</t>
  </si>
  <si>
    <t>NASPEURDE</t>
  </si>
  <si>
    <t>DEEKHDP</t>
  </si>
  <si>
    <t>JOUEN</t>
  </si>
  <si>
    <t>QJOSNEE</t>
  </si>
  <si>
    <t>ABT</t>
  </si>
  <si>
    <t>DXWLNTB</t>
  </si>
  <si>
    <t>VOLGT</t>
  </si>
  <si>
    <t>VNOTLOL</t>
  </si>
  <si>
    <t>QATS</t>
  </si>
  <si>
    <t>QRGSTOR</t>
  </si>
  <si>
    <t>HOPSA</t>
  </si>
  <si>
    <t>EPSOOAA</t>
  </si>
  <si>
    <t>DINAR</t>
  </si>
  <si>
    <t>NDNIANL</t>
  </si>
  <si>
    <t>AEQEXNM</t>
  </si>
  <si>
    <t>DDLTZES</t>
  </si>
  <si>
    <t>VUES</t>
  </si>
  <si>
    <t>FUUQEVS</t>
  </si>
  <si>
    <t>CASEWORK</t>
  </si>
  <si>
    <t xml:space="preserve">COEWAK </t>
  </si>
  <si>
    <t>ZAL</t>
  </si>
  <si>
    <t>SZSRLNG</t>
  </si>
  <si>
    <t>NADIR</t>
  </si>
  <si>
    <t>NNALDDR</t>
  </si>
  <si>
    <t>DONEREN</t>
  </si>
  <si>
    <t>NNEROED</t>
  </si>
  <si>
    <t>HUTS</t>
  </si>
  <si>
    <t>ZNZDSTU</t>
  </si>
  <si>
    <t>UNIES</t>
  </si>
  <si>
    <t>QNSIUEI</t>
  </si>
  <si>
    <t>KAATSEN</t>
  </si>
  <si>
    <t xml:space="preserve">AETNAS </t>
  </si>
  <si>
    <t>IUZNTEB</t>
  </si>
  <si>
    <t>SKINS</t>
  </si>
  <si>
    <t>SSDOILK</t>
  </si>
  <si>
    <t>GREY</t>
  </si>
  <si>
    <t>VETYGRG</t>
  </si>
  <si>
    <t>QXLNEZN</t>
  </si>
  <si>
    <t>RESTERE</t>
  </si>
  <si>
    <t>TOREEOS</t>
  </si>
  <si>
    <t>HAAITJE</t>
  </si>
  <si>
    <t>JTA HAI</t>
  </si>
  <si>
    <t>F</t>
  </si>
  <si>
    <t>EOENTMF</t>
  </si>
  <si>
    <t>LYNXEN</t>
  </si>
  <si>
    <t>NNYXN B</t>
  </si>
  <si>
    <t>LAESIES</t>
  </si>
  <si>
    <t>INASEES</t>
  </si>
  <si>
    <t>ENZYM</t>
  </si>
  <si>
    <t>FWZYREM</t>
  </si>
  <si>
    <t>PTCNREE</t>
  </si>
  <si>
    <t>AANHINGEN</t>
  </si>
  <si>
    <t>MALEAEN</t>
  </si>
  <si>
    <t>TOMATEN</t>
  </si>
  <si>
    <t>NEATO T</t>
  </si>
  <si>
    <t>RLPEEZT</t>
  </si>
  <si>
    <t>VEE</t>
  </si>
  <si>
    <t>OENNERE</t>
  </si>
  <si>
    <t>HYFEN</t>
  </si>
  <si>
    <t>FANYDEH</t>
  </si>
  <si>
    <t>QJEAMNI</t>
  </si>
  <si>
    <t>SPIN</t>
  </si>
  <si>
    <t>JQNRSDI</t>
  </si>
  <si>
    <t>ORK</t>
  </si>
  <si>
    <t>IUYIOKR</t>
  </si>
  <si>
    <t>FOTON</t>
  </si>
  <si>
    <t>FNWNOOM</t>
  </si>
  <si>
    <t>CURRY</t>
  </si>
  <si>
    <t>YCRNVVU</t>
  </si>
  <si>
    <t>PENNYS</t>
  </si>
  <si>
    <t>TANYPMN</t>
  </si>
  <si>
    <t>SMULT</t>
  </si>
  <si>
    <t>SMNTRUS</t>
  </si>
  <si>
    <t>BOF</t>
  </si>
  <si>
    <t>SCIGUOB</t>
  </si>
  <si>
    <t>A</t>
  </si>
  <si>
    <t>OARTEON</t>
  </si>
  <si>
    <t>TEASEN</t>
  </si>
  <si>
    <t>NAESEEE</t>
  </si>
  <si>
    <t>LAUDATIO</t>
  </si>
  <si>
    <t>AOTDLIU</t>
  </si>
  <si>
    <t>TICJE</t>
  </si>
  <si>
    <t>OOEEAJC</t>
  </si>
  <si>
    <t>KEEF</t>
  </si>
  <si>
    <t>AEEPNEF</t>
  </si>
  <si>
    <t>BLUTS</t>
  </si>
  <si>
    <t>VUBSGLT</t>
  </si>
  <si>
    <t>WHITE</t>
  </si>
  <si>
    <t>QATIEOH</t>
  </si>
  <si>
    <t>VEN</t>
  </si>
  <si>
    <t>QNNFNEV</t>
  </si>
  <si>
    <t>NONEN</t>
  </si>
  <si>
    <t>NNNNEEO</t>
  </si>
  <si>
    <t>NEUT</t>
  </si>
  <si>
    <t>NNNCTNU</t>
  </si>
  <si>
    <t>GNEEDNN</t>
  </si>
  <si>
    <t>VEREVENT</t>
  </si>
  <si>
    <t>VVENEET</t>
  </si>
  <si>
    <t>T SEQED</t>
  </si>
  <si>
    <t>QFNMEJN</t>
  </si>
  <si>
    <t>OASIS</t>
  </si>
  <si>
    <t>ASEUEOI</t>
  </si>
  <si>
    <t>QNNEHMK</t>
  </si>
  <si>
    <t>UHEEWEE</t>
  </si>
  <si>
    <t>NAS</t>
  </si>
  <si>
    <t>NDAXKAS</t>
  </si>
  <si>
    <t>HOBOS</t>
  </si>
  <si>
    <t>OOHBJSD</t>
  </si>
  <si>
    <t>SERIEUZE</t>
  </si>
  <si>
    <t>RIEEUSZ</t>
  </si>
  <si>
    <t>WIERF</t>
  </si>
  <si>
    <t>SNRW FE</t>
  </si>
  <si>
    <t>FECES</t>
  </si>
  <si>
    <t>EFEOCTT</t>
  </si>
  <si>
    <t>HUWEN</t>
  </si>
  <si>
    <t>NUNHYRW</t>
  </si>
  <si>
    <t>ZALFDE</t>
  </si>
  <si>
    <t>EFEZALD</t>
  </si>
  <si>
    <t>TROMP</t>
  </si>
  <si>
    <t>JTPJORM</t>
  </si>
  <si>
    <t>SULTAN</t>
  </si>
  <si>
    <t>TINLSAN</t>
  </si>
  <si>
    <t>AFHELPE</t>
  </si>
  <si>
    <t>FAPEEHE</t>
  </si>
  <si>
    <t>NES</t>
  </si>
  <si>
    <t>CHSNNTE</t>
  </si>
  <si>
    <t>WIJLE</t>
  </si>
  <si>
    <t>WQWAIEL</t>
  </si>
  <si>
    <t>TOL</t>
  </si>
  <si>
    <t>OTLMDOL</t>
  </si>
  <si>
    <t>JAZZ</t>
  </si>
  <si>
    <t>CZGJZIA</t>
  </si>
  <si>
    <t>BAD</t>
  </si>
  <si>
    <t>NNNOBND</t>
  </si>
  <si>
    <t>TRIJS</t>
  </si>
  <si>
    <t>RJRSIIT</t>
  </si>
  <si>
    <t>IK</t>
  </si>
  <si>
    <t>ERINTTE</t>
  </si>
  <si>
    <t>AQUA</t>
  </si>
  <si>
    <t xml:space="preserve">GCUOQF </t>
  </si>
  <si>
    <t>EESDUXE</t>
  </si>
  <si>
    <t>T</t>
  </si>
  <si>
    <t>NDTNLNL</t>
  </si>
  <si>
    <t>ZAKT</t>
  </si>
  <si>
    <t>KQCTZDA</t>
  </si>
  <si>
    <t>LEIISUH</t>
  </si>
  <si>
    <t>GROFTES</t>
  </si>
  <si>
    <t>RSTEQGF</t>
  </si>
  <si>
    <t>RIJBAK</t>
  </si>
  <si>
    <t>CBRJAKI</t>
  </si>
  <si>
    <t>GEHOEVEN</t>
  </si>
  <si>
    <t>EHVEG E</t>
  </si>
  <si>
    <t>BED</t>
  </si>
  <si>
    <t>DDWNNBN</t>
  </si>
  <si>
    <t>LAUW</t>
  </si>
  <si>
    <t>QNJLAUW</t>
  </si>
  <si>
    <t>KEK</t>
  </si>
  <si>
    <t>NSKOEKO</t>
  </si>
  <si>
    <t>WICHT</t>
  </si>
  <si>
    <t>CITREDH</t>
  </si>
  <si>
    <t>SNIB</t>
  </si>
  <si>
    <t>VNSNNRB</t>
  </si>
  <si>
    <t>PLET</t>
  </si>
  <si>
    <t>T PLNDN</t>
  </si>
  <si>
    <t>VERHOOP</t>
  </si>
  <si>
    <t xml:space="preserve">QEROHV </t>
  </si>
  <si>
    <t>HEX</t>
  </si>
  <si>
    <t>AHYETXP</t>
  </si>
  <si>
    <t>BUKTEN</t>
  </si>
  <si>
    <t>NDBZKCU</t>
  </si>
  <si>
    <t>DONATIES</t>
  </si>
  <si>
    <t>DQAOTNI</t>
  </si>
  <si>
    <t>PAFT</t>
  </si>
  <si>
    <t>ZNFAVPV</t>
  </si>
  <si>
    <t>DFSSPDK</t>
  </si>
  <si>
    <t>ALTIJD</t>
  </si>
  <si>
    <t>JTDIEAL</t>
  </si>
  <si>
    <t>INCO</t>
  </si>
  <si>
    <t>RNNCIOJ</t>
  </si>
  <si>
    <t>NNMXTTE</t>
  </si>
  <si>
    <t>APEX</t>
  </si>
  <si>
    <t>QUAXMPE</t>
  </si>
  <si>
    <t>WOLAAP</t>
  </si>
  <si>
    <t>OLTTAWP</t>
  </si>
  <si>
    <t>TSAAR</t>
  </si>
  <si>
    <t>VANTYRA</t>
  </si>
  <si>
    <t>JEU</t>
  </si>
  <si>
    <t>UOEJEOF</t>
  </si>
  <si>
    <t>PAN</t>
  </si>
  <si>
    <t>NWCALPB</t>
  </si>
  <si>
    <t>SEXTEN</t>
  </si>
  <si>
    <t>GENDNST</t>
  </si>
  <si>
    <t>ELIDEREN</t>
  </si>
  <si>
    <t>EDIENRL</t>
  </si>
  <si>
    <t>BEWAREN</t>
  </si>
  <si>
    <t>WBE RER</t>
  </si>
  <si>
    <t>GROFS</t>
  </si>
  <si>
    <t>FGGROOS</t>
  </si>
  <si>
    <t>JENNE</t>
  </si>
  <si>
    <t>NNEJENM</t>
  </si>
  <si>
    <t>BEVEK</t>
  </si>
  <si>
    <t>VMKNSBE</t>
  </si>
  <si>
    <t>TSS</t>
  </si>
  <si>
    <t>NQMZSET</t>
  </si>
  <si>
    <t>ROWANS</t>
  </si>
  <si>
    <t>RKINWAS</t>
  </si>
  <si>
    <t>SNOL</t>
  </si>
  <si>
    <t>ULJV SN</t>
  </si>
  <si>
    <t>IEBEL</t>
  </si>
  <si>
    <t>ODIRB A</t>
  </si>
  <si>
    <t>BOEK</t>
  </si>
  <si>
    <t>NCZKOBE</t>
  </si>
  <si>
    <t>FMIESJE</t>
  </si>
  <si>
    <t>SNEEF</t>
  </si>
  <si>
    <t>NFNUEUE</t>
  </si>
  <si>
    <t>EENHOREN</t>
  </si>
  <si>
    <t>HNOEEER</t>
  </si>
  <si>
    <t>SOM</t>
  </si>
  <si>
    <t>LZOMSNN</t>
  </si>
  <si>
    <t>MU</t>
  </si>
  <si>
    <t>DMNEENR</t>
  </si>
  <si>
    <t>WERVER</t>
  </si>
  <si>
    <t>MOVREWE</t>
  </si>
  <si>
    <t>VOD</t>
  </si>
  <si>
    <t>POSUDAV</t>
  </si>
  <si>
    <t>HETE</t>
  </si>
  <si>
    <t>QIEJHEU</t>
  </si>
  <si>
    <t>JYTDRLE</t>
  </si>
  <si>
    <t>ZERO</t>
  </si>
  <si>
    <t>RNTEOSZ</t>
  </si>
  <si>
    <t>WIEPEN</t>
  </si>
  <si>
    <t>EWEPIEE</t>
  </si>
  <si>
    <t>VANNEN</t>
  </si>
  <si>
    <t>NNNVUOA</t>
  </si>
  <si>
    <t>SEC</t>
  </si>
  <si>
    <t>ZCAKSAK</t>
  </si>
  <si>
    <t>WEER</t>
  </si>
  <si>
    <t>EWGYREU</t>
  </si>
  <si>
    <t>PLAKSELS</t>
  </si>
  <si>
    <t>SEPLKAL</t>
  </si>
  <si>
    <t>IGLOS</t>
  </si>
  <si>
    <t>IOZSLGI</t>
  </si>
  <si>
    <t>WAGE</t>
  </si>
  <si>
    <t>WGNAIEA</t>
  </si>
  <si>
    <t>DJALGQA</t>
  </si>
  <si>
    <t>FARCEN</t>
  </si>
  <si>
    <t>RNEECAF</t>
  </si>
  <si>
    <t>ZAKKE</t>
  </si>
  <si>
    <t>EAKKNNZ</t>
  </si>
  <si>
    <t>UKJE</t>
  </si>
  <si>
    <t>EKDRJNE</t>
  </si>
  <si>
    <t>TONSUUR</t>
  </si>
  <si>
    <t xml:space="preserve">SUTUON </t>
  </si>
  <si>
    <t>ZIFT</t>
  </si>
  <si>
    <t>ZTDONFI</t>
  </si>
  <si>
    <t>CIRCA</t>
  </si>
  <si>
    <t>QACCEIR</t>
  </si>
  <si>
    <t>TALENT</t>
  </si>
  <si>
    <t>AELTNOO</t>
  </si>
  <si>
    <t>INDEKT</t>
  </si>
  <si>
    <t>DKETFFI</t>
  </si>
  <si>
    <t>BAREN</t>
  </si>
  <si>
    <t>BAMYRNO</t>
  </si>
  <si>
    <t>HEF</t>
  </si>
  <si>
    <t>EQDNUFN</t>
  </si>
  <si>
    <t>EBDEN</t>
  </si>
  <si>
    <t>NCNNBDC</t>
  </si>
  <si>
    <t>JABOTJE</t>
  </si>
  <si>
    <t>AJJEETO</t>
  </si>
  <si>
    <t>OANMETU</t>
  </si>
  <si>
    <t>WANT</t>
  </si>
  <si>
    <t>NOOBWTN</t>
  </si>
  <si>
    <t>BI</t>
  </si>
  <si>
    <t>DOEBTIP</t>
  </si>
  <si>
    <t>TYFOON</t>
  </si>
  <si>
    <t>ONFTYRO</t>
  </si>
  <si>
    <t>SEAL</t>
  </si>
  <si>
    <t>EZEEAES</t>
  </si>
  <si>
    <t>ECHEC</t>
  </si>
  <si>
    <t>CCJEEHO</t>
  </si>
  <si>
    <t>NDRDVNT</t>
  </si>
  <si>
    <t>ZALM</t>
  </si>
  <si>
    <t>QALRMRL</t>
  </si>
  <si>
    <t>WEN</t>
  </si>
  <si>
    <t>RWNERXO</t>
  </si>
  <si>
    <t>LED</t>
  </si>
  <si>
    <t>DLNNOED</t>
  </si>
  <si>
    <t>ZES</t>
  </si>
  <si>
    <t>SCNOSEZ</t>
  </si>
  <si>
    <t>HE</t>
  </si>
  <si>
    <t>HJSWNEB</t>
  </si>
  <si>
    <t>SRKBDNA</t>
  </si>
  <si>
    <t>LAVING</t>
  </si>
  <si>
    <t>LVINGAQ</t>
  </si>
  <si>
    <t>OHADE</t>
  </si>
  <si>
    <t xml:space="preserve"> SDAOAH</t>
  </si>
  <si>
    <t>ENGELEN</t>
  </si>
  <si>
    <t>NFENGLE</t>
  </si>
  <si>
    <t>ZAKEN</t>
  </si>
  <si>
    <t>ANNENZE</t>
  </si>
  <si>
    <t>CHEF</t>
  </si>
  <si>
    <t>NCTGFTE</t>
  </si>
  <si>
    <t>W</t>
  </si>
  <si>
    <t>VDVJZWP</t>
  </si>
  <si>
    <t>BEWERINGEN</t>
  </si>
  <si>
    <t>YENABAE</t>
  </si>
  <si>
    <t>BAN</t>
  </si>
  <si>
    <t>ONBRNOA</t>
  </si>
  <si>
    <t>NTNEOEE</t>
  </si>
  <si>
    <t>NU</t>
  </si>
  <si>
    <t>NNNNMUE</t>
  </si>
  <si>
    <t>NDRNIIR</t>
  </si>
  <si>
    <t>FANCY</t>
  </si>
  <si>
    <t>AOFCWYN</t>
  </si>
  <si>
    <t>MONTEER</t>
  </si>
  <si>
    <t>OENMTER</t>
  </si>
  <si>
    <t>GEKEF</t>
  </si>
  <si>
    <t>NEGINKF</t>
  </si>
  <si>
    <t>VER</t>
  </si>
  <si>
    <t>KVOTNEE</t>
  </si>
  <si>
    <t>OMGEEF</t>
  </si>
  <si>
    <t>MQF OGU</t>
  </si>
  <si>
    <t>EANCXTL</t>
  </si>
  <si>
    <t>EHRJZNN</t>
  </si>
  <si>
    <t>YWEREFD</t>
  </si>
  <si>
    <t>INLAGEN</t>
  </si>
  <si>
    <t>NGNE LA</t>
  </si>
  <si>
    <t>FDLNVMN</t>
  </si>
  <si>
    <t>ZINNE</t>
  </si>
  <si>
    <t>NFZFEIR</t>
  </si>
  <si>
    <t>JANUS</t>
  </si>
  <si>
    <t>AESUEDN</t>
  </si>
  <si>
    <t>KST</t>
  </si>
  <si>
    <t>CCSNKTR</t>
  </si>
  <si>
    <t>QUOTE</t>
  </si>
  <si>
    <t>QEJNIOU</t>
  </si>
  <si>
    <t>HEN</t>
  </si>
  <si>
    <t>ENONHNL</t>
  </si>
  <si>
    <t>KAMME</t>
  </si>
  <si>
    <t>MMKEVAB</t>
  </si>
  <si>
    <t>SCHENDT</t>
  </si>
  <si>
    <t>NNDEHTS</t>
  </si>
  <si>
    <t>ZEIS</t>
  </si>
  <si>
    <t>ZZEESNI</t>
  </si>
  <si>
    <t>DRAW</t>
  </si>
  <si>
    <t>WREADIT</t>
  </si>
  <si>
    <t>GEEF</t>
  </si>
  <si>
    <t>QGEFEKA</t>
  </si>
  <si>
    <t>SPUIDEN</t>
  </si>
  <si>
    <t>SMPEUND</t>
  </si>
  <si>
    <t>HUB</t>
  </si>
  <si>
    <t>NATHPAB</t>
  </si>
  <si>
    <t>ZN</t>
  </si>
  <si>
    <t>ZNAONLP</t>
  </si>
  <si>
    <t>HSTNNEL</t>
  </si>
  <si>
    <t>NKDWZIS</t>
  </si>
  <si>
    <t>COCA</t>
  </si>
  <si>
    <t>QCCNMAO</t>
  </si>
  <si>
    <t>MAXIMEN</t>
  </si>
  <si>
    <t>BNAMHEI</t>
  </si>
  <si>
    <t>GOZER</t>
  </si>
  <si>
    <t>QOGZ NE</t>
  </si>
  <si>
    <t>BOL</t>
  </si>
  <si>
    <t>OAARBDD</t>
  </si>
  <si>
    <t>TONGEWELVEN</t>
  </si>
  <si>
    <t>NEN EVT</t>
  </si>
  <si>
    <t>TYPEREND</t>
  </si>
  <si>
    <t>NDERPYE</t>
  </si>
  <si>
    <t>ZWADE</t>
  </si>
  <si>
    <t>VOAEWZH</t>
  </si>
  <si>
    <t>NAVY</t>
  </si>
  <si>
    <t>VQYNNAU</t>
  </si>
  <si>
    <t>KON</t>
  </si>
  <si>
    <t>E ENORN</t>
  </si>
  <si>
    <t>DERNYS</t>
  </si>
  <si>
    <t>ZSZRNYD</t>
  </si>
  <si>
    <t>BEUNEN</t>
  </si>
  <si>
    <t>RNEUEBO</t>
  </si>
  <si>
    <t>HYPEN</t>
  </si>
  <si>
    <t>EKHDPJY</t>
  </si>
  <si>
    <t>GEFIETSTE</t>
  </si>
  <si>
    <t>QSEOOGH</t>
  </si>
  <si>
    <t>WEM</t>
  </si>
  <si>
    <t>DXWLNME</t>
  </si>
  <si>
    <t>NOLERZI</t>
  </si>
  <si>
    <t>BOGEY</t>
  </si>
  <si>
    <t>RGORYCE</t>
  </si>
  <si>
    <t>BOKSE</t>
  </si>
  <si>
    <t>ESOAEKB</t>
  </si>
  <si>
    <t>ZWETSEND</t>
  </si>
  <si>
    <t>NNLDGRE</t>
  </si>
  <si>
    <t>BOENE</t>
  </si>
  <si>
    <t>AEQENOB</t>
  </si>
  <si>
    <t>DDZRDHE</t>
  </si>
  <si>
    <t>ALF</t>
  </si>
  <si>
    <t>FUQANLK</t>
  </si>
  <si>
    <t>MEPPE</t>
  </si>
  <si>
    <t>EGMEGPP</t>
  </si>
  <si>
    <t>GERS</t>
  </si>
  <si>
    <t>SSRNGSV</t>
  </si>
  <si>
    <t>BOZE</t>
  </si>
  <si>
    <t>NLDZ BG</t>
  </si>
  <si>
    <t>TUNNEL</t>
  </si>
  <si>
    <t>UNLOTAE</t>
  </si>
  <si>
    <t>ZNZDEBD</t>
  </si>
  <si>
    <t>QIAICEN</t>
  </si>
  <si>
    <t>DREK</t>
  </si>
  <si>
    <t>ERDRKLD</t>
  </si>
  <si>
    <t>IUZNTEX</t>
  </si>
  <si>
    <t>PODIA</t>
  </si>
  <si>
    <t>DOLSAPI</t>
  </si>
  <si>
    <t>VLIEGT</t>
  </si>
  <si>
    <t>VTGVINE</t>
  </si>
  <si>
    <t>QXNEZNF</t>
  </si>
  <si>
    <t>NOOPTEN</t>
  </si>
  <si>
    <t>TOOENPT</t>
  </si>
  <si>
    <t>VOS</t>
  </si>
  <si>
    <t>VDOSKSN</t>
  </si>
  <si>
    <t>TOENEME</t>
  </si>
  <si>
    <t>EOENTME</t>
  </si>
  <si>
    <t>AFBEULEN</t>
  </si>
  <si>
    <t>NBEEF U</t>
  </si>
  <si>
    <t>HIEP</t>
  </si>
  <si>
    <t>NPIEEHA</t>
  </si>
  <si>
    <t>OMWERK</t>
  </si>
  <si>
    <t>FWRSKCO</t>
  </si>
  <si>
    <t>TEDDY</t>
  </si>
  <si>
    <t>DDDTELE</t>
  </si>
  <si>
    <t>SMALENDE</t>
  </si>
  <si>
    <t>MLEEDNS</t>
  </si>
  <si>
    <t>RACEN</t>
  </si>
  <si>
    <t>CJINRAE</t>
  </si>
  <si>
    <t>PELLER</t>
  </si>
  <si>
    <t>RLPETDR</t>
  </si>
  <si>
    <t>HONGERT</t>
  </si>
  <si>
    <t>ONNREGH</t>
  </si>
  <si>
    <t>BAKENDE</t>
  </si>
  <si>
    <t>ADNBEKS</t>
  </si>
  <si>
    <t>KLIJN</t>
  </si>
  <si>
    <t>JEMNILR</t>
  </si>
  <si>
    <t>KRIJN</t>
  </si>
  <si>
    <t>JQRDIKZ</t>
  </si>
  <si>
    <t>FOYER</t>
  </si>
  <si>
    <t>IUYIFOE</t>
  </si>
  <si>
    <t>AFWON</t>
  </si>
  <si>
    <t>WNMAFPO</t>
  </si>
  <si>
    <t>NVVWHDI</t>
  </si>
  <si>
    <t>AFRUIMT</t>
  </si>
  <si>
    <t>TAMI RU</t>
  </si>
  <si>
    <t>NRSKF E</t>
  </si>
  <si>
    <t>SCIGUTA</t>
  </si>
  <si>
    <t>VA</t>
  </si>
  <si>
    <t>ORTEONA</t>
  </si>
  <si>
    <t>EEGZADF</t>
  </si>
  <si>
    <t>FERME</t>
  </si>
  <si>
    <t>DREFMNP</t>
  </si>
  <si>
    <t>OO</t>
  </si>
  <si>
    <t>OOEAEAO</t>
  </si>
  <si>
    <t>AFKNOPEN</t>
  </si>
  <si>
    <t>APNENOK</t>
  </si>
  <si>
    <t>VEZEN</t>
  </si>
  <si>
    <t>VGNZEKT</t>
  </si>
  <si>
    <t>IVA</t>
  </si>
  <si>
    <t>QAOXVID</t>
  </si>
  <si>
    <t>FTPEN</t>
  </si>
  <si>
    <t>QNFNTEP</t>
  </si>
  <si>
    <t>SELFIES</t>
  </si>
  <si>
    <t>NELESSI</t>
  </si>
  <si>
    <t>NNCNSBT</t>
  </si>
  <si>
    <t>INDIENT</t>
  </si>
  <si>
    <t>EDNNI T</t>
  </si>
  <si>
    <t>WAM</t>
  </si>
  <si>
    <t>OESYWMH</t>
  </si>
  <si>
    <t>GESPELD</t>
  </si>
  <si>
    <t xml:space="preserve"> SEEDLP</t>
  </si>
  <si>
    <t>RIF</t>
  </si>
  <si>
    <t>QFMNNZR</t>
  </si>
  <si>
    <t>RUIF</t>
  </si>
  <si>
    <t>EUECFRI</t>
  </si>
  <si>
    <t>NUK</t>
  </si>
  <si>
    <t>QNNMKNU</t>
  </si>
  <si>
    <t>IET</t>
  </si>
  <si>
    <t>EEERTEI</t>
  </si>
  <si>
    <t>DIKZAK</t>
  </si>
  <si>
    <t xml:space="preserve">DXKAKV </t>
  </si>
  <si>
    <t>TIJDIGER</t>
  </si>
  <si>
    <t>JDRTGIE</t>
  </si>
  <si>
    <t>CSSMOIE</t>
  </si>
  <si>
    <t>MEIS</t>
  </si>
  <si>
    <t>SNMDNEW</t>
  </si>
  <si>
    <t>OVERTAPT</t>
  </si>
  <si>
    <t>OTTEPRA</t>
  </si>
  <si>
    <t>NYR OES</t>
  </si>
  <si>
    <t>TEEVEE</t>
  </si>
  <si>
    <t>EETEPVE</t>
  </si>
  <si>
    <t>SEN</t>
  </si>
  <si>
    <t>JJAOSNE</t>
  </si>
  <si>
    <t>KLIMBAAN</t>
  </si>
  <si>
    <t>INMA BK</t>
  </si>
  <si>
    <t>WEEFT</t>
  </si>
  <si>
    <t>EATOEDW</t>
  </si>
  <si>
    <t>CHANT</t>
  </si>
  <si>
    <t>CHNTNGA</t>
  </si>
  <si>
    <t>WAANDE</t>
  </si>
  <si>
    <t>QWANNED</t>
  </si>
  <si>
    <t>HOS</t>
  </si>
  <si>
    <t>MDOLNHS</t>
  </si>
  <si>
    <t>PIECE</t>
  </si>
  <si>
    <t>CGJIEPE</t>
  </si>
  <si>
    <t>NNNONHL</t>
  </si>
  <si>
    <t>INTREK</t>
  </si>
  <si>
    <t>RIKOENY</t>
  </si>
  <si>
    <t>ERNTTEN</t>
  </si>
  <si>
    <t>AFZAG</t>
  </si>
  <si>
    <t xml:space="preserve">GCOFZO </t>
  </si>
  <si>
    <t>DATES</t>
  </si>
  <si>
    <t>ESDUEAT</t>
  </si>
  <si>
    <t>LOL</t>
  </si>
  <si>
    <t>NDNLNLD</t>
  </si>
  <si>
    <t>WECK</t>
  </si>
  <si>
    <t>QCDWCWE</t>
  </si>
  <si>
    <t>YIN</t>
  </si>
  <si>
    <t>IIUOYIN</t>
  </si>
  <si>
    <t>QHEVOTY</t>
  </si>
  <si>
    <t>LACHTE</t>
  </si>
  <si>
    <t>C LETDA</t>
  </si>
  <si>
    <t>ZINGT</t>
  </si>
  <si>
    <t>RETKIGZ</t>
  </si>
  <si>
    <t>MI</t>
  </si>
  <si>
    <t>DWNNNMF</t>
  </si>
  <si>
    <t>PAL</t>
  </si>
  <si>
    <t>QNJLPED</t>
  </si>
  <si>
    <t>BONSDE</t>
  </si>
  <si>
    <t>NSOONBE</t>
  </si>
  <si>
    <t>ECHTER</t>
  </si>
  <si>
    <t>REDCEQT</t>
  </si>
  <si>
    <t>VERZWAKTEN</t>
  </si>
  <si>
    <t>VNNRLER</t>
  </si>
  <si>
    <t>DECANEN</t>
  </si>
  <si>
    <t xml:space="preserve"> NDNEAE</t>
  </si>
  <si>
    <t>GEWIST</t>
  </si>
  <si>
    <t>QTGISWE</t>
  </si>
  <si>
    <t>GAY</t>
  </si>
  <si>
    <t>AYTPVOG</t>
  </si>
  <si>
    <t>ZALFT</t>
  </si>
  <si>
    <t xml:space="preserve">DZCFLT </t>
  </si>
  <si>
    <t>FOT</t>
  </si>
  <si>
    <t>QTFENKN</t>
  </si>
  <si>
    <t>ZNVVREJ</t>
  </si>
  <si>
    <t>ESP</t>
  </si>
  <si>
    <t>DFSPDRE</t>
  </si>
  <si>
    <t>EOEXNJD</t>
  </si>
  <si>
    <t>ROBIJN</t>
  </si>
  <si>
    <t>RNJHBRO</t>
  </si>
  <si>
    <t>TENT</t>
  </si>
  <si>
    <t>NNTTEPT</t>
  </si>
  <si>
    <t>MARQUE</t>
  </si>
  <si>
    <t>QUMDZAE</t>
  </si>
  <si>
    <t>TERTIAIR</t>
  </si>
  <si>
    <t>TTIERRA</t>
  </si>
  <si>
    <t>DYNE</t>
  </si>
  <si>
    <t>VNYZNDE</t>
  </si>
  <si>
    <t>KOLFT</t>
  </si>
  <si>
    <t>OEOFKEL</t>
  </si>
  <si>
    <t>CLANS</t>
  </si>
  <si>
    <t>WCLBASN</t>
  </si>
  <si>
    <t>TIG</t>
  </si>
  <si>
    <t>GNDNITT</t>
  </si>
  <si>
    <t>Z</t>
  </si>
  <si>
    <t>NZSTIMO</t>
  </si>
  <si>
    <t>RSAHOGW</t>
  </si>
  <si>
    <t>BEG</t>
  </si>
  <si>
    <t>GOESBQF</t>
  </si>
  <si>
    <t>MEXTE</t>
  </si>
  <si>
    <t>NNMUTZE</t>
  </si>
  <si>
    <t>WIS</t>
  </si>
  <si>
    <t>MNSIWOE</t>
  </si>
  <si>
    <t>ZET</t>
  </si>
  <si>
    <t>NQMZETC</t>
  </si>
  <si>
    <t>KIDDEN</t>
  </si>
  <si>
    <t>KINBDED</t>
  </si>
  <si>
    <t>IJVER</t>
  </si>
  <si>
    <t>UJVDRET</t>
  </si>
  <si>
    <t>SAR</t>
  </si>
  <si>
    <t>ODR ASE</t>
  </si>
  <si>
    <t>ACH</t>
  </si>
  <si>
    <t>NCZGM H</t>
  </si>
  <si>
    <t>SIMPEN</t>
  </si>
  <si>
    <t>MIEEEPS</t>
  </si>
  <si>
    <t>NUUNTYD</t>
  </si>
  <si>
    <t>EXJES</t>
  </si>
  <si>
    <t>BNXSEKJ</t>
  </si>
  <si>
    <t>ZOO</t>
  </si>
  <si>
    <t>LZNNOVU</t>
  </si>
  <si>
    <t>TERGDEN</t>
  </si>
  <si>
    <t>DNEENRG</t>
  </si>
  <si>
    <t>MODEBLAD</t>
  </si>
  <si>
    <t xml:space="preserve">MODBDA </t>
  </si>
  <si>
    <t>WAP</t>
  </si>
  <si>
    <t>PSUATEW</t>
  </si>
  <si>
    <t>QIJUTEO</t>
  </si>
  <si>
    <t>ELFJE</t>
  </si>
  <si>
    <t>JTLEFET</t>
  </si>
  <si>
    <t>SCANT</t>
  </si>
  <si>
    <t>NTSAVJC</t>
  </si>
  <si>
    <t>REUKE</t>
  </si>
  <si>
    <t>EEUEOPK</t>
  </si>
  <si>
    <t>MONEY</t>
  </si>
  <si>
    <t>UOHMDYE</t>
  </si>
  <si>
    <t>ZAKAKHO</t>
  </si>
  <si>
    <t>GYRUMTT</t>
  </si>
  <si>
    <t>JOEJOAD</t>
  </si>
  <si>
    <t>REIZEND</t>
  </si>
  <si>
    <t>ZINRCED</t>
  </si>
  <si>
    <t>NIEANGN</t>
  </si>
  <si>
    <t>JOG</t>
  </si>
  <si>
    <t>DJLGAKO</t>
  </si>
  <si>
    <t>ETSENDE</t>
  </si>
  <si>
    <t>NES EET</t>
  </si>
  <si>
    <t>NNOSUVA</t>
  </si>
  <si>
    <t>SANEREND</t>
  </si>
  <si>
    <t>DRNEASN</t>
  </si>
  <si>
    <t>QUID</t>
  </si>
  <si>
    <t>EDQEEIE</t>
  </si>
  <si>
    <t>SECOND</t>
  </si>
  <si>
    <t>DONKSEN</t>
  </si>
  <si>
    <t>MELODIE</t>
  </si>
  <si>
    <t xml:space="preserve">QEOADM </t>
  </si>
  <si>
    <t>ZENEN</t>
  </si>
  <si>
    <t>NOOSGZR</t>
  </si>
  <si>
    <t>HERINTREDENDE</t>
  </si>
  <si>
    <t>FFRGHWE</t>
  </si>
  <si>
    <t>OMSPRING</t>
  </si>
  <si>
    <t>MYOMCNN</t>
  </si>
  <si>
    <t>DUNDE</t>
  </si>
  <si>
    <t>QDNUNDS</t>
  </si>
  <si>
    <t>CEEL</t>
  </si>
  <si>
    <t>CNNCELU</t>
  </si>
  <si>
    <t>AFTEN</t>
  </si>
  <si>
    <t>AETNFRM</t>
  </si>
  <si>
    <t>ANMETRZ</t>
  </si>
  <si>
    <t>BOURBONS</t>
  </si>
  <si>
    <t>OOBNURS</t>
  </si>
  <si>
    <t>FOPTE</t>
  </si>
  <si>
    <t>DOETPEF</t>
  </si>
  <si>
    <t>SNACKEN</t>
  </si>
  <si>
    <t>RKIESNC</t>
  </si>
  <si>
    <t>WEZE</t>
  </si>
  <si>
    <t>ZEEEEOW</t>
  </si>
  <si>
    <t>VODJE</t>
  </si>
  <si>
    <t>JODVATD</t>
  </si>
  <si>
    <t>NADELEN</t>
  </si>
  <si>
    <t>NRDNTNE</t>
  </si>
  <si>
    <t>WRIJF</t>
  </si>
  <si>
    <t>QRRLIWF</t>
  </si>
  <si>
    <t>OXER</t>
  </si>
  <si>
    <t>RRXONBA</t>
  </si>
  <si>
    <t>DONKEN</t>
  </si>
  <si>
    <t>NNODOEK</t>
  </si>
  <si>
    <t>CNOSEQW</t>
  </si>
  <si>
    <t>SJWA</t>
  </si>
  <si>
    <t>JSWNBFA</t>
  </si>
  <si>
    <t>AFBIND</t>
  </si>
  <si>
    <t xml:space="preserve">RBDNAS </t>
  </si>
  <si>
    <t>ZENGT</t>
  </si>
  <si>
    <t>QJDVTKG</t>
  </si>
  <si>
    <t>WEGVAST</t>
  </si>
  <si>
    <t xml:space="preserve"> SATWVJ</t>
  </si>
  <si>
    <t>FEAYAGL</t>
  </si>
  <si>
    <t>VENNE</t>
  </si>
  <si>
    <t>NNEONDV</t>
  </si>
  <si>
    <t>GENETTE</t>
  </si>
  <si>
    <t>NTGTFEE</t>
  </si>
  <si>
    <t>VDVJZPS</t>
  </si>
  <si>
    <t>YAAXQNO</t>
  </si>
  <si>
    <t>SCOORT</t>
  </si>
  <si>
    <t>ORNONCS</t>
  </si>
  <si>
    <t>WEGZOND</t>
  </si>
  <si>
    <t>EGGZDWO</t>
  </si>
  <si>
    <t>WIEMEN</t>
  </si>
  <si>
    <t>NNNMEEI</t>
  </si>
  <si>
    <t>RANG</t>
  </si>
  <si>
    <t>NNIREAR</t>
  </si>
  <si>
    <t>WED</t>
  </si>
  <si>
    <t>OWEVDES</t>
  </si>
  <si>
    <t xml:space="preserve"> RJENOE</t>
  </si>
  <si>
    <t>NINLONB</t>
  </si>
  <si>
    <t>ROCK</t>
  </si>
  <si>
    <t>KOTNECS</t>
  </si>
  <si>
    <t>EED</t>
  </si>
  <si>
    <t>QUREDEW</t>
  </si>
  <si>
    <t>LOCO</t>
  </si>
  <si>
    <t>ANCTLAE</t>
  </si>
  <si>
    <t>SJOR</t>
  </si>
  <si>
    <t>RJZNNNS</t>
  </si>
  <si>
    <t>AFWENDE</t>
  </si>
  <si>
    <t>WEEFSAN</t>
  </si>
  <si>
    <t>BEN</t>
  </si>
  <si>
    <t>KEBEHNO</t>
  </si>
  <si>
    <t>VALT</t>
  </si>
  <si>
    <t>FDLVNTV</t>
  </si>
  <si>
    <t>TREFFE</t>
  </si>
  <si>
    <t>FFREEET</t>
  </si>
  <si>
    <t>KREPT</t>
  </si>
  <si>
    <t>EEDLPTK</t>
  </si>
  <si>
    <t>CONCERN</t>
  </si>
  <si>
    <t xml:space="preserve">CCNREO </t>
  </si>
  <si>
    <t>IJDEL</t>
  </si>
  <si>
    <t>JNIDLDO</t>
  </si>
  <si>
    <t>GO</t>
  </si>
  <si>
    <t>ONNLNGS</t>
  </si>
  <si>
    <t>BEFT</t>
  </si>
  <si>
    <t>VBTNDLF</t>
  </si>
  <si>
    <t>NAAN</t>
  </si>
  <si>
    <t>NROEAUN</t>
  </si>
  <si>
    <t>VETOEN</t>
  </si>
  <si>
    <t>ZENOEVA</t>
  </si>
  <si>
    <t>TREILTJE</t>
  </si>
  <si>
    <t>EITTLJN</t>
  </si>
  <si>
    <t>HESP</t>
  </si>
  <si>
    <t>QKAH EP</t>
  </si>
  <si>
    <t>VERMOEI</t>
  </si>
  <si>
    <t>MVOENIE</t>
  </si>
  <si>
    <t>AANWIPT</t>
  </si>
  <si>
    <t>NATPAAW</t>
  </si>
  <si>
    <t>KOPAL</t>
  </si>
  <si>
    <t>AONLPXK</t>
  </si>
  <si>
    <t>NON</t>
  </si>
  <si>
    <t>STNNJON</t>
  </si>
  <si>
    <t>MEDIA</t>
  </si>
  <si>
    <t>NDZAMDE</t>
  </si>
  <si>
    <t>RUM</t>
  </si>
  <si>
    <t>QNMVRRU</t>
  </si>
  <si>
    <t>BASSIN</t>
  </si>
  <si>
    <t>BAHINSS</t>
  </si>
  <si>
    <t>QUEENIE</t>
  </si>
  <si>
    <t>QNEIEKU</t>
  </si>
  <si>
    <t>DRYADE</t>
  </si>
  <si>
    <t>AARDDYD</t>
  </si>
  <si>
    <t>OMARMD</t>
  </si>
  <si>
    <t>ESDOAMM</t>
  </si>
  <si>
    <t>MOEI</t>
  </si>
  <si>
    <t>AMINOAE</t>
  </si>
  <si>
    <t>HOVERT</t>
  </si>
  <si>
    <t>VOHUNTR</t>
  </si>
  <si>
    <t>QNUDPAE</t>
  </si>
  <si>
    <t>EXEN</t>
  </si>
  <si>
    <t>E ERNNX</t>
  </si>
  <si>
    <t>DAZE</t>
  </si>
  <si>
    <t>ZZEADEA</t>
  </si>
  <si>
    <t>BEVER</t>
  </si>
  <si>
    <t>ROEEBVN</t>
  </si>
  <si>
    <t>BEDEK</t>
  </si>
  <si>
    <t>KDJB AN</t>
  </si>
  <si>
    <t>OEH</t>
  </si>
  <si>
    <t>QSOOHES</t>
  </si>
  <si>
    <t>DOLMENS</t>
  </si>
  <si>
    <t>DXLNMEO</t>
  </si>
  <si>
    <t>ROF</t>
  </si>
  <si>
    <t>NLERIRF</t>
  </si>
  <si>
    <t>KRIP</t>
  </si>
  <si>
    <t>RORCPKI</t>
  </si>
  <si>
    <t>FUN</t>
  </si>
  <si>
    <t>AEUERNF</t>
  </si>
  <si>
    <t>LANG</t>
  </si>
  <si>
    <t>NLGRALC</t>
  </si>
  <si>
    <t>QUADS</t>
  </si>
  <si>
    <t>AQEVUES</t>
  </si>
  <si>
    <t>TRI</t>
  </si>
  <si>
    <t>DDZRDIT</t>
  </si>
  <si>
    <t>JUS</t>
  </si>
  <si>
    <t>UQNKJSN</t>
  </si>
  <si>
    <t>ZOOG</t>
  </si>
  <si>
    <t>GGFEONZ</t>
  </si>
  <si>
    <t>VUNS</t>
  </si>
  <si>
    <t>SNSV DU</t>
  </si>
  <si>
    <t>GELEND</t>
  </si>
  <si>
    <t>NLDGVER</t>
  </si>
  <si>
    <t>HARSEN</t>
  </si>
  <si>
    <t>OASN RH</t>
  </si>
  <si>
    <t>NZDBDVB</t>
  </si>
  <si>
    <t>AI</t>
  </si>
  <si>
    <t>QAINENE</t>
  </si>
  <si>
    <t>HIELP</t>
  </si>
  <si>
    <t>RLDLPNI</t>
  </si>
  <si>
    <t xml:space="preserve">UZNTEP </t>
  </si>
  <si>
    <t>HO</t>
  </si>
  <si>
    <t>LSONHNN</t>
  </si>
  <si>
    <t>VERVLIEGT</t>
  </si>
  <si>
    <t>VNRENEB</t>
  </si>
  <si>
    <t>ZEND</t>
  </si>
  <si>
    <t xml:space="preserve">QNZNFD </t>
  </si>
  <si>
    <t>TOASTEN</t>
  </si>
  <si>
    <t>OTTANES</t>
  </si>
  <si>
    <t>DENKSPEL</t>
  </si>
  <si>
    <t>DKSN EL</t>
  </si>
  <si>
    <t>OVERMAND</t>
  </si>
  <si>
    <t>ARDOMEN</t>
  </si>
  <si>
    <t>ONKELS</t>
  </si>
  <si>
    <t>SKNLOEQ</t>
  </si>
  <si>
    <t>NADAR</t>
  </si>
  <si>
    <t>NEARADK</t>
  </si>
  <si>
    <t>FUCK</t>
  </si>
  <si>
    <t>FSCK SM</t>
  </si>
  <si>
    <t>DLEQENN</t>
  </si>
  <si>
    <t>INDRONK</t>
  </si>
  <si>
    <t>DNQK RN</t>
  </si>
  <si>
    <t>JINXE</t>
  </si>
  <si>
    <t>JINSEXE</t>
  </si>
  <si>
    <t>TDRXMAW</t>
  </si>
  <si>
    <t>UH</t>
  </si>
  <si>
    <t>NUATEHA</t>
  </si>
  <si>
    <t>TWIJG</t>
  </si>
  <si>
    <t>STWUGJD</t>
  </si>
  <si>
    <t>MIN</t>
  </si>
  <si>
    <t>EMRTNNE</t>
  </si>
  <si>
    <t>FOYERS</t>
  </si>
  <si>
    <t>QDZWFSJ</t>
  </si>
  <si>
    <t>AMIGO</t>
  </si>
  <si>
    <t>IUIMAHG</t>
  </si>
  <si>
    <t>AFDAM</t>
  </si>
  <si>
    <t>MFPAEDA</t>
  </si>
  <si>
    <t>NVVDIXE</t>
  </si>
  <si>
    <t>KEBON</t>
  </si>
  <si>
    <t>EEAAOKK</t>
  </si>
  <si>
    <t>NRK EDZ</t>
  </si>
  <si>
    <t>IGUDOYK</t>
  </si>
  <si>
    <t>ORTEONN</t>
  </si>
  <si>
    <t>QUOTES</t>
  </si>
  <si>
    <t>EGOUKQS</t>
  </si>
  <si>
    <t>DO</t>
  </si>
  <si>
    <t>DNPMONL</t>
  </si>
  <si>
    <t>JEE</t>
  </si>
  <si>
    <t>EAEAODJ</t>
  </si>
  <si>
    <t>ENGERD</t>
  </si>
  <si>
    <t>RDZWQGE</t>
  </si>
  <si>
    <t>LOGO</t>
  </si>
  <si>
    <t>GKTLDOO</t>
  </si>
  <si>
    <t>AXON</t>
  </si>
  <si>
    <t>QOXDEAN</t>
  </si>
  <si>
    <t>QNNDDAG</t>
  </si>
  <si>
    <t>ZOU</t>
  </si>
  <si>
    <t>NEZMEOU</t>
  </si>
  <si>
    <t>BUK</t>
  </si>
  <si>
    <t>NNCNBDU</t>
  </si>
  <si>
    <t>JA</t>
  </si>
  <si>
    <t>ARERJ A</t>
  </si>
  <si>
    <t>EASY</t>
  </si>
  <si>
    <t>OESYHEA</t>
  </si>
  <si>
    <t>GLANZEN</t>
  </si>
  <si>
    <t>EZJANGN</t>
  </si>
  <si>
    <t>NOZEM</t>
  </si>
  <si>
    <t>QMNNZEC</t>
  </si>
  <si>
    <t>ACE</t>
  </si>
  <si>
    <t>EECEAEV</t>
  </si>
  <si>
    <t>EIND</t>
  </si>
  <si>
    <t>QNMNDEI</t>
  </si>
  <si>
    <t>EEREAMY</t>
  </si>
  <si>
    <t>XASSEN</t>
  </si>
  <si>
    <t>XVNEG A</t>
  </si>
  <si>
    <t>BYTE</t>
  </si>
  <si>
    <t>EEBTYUE</t>
  </si>
  <si>
    <t>MIE</t>
  </si>
  <si>
    <t>SMOIEEE</t>
  </si>
  <si>
    <t>WEND</t>
  </si>
  <si>
    <t>NDNWCNE</t>
  </si>
  <si>
    <t>NOG</t>
  </si>
  <si>
    <t>AOINOZG</t>
  </si>
  <si>
    <t>ORKZNEX</t>
  </si>
  <si>
    <t>PRINTEN</t>
  </si>
  <si>
    <t>PNNINRE</t>
  </si>
  <si>
    <t>LATUW</t>
  </si>
  <si>
    <t>JJAOUWT</t>
  </si>
  <si>
    <t>G MNQVK</t>
  </si>
  <si>
    <t>DONJON</t>
  </si>
  <si>
    <t>AODOUJV</t>
  </si>
  <si>
    <t>GUS</t>
  </si>
  <si>
    <t>NGOUNOS</t>
  </si>
  <si>
    <t>QUOTEN</t>
  </si>
  <si>
    <t>QNRTDOU</t>
  </si>
  <si>
    <t>MAL</t>
  </si>
  <si>
    <t>MDLNNAU</t>
  </si>
  <si>
    <t>GIJK</t>
  </si>
  <si>
    <t>GJIKEEE</t>
  </si>
  <si>
    <t>KONDEN</t>
  </si>
  <si>
    <t>NNNONED</t>
  </si>
  <si>
    <t>KLOEK</t>
  </si>
  <si>
    <t>OYKKLOE</t>
  </si>
  <si>
    <t>ERTTENU</t>
  </si>
  <si>
    <t>COOANEK</t>
  </si>
  <si>
    <t>REEUWS</t>
  </si>
  <si>
    <t>UEWRRER</t>
  </si>
  <si>
    <t>ZON</t>
  </si>
  <si>
    <t>NDNNDZP</t>
  </si>
  <si>
    <t>DWEPE</t>
  </si>
  <si>
    <t>QDCWAPE</t>
  </si>
  <si>
    <t>IMP</t>
  </si>
  <si>
    <t>IUOINRM</t>
  </si>
  <si>
    <t>QOTEDXN</t>
  </si>
  <si>
    <t>SAFE</t>
  </si>
  <si>
    <t>DRSFGEN</t>
  </si>
  <si>
    <t>TYPE</t>
  </si>
  <si>
    <t>REKYTPL</t>
  </si>
  <si>
    <t>DWNNNFO</t>
  </si>
  <si>
    <t>WEGJE</t>
  </si>
  <si>
    <t>QNJEDGE</t>
  </si>
  <si>
    <t>INOX</t>
  </si>
  <si>
    <t>ONCNXDI</t>
  </si>
  <si>
    <t>DQEGEOE</t>
  </si>
  <si>
    <t>LIS</t>
  </si>
  <si>
    <t>NNLRMSN</t>
  </si>
  <si>
    <t>COUTE</t>
  </si>
  <si>
    <t>ELGUOTC</t>
  </si>
  <si>
    <t>SESAM</t>
  </si>
  <si>
    <t>QMSUSBE</t>
  </si>
  <si>
    <t>VOL</t>
  </si>
  <si>
    <t>TPVOLNM</t>
  </si>
  <si>
    <t>ZEEM</t>
  </si>
  <si>
    <t>DCEMMEZ</t>
  </si>
  <si>
    <t>UK</t>
  </si>
  <si>
    <t>QENKNHU</t>
  </si>
  <si>
    <t>VRIJAF</t>
  </si>
  <si>
    <t>VVRJM I</t>
  </si>
  <si>
    <t>DELF</t>
  </si>
  <si>
    <t>DFDRLEG</t>
  </si>
  <si>
    <t>PIJNDE</t>
  </si>
  <si>
    <t>EOENJDG</t>
  </si>
  <si>
    <t>HRDLCYD</t>
  </si>
  <si>
    <t>INTYPE</t>
  </si>
  <si>
    <t>NPTVIEE</t>
  </si>
  <si>
    <t>ZATE</t>
  </si>
  <si>
    <t>DZTNNZN</t>
  </si>
  <si>
    <t>HOOIDE</t>
  </si>
  <si>
    <t>DOHYIEO</t>
  </si>
  <si>
    <t>VZNCTEE</t>
  </si>
  <si>
    <t>TOEKEEK</t>
  </si>
  <si>
    <t xml:space="preserve">EOEEAK </t>
  </si>
  <si>
    <t>HEBE</t>
  </si>
  <si>
    <t>WBEHREQ</t>
  </si>
  <si>
    <t>NDNTREM</t>
  </si>
  <si>
    <t>MIC</t>
  </si>
  <si>
    <t>NSTIMOK</t>
  </si>
  <si>
    <t>WORG</t>
  </si>
  <si>
    <t>RSOGWNY</t>
  </si>
  <si>
    <t>IJS</t>
  </si>
  <si>
    <t>OSQFAIJ</t>
  </si>
  <si>
    <t>ZUL</t>
  </si>
  <si>
    <t>NNUZMPL</t>
  </si>
  <si>
    <t>OM</t>
  </si>
  <si>
    <t>MNOEEEN</t>
  </si>
  <si>
    <t>NQMCLDR</t>
  </si>
  <si>
    <t>CAP</t>
  </si>
  <si>
    <t>BE ECRP</t>
  </si>
  <si>
    <t>BUDDYS</t>
  </si>
  <si>
    <t>UDTYSBI</t>
  </si>
  <si>
    <t>RED</t>
  </si>
  <si>
    <t>ODR ETE</t>
  </si>
  <si>
    <t>NZGMDTN</t>
  </si>
  <si>
    <t>UWE</t>
  </si>
  <si>
    <t>EESAWUA</t>
  </si>
  <si>
    <t>KUT</t>
  </si>
  <si>
    <t>UNTYDTK</t>
  </si>
  <si>
    <t>SAKKEN</t>
  </si>
  <si>
    <t>BNKAENK</t>
  </si>
  <si>
    <t>VUL</t>
  </si>
  <si>
    <t>LNNVUON</t>
  </si>
  <si>
    <t>ONWEREN</t>
  </si>
  <si>
    <t>NNEOOWE</t>
  </si>
  <si>
    <t>COSTA</t>
  </si>
  <si>
    <t>TCOO SK</t>
  </si>
  <si>
    <t>SUTENNB</t>
  </si>
  <si>
    <t>TAXI</t>
  </si>
  <si>
    <t>IJTGXYE</t>
  </si>
  <si>
    <t>DERMATE</t>
  </si>
  <si>
    <t>TTMDERE</t>
  </si>
  <si>
    <t>VJSNESP</t>
  </si>
  <si>
    <t>EPOQUE</t>
  </si>
  <si>
    <t>EOPQEME</t>
  </si>
  <si>
    <t>UHDNJVG</t>
  </si>
  <si>
    <t>AKAKHON</t>
  </si>
  <si>
    <t>TUMTUM</t>
  </si>
  <si>
    <t>RUMTTMO</t>
  </si>
  <si>
    <t>TJABE</t>
  </si>
  <si>
    <t>OJOADTB</t>
  </si>
  <si>
    <t>FA</t>
  </si>
  <si>
    <t>CYFEMAI</t>
  </si>
  <si>
    <t>INHANGE</t>
  </si>
  <si>
    <t>IEANGNH</t>
  </si>
  <si>
    <t>DUAAL</t>
  </si>
  <si>
    <t>DLAKUKD</t>
  </si>
  <si>
    <t>WESTZIJ</t>
  </si>
  <si>
    <t>TIJSEVW</t>
  </si>
  <si>
    <t>STOND</t>
  </si>
  <si>
    <t>NNOSUTL</t>
  </si>
  <si>
    <t>WERFT</t>
  </si>
  <si>
    <t>TWERFNK</t>
  </si>
  <si>
    <t>EEEELOY</t>
  </si>
  <si>
    <t>BLINKEN</t>
  </si>
  <si>
    <t>KNILEEB</t>
  </si>
  <si>
    <t>SJAH</t>
  </si>
  <si>
    <t>QAHJAAS</t>
  </si>
  <si>
    <t>GROOS</t>
  </si>
  <si>
    <t>OOSGROU</t>
  </si>
  <si>
    <t>WENKT</t>
  </si>
  <si>
    <t>FFGWTNK</t>
  </si>
  <si>
    <t>CANYON</t>
  </si>
  <si>
    <t>YMCNNAX</t>
  </si>
  <si>
    <t>QNSCVEE</t>
  </si>
  <si>
    <t>DUNNE</t>
  </si>
  <si>
    <t>NNCUQEI</t>
  </si>
  <si>
    <t>TRMSMPW</t>
  </si>
  <si>
    <t>STREAMEN</t>
  </si>
  <si>
    <t>ANMETRS</t>
  </si>
  <si>
    <t>ONTWAKE</t>
  </si>
  <si>
    <t>WOTKEAN</t>
  </si>
  <si>
    <t>DROGEREN</t>
  </si>
  <si>
    <t>DOENEGR</t>
  </si>
  <si>
    <t>RIJERS</t>
  </si>
  <si>
    <t>RIOJERS</t>
  </si>
  <si>
    <t>MODEL</t>
  </si>
  <si>
    <t>EEOLNMR</t>
  </si>
  <si>
    <t>SAVANT</t>
  </si>
  <si>
    <t>ATDSVAN</t>
  </si>
  <si>
    <t>RDTNGZE</t>
  </si>
  <si>
    <t>EGO</t>
  </si>
  <si>
    <t>QRLEONO</t>
  </si>
  <si>
    <t>ABSENTER</t>
  </si>
  <si>
    <t>RNBATEE</t>
  </si>
  <si>
    <t>LOSJE</t>
  </si>
  <si>
    <t>OELJISO</t>
  </si>
  <si>
    <t>NOQWETA</t>
  </si>
  <si>
    <t>NBFPRBO</t>
  </si>
  <si>
    <t>BOSNIMF</t>
  </si>
  <si>
    <t>RSEBCEO</t>
  </si>
  <si>
    <t>QJDVKWT</t>
  </si>
  <si>
    <t>BOSJES</t>
  </si>
  <si>
    <t>JESBSOU</t>
  </si>
  <si>
    <t>AFKNALLE</t>
  </si>
  <si>
    <t>FAALEKL</t>
  </si>
  <si>
    <t>YONDAN</t>
  </si>
  <si>
    <t>ONDAOYE</t>
  </si>
  <si>
    <t>VELUMS</t>
  </si>
  <si>
    <t>FULNMSE</t>
  </si>
  <si>
    <t>DOP</t>
  </si>
  <si>
    <t>VDVJPSS</t>
  </si>
  <si>
    <t>BAKEN</t>
  </si>
  <si>
    <t>AAQNEEK</t>
  </si>
  <si>
    <t>TIRANNEN</t>
  </si>
  <si>
    <t>NNTERNI</t>
  </si>
  <si>
    <t>OOGGEL</t>
  </si>
  <si>
    <t>GOTNG L</t>
  </si>
  <si>
    <t>NNNZOEE</t>
  </si>
  <si>
    <t>NIERNAT</t>
  </si>
  <si>
    <t>PESOS</t>
  </si>
  <si>
    <t>OVESZPS</t>
  </si>
  <si>
    <t>ROCKENDE</t>
  </si>
  <si>
    <t xml:space="preserve"> RNOEEK</t>
  </si>
  <si>
    <t>BARD</t>
  </si>
  <si>
    <t xml:space="preserve">NNBRDL </t>
  </si>
  <si>
    <t>EENTJES</t>
  </si>
  <si>
    <t>TNESJEE</t>
  </si>
  <si>
    <t>QURWNNT</t>
  </si>
  <si>
    <t>ANDANTE</t>
  </si>
  <si>
    <t>ANTAEND</t>
  </si>
  <si>
    <t>ZNNNDTE</t>
  </si>
  <si>
    <t>SPIES</t>
  </si>
  <si>
    <t>SIIOPEE</t>
  </si>
  <si>
    <t>HONDS</t>
  </si>
  <si>
    <t>KEHODSN</t>
  </si>
  <si>
    <t>GIF</t>
  </si>
  <si>
    <t>FDNVGIA</t>
  </si>
  <si>
    <t>CYAAN</t>
  </si>
  <si>
    <t>ENAYHOA</t>
  </si>
  <si>
    <t>RELDE</t>
  </si>
  <si>
    <t>EDLXDRE</t>
  </si>
  <si>
    <t>GEMS</t>
  </si>
  <si>
    <t>NMGEAAS</t>
  </si>
  <si>
    <t>NDOEZPA</t>
  </si>
  <si>
    <t>NNLNSUN</t>
  </si>
  <si>
    <t>KLOVE</t>
  </si>
  <si>
    <t>VNDLEOK</t>
  </si>
  <si>
    <t>OPREZEN</t>
  </si>
  <si>
    <t>ROEUPVE</t>
  </si>
  <si>
    <t>ZIJ</t>
  </si>
  <si>
    <t>ZA AMJK</t>
  </si>
  <si>
    <t>MAN</t>
  </si>
  <si>
    <t>NNMOOEA</t>
  </si>
  <si>
    <t>SAK</t>
  </si>
  <si>
    <t>QKAOADS</t>
  </si>
  <si>
    <t>VERMOEIEN</t>
  </si>
  <si>
    <t>NRENSOA</t>
  </si>
  <si>
    <t>SABELDEN</t>
  </si>
  <si>
    <t>ABSDLNE</t>
  </si>
  <si>
    <t>SCHAB</t>
  </si>
  <si>
    <t>NXHSACV</t>
  </si>
  <si>
    <t>VRAT</t>
  </si>
  <si>
    <t>STJNVRT</t>
  </si>
  <si>
    <t>NABIJ</t>
  </si>
  <si>
    <t>NZDIUTJ</t>
  </si>
  <si>
    <t>V</t>
  </si>
  <si>
    <t>QNVRRDK</t>
  </si>
  <si>
    <t>ZEEHELD</t>
  </si>
  <si>
    <t>HLERJDE</t>
  </si>
  <si>
    <t>KLOVEN</t>
  </si>
  <si>
    <t>NKVMENL</t>
  </si>
  <si>
    <t>WASNET</t>
  </si>
  <si>
    <t>ADTENSW</t>
  </si>
  <si>
    <t>RESTTE</t>
  </si>
  <si>
    <t>ESTNTSR</t>
  </si>
  <si>
    <t>HIFI</t>
  </si>
  <si>
    <t>ANAIFEH</t>
  </si>
  <si>
    <t>PUK</t>
  </si>
  <si>
    <t>UNPEMKE</t>
  </si>
  <si>
    <t>POEPENDE</t>
  </si>
  <si>
    <t>NPEPDEO</t>
  </si>
  <si>
    <t>HANGT</t>
  </si>
  <si>
    <t xml:space="preserve"> RNGHBT</t>
  </si>
  <si>
    <t>SAKE</t>
  </si>
  <si>
    <t>ZEAUSKE</t>
  </si>
  <si>
    <t>ONDONQH</t>
  </si>
  <si>
    <t>DUTJE</t>
  </si>
  <si>
    <t>J ANN U</t>
  </si>
  <si>
    <t>SEO</t>
  </si>
  <si>
    <t>QSOSEOT</t>
  </si>
  <si>
    <t>EXTRAS</t>
  </si>
  <si>
    <t>XAKSERT</t>
  </si>
  <si>
    <t>VLIEREN</t>
  </si>
  <si>
    <t>NLEIRVE</t>
  </si>
  <si>
    <t>NOVICE</t>
  </si>
  <si>
    <t>ORCIEVR</t>
  </si>
  <si>
    <t>LADE</t>
  </si>
  <si>
    <t>AEERLDE</t>
  </si>
  <si>
    <t>ACTEUR</t>
  </si>
  <si>
    <t>RLCETUO</t>
  </si>
  <si>
    <t>ODE</t>
  </si>
  <si>
    <t>EVEDJOE</t>
  </si>
  <si>
    <t>DDZDEON</t>
  </si>
  <si>
    <t>NOK</t>
  </si>
  <si>
    <t>QNKNUZN</t>
  </si>
  <si>
    <t>GORZEN</t>
  </si>
  <si>
    <t>GFENQOR</t>
  </si>
  <si>
    <t>JINX</t>
  </si>
  <si>
    <t>S DJXNN</t>
  </si>
  <si>
    <t>VOEDT</t>
  </si>
  <si>
    <t>VREDOTA</t>
  </si>
  <si>
    <t>KAMEEL</t>
  </si>
  <si>
    <t>OLCMKEE</t>
  </si>
  <si>
    <t>DBDVBED</t>
  </si>
  <si>
    <t>VEEM</t>
  </si>
  <si>
    <t>QNENEEV</t>
  </si>
  <si>
    <t>RDLNKSL</t>
  </si>
  <si>
    <t>GULPTEN</t>
  </si>
  <si>
    <t>UNTE GE</t>
  </si>
  <si>
    <t>LSNNNNB</t>
  </si>
  <si>
    <t>NNEBXWW</t>
  </si>
  <si>
    <t>MILD</t>
  </si>
  <si>
    <t>QNFMILD</t>
  </si>
  <si>
    <t>NAKZWDR</t>
  </si>
  <si>
    <t>BEMINT</t>
  </si>
  <si>
    <t>NENMIUB</t>
  </si>
  <si>
    <t>WAJNAOR</t>
  </si>
  <si>
    <t>WAF</t>
  </si>
  <si>
    <t>QGHWANF</t>
  </si>
  <si>
    <t>RECES</t>
  </si>
  <si>
    <t>EKEEETC</t>
  </si>
  <si>
    <t>DEMP</t>
  </si>
  <si>
    <t>SSMPEDO</t>
  </si>
  <si>
    <t>ENZYMEN</t>
  </si>
  <si>
    <t>DLEENNN</t>
  </si>
  <si>
    <t>KREES</t>
  </si>
  <si>
    <t>DQESREK</t>
  </si>
  <si>
    <t>RUIMTES</t>
  </si>
  <si>
    <t>ISEAUTM</t>
  </si>
  <si>
    <t>SWA</t>
  </si>
  <si>
    <t>DRAWSED</t>
  </si>
  <si>
    <t>NAVENANT</t>
  </si>
  <si>
    <t>NATEAVN</t>
  </si>
  <si>
    <t>SMULDEN</t>
  </si>
  <si>
    <t>SUDMELA</t>
  </si>
  <si>
    <t>ENTERDE</t>
  </si>
  <si>
    <t>ERTNEED</t>
  </si>
  <si>
    <t>ZWIJN</t>
  </si>
  <si>
    <t>QDZWFJN</t>
  </si>
  <si>
    <t>HIJ</t>
  </si>
  <si>
    <t>UIHEGWE</t>
  </si>
  <si>
    <t>SPANTEN</t>
  </si>
  <si>
    <t>PENASTN</t>
  </si>
  <si>
    <t>DRAVEN</t>
  </si>
  <si>
    <t>NVVDIER</t>
  </si>
  <si>
    <t>SKALD</t>
  </si>
  <si>
    <t>EAAKILS</t>
  </si>
  <si>
    <t>KROESDEN</t>
  </si>
  <si>
    <t>NRK EDO</t>
  </si>
  <si>
    <t>UDOYKHM</t>
  </si>
  <si>
    <t>ARTSEN</t>
  </si>
  <si>
    <t>ORTEONS</t>
  </si>
  <si>
    <t>BOGEYS</t>
  </si>
  <si>
    <t>GKOYBEN</t>
  </si>
  <si>
    <t>NPMNLWA</t>
  </si>
  <si>
    <t>DRAAL</t>
  </si>
  <si>
    <t>AAODZDR</t>
  </si>
  <si>
    <t>ZWEET</t>
  </si>
  <si>
    <t>ZWQEETU</t>
  </si>
  <si>
    <t>DOT</t>
  </si>
  <si>
    <t>KTDEPOR</t>
  </si>
  <si>
    <t>LADY</t>
  </si>
  <si>
    <t>QDEYEOA</t>
  </si>
  <si>
    <t>GERM</t>
  </si>
  <si>
    <t>NNDDGME</t>
  </si>
  <si>
    <t>SMEKEND</t>
  </si>
  <si>
    <t>NEMEDSK</t>
  </si>
  <si>
    <t>ONT</t>
  </si>
  <si>
    <t>NNCNDTN</t>
  </si>
  <si>
    <t>LERAARS</t>
  </si>
  <si>
    <t>RER AAS</t>
  </si>
  <si>
    <t>OHEUGFS</t>
  </si>
  <si>
    <t>JNFENEN</t>
  </si>
  <si>
    <t>INPEK</t>
  </si>
  <si>
    <t>QNCEPKI</t>
  </si>
  <si>
    <t>VREDES</t>
  </si>
  <si>
    <t>EEEVESD</t>
  </si>
  <si>
    <t>KOP</t>
  </si>
  <si>
    <t>QMNPNOK</t>
  </si>
  <si>
    <t>BAM</t>
  </si>
  <si>
    <t>EEEAMOB</t>
  </si>
  <si>
    <t>GEWENT</t>
  </si>
  <si>
    <t>VGNETWN</t>
  </si>
  <si>
    <t>MELEE</t>
  </si>
  <si>
    <t>EUEMSLE</t>
  </si>
  <si>
    <t>BASEDE</t>
  </si>
  <si>
    <t>SOEEAIB</t>
  </si>
  <si>
    <t>NCNJNZN</t>
  </si>
  <si>
    <t>EARL</t>
  </si>
  <si>
    <t>AIOZTLU</t>
  </si>
  <si>
    <t>IJZEN</t>
  </si>
  <si>
    <t>OKZNEID</t>
  </si>
  <si>
    <t>CINEMA</t>
  </si>
  <si>
    <t>NEIMCED</t>
  </si>
  <si>
    <t>CORTEX</t>
  </si>
  <si>
    <t>JJO REX</t>
  </si>
  <si>
    <t>CONGAS</t>
  </si>
  <si>
    <t xml:space="preserve"> NCGAYS</t>
  </si>
  <si>
    <t>VERNAM</t>
  </si>
  <si>
    <t>AUVREMN</t>
  </si>
  <si>
    <t>TONEN</t>
  </si>
  <si>
    <t>NONOYET</t>
  </si>
  <si>
    <t>STREK</t>
  </si>
  <si>
    <t>RDSKDTR</t>
  </si>
  <si>
    <t>BUNNY</t>
  </si>
  <si>
    <t>DNNUYTN</t>
  </si>
  <si>
    <t>WEEE</t>
  </si>
  <si>
    <t>EEEWSEN</t>
  </si>
  <si>
    <t>NN MOAE</t>
  </si>
  <si>
    <t>ORYX</t>
  </si>
  <si>
    <t>YOOXRDI</t>
  </si>
  <si>
    <t>TARWE</t>
  </si>
  <si>
    <t>ERTTENW</t>
  </si>
  <si>
    <t>ZOOP</t>
  </si>
  <si>
    <t>OOKPAZO</t>
  </si>
  <si>
    <t>VERBRAK</t>
  </si>
  <si>
    <t>RRBKAEI</t>
  </si>
  <si>
    <t>SNEP</t>
  </si>
  <si>
    <t>DNNDPSE</t>
  </si>
  <si>
    <t>PAR</t>
  </si>
  <si>
    <t>QCARNZP</t>
  </si>
  <si>
    <t>OORSUIZEN</t>
  </si>
  <si>
    <t>UOINR O</t>
  </si>
  <si>
    <t>OEDXNEN</t>
  </si>
  <si>
    <t>GRIND</t>
  </si>
  <si>
    <t>DRGNMDN</t>
  </si>
  <si>
    <t>AXEL</t>
  </si>
  <si>
    <t>RKLEAEX</t>
  </si>
  <si>
    <t>WE</t>
  </si>
  <si>
    <t>DWNNNLE</t>
  </si>
  <si>
    <t>PEDANTERIEEN</t>
  </si>
  <si>
    <t>QNDEEIA</t>
  </si>
  <si>
    <t>DICTEE</t>
  </si>
  <si>
    <t>CNDAIET</t>
  </si>
  <si>
    <t>DQEOEDJ</t>
  </si>
  <si>
    <t>NNRMNXP</t>
  </si>
  <si>
    <t>VERHOOPTEN</t>
  </si>
  <si>
    <t>LGTNNEP</t>
  </si>
  <si>
    <t>UW</t>
  </si>
  <si>
    <t>QUBAEWA</t>
  </si>
  <si>
    <t>INWIERPEN</t>
  </si>
  <si>
    <t>TPNMEOC</t>
  </si>
  <si>
    <t>DAM</t>
  </si>
  <si>
    <t>DCMDDAO</t>
  </si>
  <si>
    <t>VUREN</t>
  </si>
  <si>
    <t>QENNHUR</t>
  </si>
  <si>
    <t>BODEMT</t>
  </si>
  <si>
    <t>VM OTEB</t>
  </si>
  <si>
    <t>GEBEURD</t>
  </si>
  <si>
    <t>DRGEBUE</t>
  </si>
  <si>
    <t>BOGE</t>
  </si>
  <si>
    <t>OEGBOAQ</t>
  </si>
  <si>
    <t>SCHREI</t>
  </si>
  <si>
    <t>HRLCDSE</t>
  </si>
  <si>
    <t>GESCHREI</t>
  </si>
  <si>
    <t>VELGWKU</t>
  </si>
  <si>
    <t>DNNZNKN</t>
  </si>
  <si>
    <t>SNIJD</t>
  </si>
  <si>
    <t>YDJJS N</t>
  </si>
  <si>
    <t>NUNC</t>
  </si>
  <si>
    <t>VNCTENN</t>
  </si>
  <si>
    <t>GESCANDEERD</t>
  </si>
  <si>
    <t>AENBRFD</t>
  </si>
  <si>
    <t>WRQUITJ</t>
  </si>
  <si>
    <t>TEM</t>
  </si>
  <si>
    <t>NTMRUEE</t>
  </si>
  <si>
    <t>RAD</t>
  </si>
  <si>
    <t>NSTOKAD</t>
  </si>
  <si>
    <t>YES</t>
  </si>
  <si>
    <t>SNYFDEU</t>
  </si>
  <si>
    <t>FAAS</t>
  </si>
  <si>
    <t>OQFASAA</t>
  </si>
  <si>
    <t>NNMPHNR</t>
  </si>
  <si>
    <t>GENEREND</t>
  </si>
  <si>
    <t>NEEENDR</t>
  </si>
  <si>
    <t>NQMCLTJ</t>
  </si>
  <si>
    <t>BELETAGE</t>
  </si>
  <si>
    <t>BE ERTA</t>
  </si>
  <si>
    <t>CITE</t>
  </si>
  <si>
    <t>TISCNNM</t>
  </si>
  <si>
    <t>VAATDOEK</t>
  </si>
  <si>
    <t>OD TEVK</t>
  </si>
  <si>
    <t>KASTRAND</t>
  </si>
  <si>
    <t>GMDTNRV</t>
  </si>
  <si>
    <t>SARA</t>
  </si>
  <si>
    <t>ESAAEAR</t>
  </si>
  <si>
    <t>NYDTORE</t>
  </si>
  <si>
    <t>BABI</t>
  </si>
  <si>
    <t>BNHZFAO</t>
  </si>
  <si>
    <t>MENT</t>
  </si>
  <si>
    <t>NNONETM</t>
  </si>
  <si>
    <t>LYNCH</t>
  </si>
  <si>
    <t>OCLYMAH</t>
  </si>
  <si>
    <t>APENKOOI</t>
  </si>
  <si>
    <t>OKPNIAO</t>
  </si>
  <si>
    <t>STUREN</t>
  </si>
  <si>
    <t>SUTENNR</t>
  </si>
  <si>
    <t>GIJLEN</t>
  </si>
  <si>
    <t>JGYEENL</t>
  </si>
  <si>
    <t>TAPIR</t>
  </si>
  <si>
    <t>TPHNNIA</t>
  </si>
  <si>
    <t>PENS</t>
  </si>
  <si>
    <t>VSSPENK</t>
  </si>
  <si>
    <t>EEL</t>
  </si>
  <si>
    <t>MEALEEA</t>
  </si>
  <si>
    <t>DAG</t>
  </si>
  <si>
    <t>DNJVGON</t>
  </si>
  <si>
    <t>HERPAK</t>
  </si>
  <si>
    <t>AKAKNPN</t>
  </si>
  <si>
    <t>WISTE</t>
  </si>
  <si>
    <t>ROIETSW</t>
  </si>
  <si>
    <t>OODHQBS</t>
  </si>
  <si>
    <t>CYEMIOS</t>
  </si>
  <si>
    <t>MINERALE</t>
  </si>
  <si>
    <t>RMIENEL</t>
  </si>
  <si>
    <t>KWEKEND</t>
  </si>
  <si>
    <t>KKDTNEW</t>
  </si>
  <si>
    <t>BAZIN</t>
  </si>
  <si>
    <t>VZQBPIA</t>
  </si>
  <si>
    <t>NEUZEL</t>
  </si>
  <si>
    <t>NULDAEE</t>
  </si>
  <si>
    <t>NKDAXLB</t>
  </si>
  <si>
    <t>KEGEL</t>
  </si>
  <si>
    <t>EEEELGI</t>
  </si>
  <si>
    <t>EZELSOREN</t>
  </si>
  <si>
    <t>ELEZE N</t>
  </si>
  <si>
    <t>AGAVE</t>
  </si>
  <si>
    <t>QAAGEVA</t>
  </si>
  <si>
    <t>QUARTO</t>
  </si>
  <si>
    <t>ROUQART</t>
  </si>
  <si>
    <t>GRAFE</t>
  </si>
  <si>
    <t>FFGAUEE</t>
  </si>
  <si>
    <t>MIXED</t>
  </si>
  <si>
    <t>MX DZEU</t>
  </si>
  <si>
    <t>WEI</t>
  </si>
  <si>
    <t>QVILEWA</t>
  </si>
  <si>
    <t>CQIAOGO</t>
  </si>
  <si>
    <t>STEM</t>
  </si>
  <si>
    <t>TMSMWFE</t>
  </si>
  <si>
    <t>SECANTEN</t>
  </si>
  <si>
    <t>STNEACN</t>
  </si>
  <si>
    <t>TEXTE</t>
  </si>
  <si>
    <t>EEEQFXT</t>
  </si>
  <si>
    <t>ME</t>
  </si>
  <si>
    <t xml:space="preserve"> EEMLDN</t>
  </si>
  <si>
    <t>TINWERK</t>
  </si>
  <si>
    <t>OWEKRUN</t>
  </si>
  <si>
    <t>RAZENDER</t>
  </si>
  <si>
    <t>ENRZDEA</t>
  </si>
  <si>
    <t>HOOG</t>
  </si>
  <si>
    <t>DOGHGNE</t>
  </si>
  <si>
    <t>KNECHT</t>
  </si>
  <si>
    <t>RDNECTK</t>
  </si>
  <si>
    <t>NYLON</t>
  </si>
  <si>
    <t>QRLNOYV</t>
  </si>
  <si>
    <t>DUL</t>
  </si>
  <si>
    <t>ESUTNDA</t>
  </si>
  <si>
    <t>VOEGE</t>
  </si>
  <si>
    <t>IOIVEGM</t>
  </si>
  <si>
    <t>VEELT</t>
  </si>
  <si>
    <t>NOWEVTN</t>
  </si>
  <si>
    <t>BEDELF</t>
  </si>
  <si>
    <t>NBFBDRN</t>
  </si>
  <si>
    <t>DEUCE</t>
  </si>
  <si>
    <t>RECEUEE</t>
  </si>
  <si>
    <t>WENDE</t>
  </si>
  <si>
    <t>QJDVWEN</t>
  </si>
  <si>
    <t>INSTUWT</t>
  </si>
  <si>
    <t>URINWTT</t>
  </si>
  <si>
    <t>HUTJE</t>
  </si>
  <si>
    <t>JQUNNHE</t>
  </si>
  <si>
    <t>LOGT</t>
  </si>
  <si>
    <t>OELTGQW</t>
  </si>
  <si>
    <t>EENDJE</t>
  </si>
  <si>
    <t>FNEKDJE</t>
  </si>
  <si>
    <t>SOP</t>
  </si>
  <si>
    <t>VVJSSOS</t>
  </si>
  <si>
    <t>IADE</t>
  </si>
  <si>
    <t>AQEIEFD</t>
  </si>
  <si>
    <t>DJAK</t>
  </si>
  <si>
    <t>EEEADJK</t>
  </si>
  <si>
    <t>DUNKT</t>
  </si>
  <si>
    <t>TNKTULI</t>
  </si>
  <si>
    <t>NNNEEAJ</t>
  </si>
  <si>
    <t>GOEEKTX</t>
  </si>
  <si>
    <t>VZHUSHO</t>
  </si>
  <si>
    <t>BANKTE</t>
  </si>
  <si>
    <t>KEBTNNA</t>
  </si>
  <si>
    <t>ZEUL</t>
  </si>
  <si>
    <t>NNLUEDS</t>
  </si>
  <si>
    <t>SAAVFOI</t>
  </si>
  <si>
    <t>WETTE</t>
  </si>
  <si>
    <t>RWNNTEE</t>
  </si>
  <si>
    <t>BICS</t>
  </si>
  <si>
    <t>CEINRSB</t>
  </si>
  <si>
    <t>NNDLNXT</t>
  </si>
  <si>
    <t>IOEDUQE</t>
  </si>
  <si>
    <t>GEBOEKT</t>
  </si>
  <si>
    <t>KEBTOGE</t>
  </si>
  <si>
    <t>DNVAAAR</t>
  </si>
  <si>
    <t>AMOEBEN</t>
  </si>
  <si>
    <t>EHOEBNM</t>
  </si>
  <si>
    <t>TORX</t>
  </si>
  <si>
    <t>XDORVTN</t>
  </si>
  <si>
    <t>PAD</t>
  </si>
  <si>
    <t>NAANDEE</t>
  </si>
  <si>
    <t>HAR</t>
  </si>
  <si>
    <t>DARHIEN</t>
  </si>
  <si>
    <t>NNNSNAP</t>
  </si>
  <si>
    <t>ZEE</t>
  </si>
  <si>
    <t>NDETAAZ</t>
  </si>
  <si>
    <t>VERJARE</t>
  </si>
  <si>
    <t>UVEAREJ</t>
  </si>
  <si>
    <t>AANKLEM</t>
  </si>
  <si>
    <t>A AMKLN</t>
  </si>
  <si>
    <t>MA</t>
  </si>
  <si>
    <t>NOOEANM</t>
  </si>
  <si>
    <t>VADER</t>
  </si>
  <si>
    <t>QOADRVE</t>
  </si>
  <si>
    <t>RONDSLAG</t>
  </si>
  <si>
    <t>RNSOA G</t>
  </si>
  <si>
    <t>NAUW</t>
  </si>
  <si>
    <t>UJWAVON</t>
  </si>
  <si>
    <t>NXVCMSO</t>
  </si>
  <si>
    <t>SJNTKZN</t>
  </si>
  <si>
    <t>RUZIEND</t>
  </si>
  <si>
    <t>NZDIUTE</t>
  </si>
  <si>
    <t>KRAP</t>
  </si>
  <si>
    <t>QNRRDKP</t>
  </si>
  <si>
    <t>CEDER</t>
  </si>
  <si>
    <t>RJCERZE</t>
  </si>
  <si>
    <t>GAP</t>
  </si>
  <si>
    <t>MNAOGPA</t>
  </si>
  <si>
    <t>DDMENZX</t>
  </si>
  <si>
    <t>REN</t>
  </si>
  <si>
    <t>NSNIORE</t>
  </si>
  <si>
    <t>NAGEDANE</t>
  </si>
  <si>
    <t>ANAEGDN</t>
  </si>
  <si>
    <t>NEGEN</t>
  </si>
  <si>
    <t>NEMEENS</t>
  </si>
  <si>
    <t>AKE</t>
  </si>
  <si>
    <t>ACKENEO</t>
  </si>
  <si>
    <t>RB MOZT</t>
  </si>
  <si>
    <t>NAIEF</t>
  </si>
  <si>
    <t>ZUEFCEN</t>
  </si>
  <si>
    <t>DOK</t>
  </si>
  <si>
    <t>NDONQTK</t>
  </si>
  <si>
    <t>NET</t>
  </si>
  <si>
    <t>ANNAETN</t>
  </si>
  <si>
    <t>QSOTKNS</t>
  </si>
  <si>
    <t>KCEEOQE</t>
  </si>
  <si>
    <t>PAUZEREN</t>
  </si>
  <si>
    <t xml:space="preserve">REPUNZ </t>
  </si>
  <si>
    <t>NEREN</t>
  </si>
  <si>
    <t>RREENNE</t>
  </si>
  <si>
    <t>BINNEN</t>
  </si>
  <si>
    <t>ERENNEM</t>
  </si>
  <si>
    <t>ELK</t>
  </si>
  <si>
    <t>LOEKIKA</t>
  </si>
  <si>
    <t>VEJEUNA</t>
  </si>
  <si>
    <t>EPA</t>
  </si>
  <si>
    <t>DDDOPAE</t>
  </si>
  <si>
    <t>ZENUW</t>
  </si>
  <si>
    <t>QNUZNWF</t>
  </si>
  <si>
    <t>FQIRTAJ</t>
  </si>
  <si>
    <t>GESEINDE</t>
  </si>
  <si>
    <t>S DNEIE</t>
  </si>
  <si>
    <t>VASTNAM</t>
  </si>
  <si>
    <t>RANASTV</t>
  </si>
  <si>
    <t>COX</t>
  </si>
  <si>
    <t>OCNZXTE</t>
  </si>
  <si>
    <t>TRY</t>
  </si>
  <si>
    <t>DDVDRTY</t>
  </si>
  <si>
    <t>QNNEATF</t>
  </si>
  <si>
    <t>RDLNLAY</t>
  </si>
  <si>
    <t>BODE</t>
  </si>
  <si>
    <t>EDNOFOB</t>
  </si>
  <si>
    <t>LSNNNNC</t>
  </si>
  <si>
    <t>NNBWWMQ</t>
  </si>
  <si>
    <t>FIN</t>
  </si>
  <si>
    <t>QNFIOOI</t>
  </si>
  <si>
    <t>ARM</t>
  </si>
  <si>
    <t>NADRSVM</t>
  </si>
  <si>
    <t>OGEN</t>
  </si>
  <si>
    <t>NUGAEEO</t>
  </si>
  <si>
    <t>JNAODTR</t>
  </si>
  <si>
    <t>QGHNSRE</t>
  </si>
  <si>
    <t>STEKEND</t>
  </si>
  <si>
    <t>KEETDNZ</t>
  </si>
  <si>
    <t>SOESA</t>
  </si>
  <si>
    <t>SSOVG A</t>
  </si>
  <si>
    <t>DLENNEN</t>
  </si>
  <si>
    <t>DQGOAVK</t>
  </si>
  <si>
    <t>JAP</t>
  </si>
  <si>
    <t>AEPJBET</t>
  </si>
  <si>
    <t>DREDCRE</t>
  </si>
  <si>
    <t>GEKNEDEN</t>
  </si>
  <si>
    <t>DKNEGEE</t>
  </si>
  <si>
    <t>EVENT</t>
  </si>
  <si>
    <t>ANEDEVE</t>
  </si>
  <si>
    <t>WEIEN</t>
  </si>
  <si>
    <t>WEOINLE</t>
  </si>
  <si>
    <t>FTES</t>
  </si>
  <si>
    <t>QDFTDSE</t>
  </si>
  <si>
    <t>UEGWEOE</t>
  </si>
  <si>
    <t>CELLIJN</t>
  </si>
  <si>
    <t>CLHL EJ</t>
  </si>
  <si>
    <t>OKRA</t>
  </si>
  <si>
    <t>VIKIAGR</t>
  </si>
  <si>
    <t>WASEM</t>
  </si>
  <si>
    <t>EAIOWQS</t>
  </si>
  <si>
    <t>HIT</t>
  </si>
  <si>
    <t>EHCIXOI</t>
  </si>
  <si>
    <t>HUSKY</t>
  </si>
  <si>
    <t>UDYKMEH</t>
  </si>
  <si>
    <t>WOONDEN</t>
  </si>
  <si>
    <t>OOFNWED</t>
  </si>
  <si>
    <t>PUNTJE</t>
  </si>
  <si>
    <t>KNETPJM</t>
  </si>
  <si>
    <t>ZENGE</t>
  </si>
  <si>
    <t>NPNLTZC</t>
  </si>
  <si>
    <t>NAZIN</t>
  </si>
  <si>
    <t>AOZDIIN</t>
  </si>
  <si>
    <t>QUEUE</t>
  </si>
  <si>
    <t>QEUUPON</t>
  </si>
  <si>
    <t>ZIJPEN</t>
  </si>
  <si>
    <t>KEPRZIN</t>
  </si>
  <si>
    <t>QEEOGNR</t>
  </si>
  <si>
    <t>WIJDDEN</t>
  </si>
  <si>
    <t>NNDDEIJ</t>
  </si>
  <si>
    <t>ZDNE OO</t>
  </si>
  <si>
    <t>NCNDNOV</t>
  </si>
  <si>
    <t>ZWAAI</t>
  </si>
  <si>
    <t>UIZWAID</t>
  </si>
  <si>
    <t>FULP</t>
  </si>
  <si>
    <t>OHUFSEL</t>
  </si>
  <si>
    <t>BEEF</t>
  </si>
  <si>
    <t>NFNENNB</t>
  </si>
  <si>
    <t>CASHEN</t>
  </si>
  <si>
    <t xml:space="preserve">QCHNLA </t>
  </si>
  <si>
    <t>GEDEKTE</t>
  </si>
  <si>
    <t>EETKGED</t>
  </si>
  <si>
    <t>MEN</t>
  </si>
  <si>
    <t>QMNNLEU</t>
  </si>
  <si>
    <t>AGOGE</t>
  </si>
  <si>
    <t>EEEOAGG</t>
  </si>
  <si>
    <t>ZAAN</t>
  </si>
  <si>
    <t>VNVAOZA</t>
  </si>
  <si>
    <t>STUF</t>
  </si>
  <si>
    <t>USCRTED</t>
  </si>
  <si>
    <t>OIJQNPD</t>
  </si>
  <si>
    <t>CNJNNKG</t>
  </si>
  <si>
    <t>INZOUT</t>
  </si>
  <si>
    <t>IOZTUAA</t>
  </si>
  <si>
    <t>KICKS</t>
  </si>
  <si>
    <t>OKDKCMS</t>
  </si>
  <si>
    <t>ONS</t>
  </si>
  <si>
    <t>MEDONSS</t>
  </si>
  <si>
    <t>TUKJE</t>
  </si>
  <si>
    <t>JJEKTUH</t>
  </si>
  <si>
    <t>YJEENED</t>
  </si>
  <si>
    <t>UZWKTGD</t>
  </si>
  <si>
    <t>COENZYM</t>
  </si>
  <si>
    <t>OYEMZCA</t>
  </si>
  <si>
    <t>RODE</t>
  </si>
  <si>
    <t>DDRNTEO</t>
  </si>
  <si>
    <t>WETEND</t>
  </si>
  <si>
    <t>DTNAENE</t>
  </si>
  <si>
    <t>EESTEN</t>
  </si>
  <si>
    <t>SENETSE</t>
  </si>
  <si>
    <t>EAUX</t>
  </si>
  <si>
    <t>NN OAEU</t>
  </si>
  <si>
    <t>ZOAB</t>
  </si>
  <si>
    <t>ODIBSZA</t>
  </si>
  <si>
    <t>TENENEF</t>
  </si>
  <si>
    <t>DOEZEL</t>
  </si>
  <si>
    <t>KAOLEEE</t>
  </si>
  <si>
    <t>TIC</t>
  </si>
  <si>
    <t>ITQNICN</t>
  </si>
  <si>
    <t>FENDER</t>
  </si>
  <si>
    <t>DNDEFRE</t>
  </si>
  <si>
    <t>ZONGEN</t>
  </si>
  <si>
    <t>QCNZGNE</t>
  </si>
  <si>
    <t>BOEREN</t>
  </si>
  <si>
    <t>EOJRNRB</t>
  </si>
  <si>
    <t>POWER</t>
  </si>
  <si>
    <t>ODNENWP</t>
  </si>
  <si>
    <t>MDNWKCM</t>
  </si>
  <si>
    <t>STERKS</t>
  </si>
  <si>
    <t>RKESNTS</t>
  </si>
  <si>
    <t>TYPEN</t>
  </si>
  <si>
    <t>DNNNLJR</t>
  </si>
  <si>
    <t>QUORN</t>
  </si>
  <si>
    <t>QDAUNRN</t>
  </si>
  <si>
    <t>INNAM</t>
  </si>
  <si>
    <t>NADMJAI</t>
  </si>
  <si>
    <t>DQODDEE</t>
  </si>
  <si>
    <t>SKIN</t>
  </si>
  <si>
    <t>NNRNPKS</t>
  </si>
  <si>
    <t>GRILLPAN</t>
  </si>
  <si>
    <t>LGNPRIA</t>
  </si>
  <si>
    <t>LEBA</t>
  </si>
  <si>
    <t>QBAEAZI</t>
  </si>
  <si>
    <t>PALMT</t>
  </si>
  <si>
    <t>TPMOCGN</t>
  </si>
  <si>
    <t>COL</t>
  </si>
  <si>
    <t>CDDOEEJ</t>
  </si>
  <si>
    <t>HYENA</t>
  </si>
  <si>
    <t>QNHANYG</t>
  </si>
  <si>
    <t>VERWEN</t>
  </si>
  <si>
    <t>VEMJEWN</t>
  </si>
  <si>
    <t>MENCMTN</t>
  </si>
  <si>
    <t>RIA</t>
  </si>
  <si>
    <t>OAQIRZN</t>
  </si>
  <si>
    <t>GRENDELS</t>
  </si>
  <si>
    <t>LDENESR</t>
  </si>
  <si>
    <t>OPDUW</t>
  </si>
  <si>
    <t>VLWKUAD</t>
  </si>
  <si>
    <t>HOOIDEN</t>
  </si>
  <si>
    <t>DNNKNSA</t>
  </si>
  <si>
    <t>GIJNEN</t>
  </si>
  <si>
    <t>YJEVGDN</t>
  </si>
  <si>
    <t>GIN</t>
  </si>
  <si>
    <t>VTENION</t>
  </si>
  <si>
    <t>PIAS</t>
  </si>
  <si>
    <t>ANBFIPS</t>
  </si>
  <si>
    <t>WRTJO E</t>
  </si>
  <si>
    <t>RUIGE</t>
  </si>
  <si>
    <t>NRUESIG</t>
  </si>
  <si>
    <t>AT</t>
  </si>
  <si>
    <t>NSTOKAE</t>
  </si>
  <si>
    <t>FUSERE</t>
  </si>
  <si>
    <t>NFDUNIS</t>
  </si>
  <si>
    <t>PRAAT</t>
  </si>
  <si>
    <t>OQAK WP</t>
  </si>
  <si>
    <t>HUM</t>
  </si>
  <si>
    <t>NNMHNNU</t>
  </si>
  <si>
    <t>EKZEOLC</t>
  </si>
  <si>
    <t>DOM</t>
  </si>
  <si>
    <t>NQMTJOD</t>
  </si>
  <si>
    <t>RTNZOSE</t>
  </si>
  <si>
    <t>SHEET</t>
  </si>
  <si>
    <t>SNNMEEH</t>
  </si>
  <si>
    <t>KWIJT</t>
  </si>
  <si>
    <t>IOQJKTW</t>
  </si>
  <si>
    <t>WEGVIEL</t>
  </si>
  <si>
    <t>GMVWELE</t>
  </si>
  <si>
    <t>DOERAK</t>
  </si>
  <si>
    <t>EEAKQOD</t>
  </si>
  <si>
    <t>TOEKOMEN</t>
  </si>
  <si>
    <t>NTOEEMK</t>
  </si>
  <si>
    <t>NHZFOMF</t>
  </si>
  <si>
    <t>NONGPLG</t>
  </si>
  <si>
    <t>HAMAS</t>
  </si>
  <si>
    <t>OMASAHS</t>
  </si>
  <si>
    <t>NEQLFEE</t>
  </si>
  <si>
    <t>GEVORKT</t>
  </si>
  <si>
    <t>NKETVGR</t>
  </si>
  <si>
    <t>YEIESNG</t>
  </si>
  <si>
    <t>HNNAOBU</t>
  </si>
  <si>
    <t>VSKCG X</t>
  </si>
  <si>
    <t>MAEADEF</t>
  </si>
  <si>
    <t>VOT</t>
  </si>
  <si>
    <t>NJVONTN</t>
  </si>
  <si>
    <t>MANKENDE</t>
  </si>
  <si>
    <t>AKNNEDE</t>
  </si>
  <si>
    <t>DIEFT</t>
  </si>
  <si>
    <t>ROTF ID</t>
  </si>
  <si>
    <t>BIPS</t>
  </si>
  <si>
    <t>ODQBSPN</t>
  </si>
  <si>
    <t>MICRO</t>
  </si>
  <si>
    <t>CMIOEEU</t>
  </si>
  <si>
    <t>A BMORZ</t>
  </si>
  <si>
    <t>THJEZVS</t>
  </si>
  <si>
    <t>VQPJAXE</t>
  </si>
  <si>
    <t>JAGEND</t>
  </si>
  <si>
    <t>DANGCED</t>
  </si>
  <si>
    <t>NKDXBDE</t>
  </si>
  <si>
    <t>GEHEID</t>
  </si>
  <si>
    <t xml:space="preserve">EEIGSH </t>
  </si>
  <si>
    <t>INS</t>
  </si>
  <si>
    <t>UNKNNSI</t>
  </si>
  <si>
    <t>AYA</t>
  </si>
  <si>
    <t>QATUEYM</t>
  </si>
  <si>
    <t>BEZAT</t>
  </si>
  <si>
    <t>RNZJEBA</t>
  </si>
  <si>
    <t>FOX</t>
  </si>
  <si>
    <t>FUEXOOJ</t>
  </si>
  <si>
    <t>MOSSIGE</t>
  </si>
  <si>
    <t>ZUGESMO</t>
  </si>
  <si>
    <t>VALS</t>
  </si>
  <si>
    <t>QVLAEEA</t>
  </si>
  <si>
    <t>QIGOHPG</t>
  </si>
  <si>
    <t>ZWEMT</t>
  </si>
  <si>
    <t>MWFNTYZ</t>
  </si>
  <si>
    <t>GUT</t>
  </si>
  <si>
    <t>GEGU AK</t>
  </si>
  <si>
    <t>OF</t>
  </si>
  <si>
    <t>EQFCEMO</t>
  </si>
  <si>
    <t xml:space="preserve"> EELDND</t>
  </si>
  <si>
    <t>OCULERE</t>
  </si>
  <si>
    <t>OUERCLE</t>
  </si>
  <si>
    <t>DAB</t>
  </si>
  <si>
    <t>LTBPDMI</t>
  </si>
  <si>
    <t>DEGENE</t>
  </si>
  <si>
    <t>DGNENEQ</t>
  </si>
  <si>
    <t>WENDBAAR</t>
  </si>
  <si>
    <t>RDAWAEB</t>
  </si>
  <si>
    <t>QRVNSAS</t>
  </si>
  <si>
    <t>BESTAAN</t>
  </si>
  <si>
    <t>ESTNAAB</t>
  </si>
  <si>
    <t>PI</t>
  </si>
  <si>
    <t>IIMUFEP</t>
  </si>
  <si>
    <t>WAS</t>
  </si>
  <si>
    <t>NOWNAEM</t>
  </si>
  <si>
    <t>NBRNKZT</t>
  </si>
  <si>
    <t>REEEFAA</t>
  </si>
  <si>
    <t>HAVE</t>
  </si>
  <si>
    <t>QJVTENH</t>
  </si>
  <si>
    <t>MEST</t>
  </si>
  <si>
    <t>RNMETSD</t>
  </si>
  <si>
    <t>ZEMEN</t>
  </si>
  <si>
    <t>QNNOEEM</t>
  </si>
  <si>
    <t>ROW</t>
  </si>
  <si>
    <t>EQWKRJR</t>
  </si>
  <si>
    <t>FNKPNES</t>
  </si>
  <si>
    <t>AR</t>
  </si>
  <si>
    <t>VVJSSRM</t>
  </si>
  <si>
    <t>DEFECT</t>
  </si>
  <si>
    <t>QEFTCAD</t>
  </si>
  <si>
    <t>LANGS</t>
  </si>
  <si>
    <t>EEEANSL</t>
  </si>
  <si>
    <t>PEELT</t>
  </si>
  <si>
    <t>TLIEEPE</t>
  </si>
  <si>
    <t>JONNEN</t>
  </si>
  <si>
    <t>NNEAJ N</t>
  </si>
  <si>
    <t>GEFOKTE</t>
  </si>
  <si>
    <t>GOEEKTF</t>
  </si>
  <si>
    <t>VZUHEED</t>
  </si>
  <si>
    <t>NEGE</t>
  </si>
  <si>
    <t>ENGEQNA</t>
  </si>
  <si>
    <t>WAND</t>
  </si>
  <si>
    <t xml:space="preserve">NNDSNW </t>
  </si>
  <si>
    <t>WIK</t>
  </si>
  <si>
    <t>SOIEWOH</t>
  </si>
  <si>
    <t>HEROS</t>
  </si>
  <si>
    <t>RNNBSHN</t>
  </si>
  <si>
    <t>EZELIN</t>
  </si>
  <si>
    <t>ENRRJLZ</t>
  </si>
  <si>
    <t>NNDNTCG</t>
  </si>
  <si>
    <t>CIRE</t>
  </si>
  <si>
    <t>IDECNUN</t>
  </si>
  <si>
    <t>EXQUIS</t>
  </si>
  <si>
    <t>GUQSIXO</t>
  </si>
  <si>
    <t>ANITA</t>
  </si>
  <si>
    <t>DNAAART</t>
  </si>
  <si>
    <t>HWNKMND</t>
  </si>
  <si>
    <t>DVNSQVG</t>
  </si>
  <si>
    <t>DREUNEN</t>
  </si>
  <si>
    <t>NANEERU</t>
  </si>
  <si>
    <t>DAIENIA</t>
  </si>
  <si>
    <t>PF</t>
  </si>
  <si>
    <t>NNNNPWE</t>
  </si>
  <si>
    <t>NDTAAEN</t>
  </si>
  <si>
    <t>OUT</t>
  </si>
  <si>
    <t>U WSQCO</t>
  </si>
  <si>
    <t>HU</t>
  </si>
  <si>
    <t>HEGUPEN</t>
  </si>
  <si>
    <t>LINNE</t>
  </si>
  <si>
    <t>NOOENMI</t>
  </si>
  <si>
    <t>QOSEEFJ</t>
  </si>
  <si>
    <t>GEZET</t>
  </si>
  <si>
    <t>QZTJEYG</t>
  </si>
  <si>
    <t>JAVOKNX</t>
  </si>
  <si>
    <t>SIC</t>
  </si>
  <si>
    <t>NXVCSEI</t>
  </si>
  <si>
    <t>JAK</t>
  </si>
  <si>
    <t>SJTKNLA</t>
  </si>
  <si>
    <t>GENEPT</t>
  </si>
  <si>
    <t>TGNPEEN</t>
  </si>
  <si>
    <t>QNRDEER</t>
  </si>
  <si>
    <t>GARF</t>
  </si>
  <si>
    <t>JRZAIFW</t>
  </si>
  <si>
    <t>MNOATEE</t>
  </si>
  <si>
    <t>MAS</t>
  </si>
  <si>
    <t>DDMNZAS</t>
  </si>
  <si>
    <t>NOES</t>
  </si>
  <si>
    <t>NSNIOEO</t>
  </si>
  <si>
    <t>GAJE</t>
  </si>
  <si>
    <t>AEJEE L</t>
  </si>
  <si>
    <t>MESGDEL</t>
  </si>
  <si>
    <t>CORNER</t>
  </si>
  <si>
    <t>CNEORRT</t>
  </si>
  <si>
    <t>WARIMBO</t>
  </si>
  <si>
    <t>RB MOAI</t>
  </si>
  <si>
    <t>CLAUSEN</t>
  </si>
  <si>
    <t>ZUCEANL</t>
  </si>
  <si>
    <t>TEXT</t>
  </si>
  <si>
    <t>NNQTTVE</t>
  </si>
  <si>
    <t>AD</t>
  </si>
  <si>
    <t>ANANIDN</t>
  </si>
  <si>
    <t>OKNSTBA</t>
  </si>
  <si>
    <t>CAPEJE</t>
  </si>
  <si>
    <t>CQEEA A</t>
  </si>
  <si>
    <t>DUIMDEN</t>
  </si>
  <si>
    <t>EDMUWDN</t>
  </si>
  <si>
    <t>DENDERT</t>
  </si>
  <si>
    <t>RENJDTD</t>
  </si>
  <si>
    <t>EMENDEER</t>
  </si>
  <si>
    <t>ERENEME</t>
  </si>
  <si>
    <t>INKOKE</t>
  </si>
  <si>
    <t>OIKAVKE</t>
  </si>
  <si>
    <t>VEUASNT</t>
  </si>
  <si>
    <t>CODON</t>
  </si>
  <si>
    <t>DDDOOWC</t>
  </si>
  <si>
    <t>QNFEAEE</t>
  </si>
  <si>
    <t>RIJ</t>
  </si>
  <si>
    <t>FIRJRAN</t>
  </si>
  <si>
    <t>DUO</t>
  </si>
  <si>
    <t>UDVENEA</t>
  </si>
  <si>
    <t>SFEER</t>
  </si>
  <si>
    <t>RENPEAF</t>
  </si>
  <si>
    <t>OPENZET</t>
  </si>
  <si>
    <t>ONZTEQP</t>
  </si>
  <si>
    <t>END</t>
  </si>
  <si>
    <t>DDVDEND</t>
  </si>
  <si>
    <t>NNEF OE</t>
  </si>
  <si>
    <t>ALLA</t>
  </si>
  <si>
    <t>DLLAARJ</t>
  </si>
  <si>
    <t>ELCO</t>
  </si>
  <si>
    <t>NFONEOC</t>
  </si>
  <si>
    <t>ECHOEND</t>
  </si>
  <si>
    <t>SNNNNDE</t>
  </si>
  <si>
    <t>NNBWQTT</t>
  </si>
  <si>
    <t>EIS</t>
  </si>
  <si>
    <t>QOOINSE</t>
  </si>
  <si>
    <t>VERSNEL</t>
  </si>
  <si>
    <t>NDSVERL</t>
  </si>
  <si>
    <t>ECU</t>
  </si>
  <si>
    <t>UAECNAG</t>
  </si>
  <si>
    <t>PU</t>
  </si>
  <si>
    <t>NAODTRU</t>
  </si>
  <si>
    <t>GOS</t>
  </si>
  <si>
    <t>QGNSRDO</t>
  </si>
  <si>
    <t>ZJEGENT</t>
  </si>
  <si>
    <t>VIVO</t>
  </si>
  <si>
    <t>VGIVRRE</t>
  </si>
  <si>
    <t>LENIGDEN</t>
  </si>
  <si>
    <t>DLENENG</t>
  </si>
  <si>
    <t>NEG</t>
  </si>
  <si>
    <t>GOVKLEN</t>
  </si>
  <si>
    <t>TOMBE</t>
  </si>
  <si>
    <t>AEBETOD</t>
  </si>
  <si>
    <t>DORRE</t>
  </si>
  <si>
    <t>DREERFO</t>
  </si>
  <si>
    <t>MINI</t>
  </si>
  <si>
    <t>LMNIOQI</t>
  </si>
  <si>
    <t>RADAR</t>
  </si>
  <si>
    <t>ADEORAR</t>
  </si>
  <si>
    <t>PUNTLOZE</t>
  </si>
  <si>
    <t>ONLE TU</t>
  </si>
  <si>
    <t>QDDSACE</t>
  </si>
  <si>
    <t>OBI</t>
  </si>
  <si>
    <t>GEOEMBL</t>
  </si>
  <si>
    <t>HITSE</t>
  </si>
  <si>
    <t>HIUAEST</t>
  </si>
  <si>
    <t>PIT</t>
  </si>
  <si>
    <t>VIIGPKT</t>
  </si>
  <si>
    <t>KNOEIDE</t>
  </si>
  <si>
    <t>IOQDEEN</t>
  </si>
  <si>
    <t>ECXOIWC</t>
  </si>
  <si>
    <t>DMENTLR</t>
  </si>
  <si>
    <t>INFANT</t>
  </si>
  <si>
    <t>FANPNEI</t>
  </si>
  <si>
    <t>VERVE</t>
  </si>
  <si>
    <t>KMRH VV</t>
  </si>
  <si>
    <t>TELEX</t>
  </si>
  <si>
    <t>PNLTCXR</t>
  </si>
  <si>
    <t>DOVIGE</t>
  </si>
  <si>
    <t>ODIGVEU</t>
  </si>
  <si>
    <t>SPROTEN</t>
  </si>
  <si>
    <t>PONRSET</t>
  </si>
  <si>
    <t>SPRAK</t>
  </si>
  <si>
    <t>KRSROEP</t>
  </si>
  <si>
    <t>HONGEREN</t>
  </si>
  <si>
    <t>EEOGNRH</t>
  </si>
  <si>
    <t>GRIME</t>
  </si>
  <si>
    <t>NRIEMGY</t>
  </si>
  <si>
    <t>WOONCODE</t>
  </si>
  <si>
    <t>DN OOOW</t>
  </si>
  <si>
    <t>MANX</t>
  </si>
  <si>
    <t>NNDNCMA</t>
  </si>
  <si>
    <t>UIDKQEH</t>
  </si>
  <si>
    <t>LOSHEDEN</t>
  </si>
  <si>
    <t>OHSEN D</t>
  </si>
  <si>
    <t>NNNNRME</t>
  </si>
  <si>
    <t>LASSEN</t>
  </si>
  <si>
    <t>QLSNASO</t>
  </si>
  <si>
    <t>OXNNTOA</t>
  </si>
  <si>
    <t>TUIL</t>
  </si>
  <si>
    <t>QNLUIVI</t>
  </si>
  <si>
    <t>EERPAZN</t>
  </si>
  <si>
    <t>VVOAQNP</t>
  </si>
  <si>
    <t>RECTO</t>
  </si>
  <si>
    <t>CRTEDOE</t>
  </si>
  <si>
    <t>PROZA</t>
  </si>
  <si>
    <t>OQNPMAR</t>
  </si>
  <si>
    <t>PROZAC</t>
  </si>
  <si>
    <t>CNNNGGD</t>
  </si>
  <si>
    <t>AAMNVSO</t>
  </si>
  <si>
    <t>MIDI</t>
  </si>
  <si>
    <t>ODMTIGD</t>
  </si>
  <si>
    <t>BEZEMS</t>
  </si>
  <si>
    <t>MEDSEQB</t>
  </si>
  <si>
    <t>JHOOGUN</t>
  </si>
  <si>
    <t>JEEEDEV</t>
  </si>
  <si>
    <t>GEZOEK</t>
  </si>
  <si>
    <t>ZKTGDEE</t>
  </si>
  <si>
    <t>A HMPVE</t>
  </si>
  <si>
    <t>NIPTE</t>
  </si>
  <si>
    <t>DNTNIPE</t>
  </si>
  <si>
    <t>GANDER</t>
  </si>
  <si>
    <t>ANEGROD</t>
  </si>
  <si>
    <t>BLES</t>
  </si>
  <si>
    <t>SCEQBLV</t>
  </si>
  <si>
    <t>JAS</t>
  </si>
  <si>
    <t>NN OJEE</t>
  </si>
  <si>
    <t>CASSIS</t>
  </si>
  <si>
    <t xml:space="preserve">DISSSC </t>
  </si>
  <si>
    <t>MENDELT</t>
  </si>
  <si>
    <t>TENELMD</t>
  </si>
  <si>
    <t>CAKE</t>
  </si>
  <si>
    <t>KAECUID</t>
  </si>
  <si>
    <t>CARNE</t>
  </si>
  <si>
    <t>QNINECA</t>
  </si>
  <si>
    <t>MEDOC</t>
  </si>
  <si>
    <t>DHEMOOE</t>
  </si>
  <si>
    <t>ADER</t>
  </si>
  <si>
    <t>QCNAEDD</t>
  </si>
  <si>
    <t>BEKER</t>
  </si>
  <si>
    <t>JRBFKEE</t>
  </si>
  <si>
    <t>DUNNENDE</t>
  </si>
  <si>
    <t>DNENUEN</t>
  </si>
  <si>
    <t>DUCK</t>
  </si>
  <si>
    <t>DNWKCME</t>
  </si>
  <si>
    <t>NTNVQAN</t>
  </si>
  <si>
    <t>DRINK</t>
  </si>
  <si>
    <t>DNNLJRI</t>
  </si>
  <si>
    <t>SAZ</t>
  </si>
  <si>
    <t>DANWZZS</t>
  </si>
  <si>
    <t>LEITJE</t>
  </si>
  <si>
    <t>DJALDET</t>
  </si>
  <si>
    <t>QODER E</t>
  </si>
  <si>
    <t>URM</t>
  </si>
  <si>
    <t>NNRNPUM</t>
  </si>
  <si>
    <t>DERDE</t>
  </si>
  <si>
    <t>EJRODDE</t>
  </si>
  <si>
    <t>NAZI</t>
  </si>
  <si>
    <t>QAZIYZI</t>
  </si>
  <si>
    <t>CO</t>
  </si>
  <si>
    <t>OCGNEEE</t>
  </si>
  <si>
    <t>DDEEJSA</t>
  </si>
  <si>
    <t>SIENA</t>
  </si>
  <si>
    <t>QNGNDES</t>
  </si>
  <si>
    <t>MJNRNCD</t>
  </si>
  <si>
    <t>PIJNDEN</t>
  </si>
  <si>
    <t>MCMNVOS</t>
  </si>
  <si>
    <t>SOZEN</t>
  </si>
  <si>
    <t>OQZNSEO</t>
  </si>
  <si>
    <t xml:space="preserve">QAEREH </t>
  </si>
  <si>
    <t>VLAAG</t>
  </si>
  <si>
    <t>VLKAADG</t>
  </si>
  <si>
    <t>DNKNSAE</t>
  </si>
  <si>
    <t>YVDGWEG</t>
  </si>
  <si>
    <t>ONVERLET</t>
  </si>
  <si>
    <t>VTEONLE</t>
  </si>
  <si>
    <t>TOB</t>
  </si>
  <si>
    <t>NBFONTI</t>
  </si>
  <si>
    <t>DJORKTE</t>
  </si>
  <si>
    <t>RTJO ED</t>
  </si>
  <si>
    <t>SERGE</t>
  </si>
  <si>
    <t>NESGRWE</t>
  </si>
  <si>
    <t>OGE</t>
  </si>
  <si>
    <t>NSTOKEO</t>
  </si>
  <si>
    <t>LID</t>
  </si>
  <si>
    <t>NDNILMA</t>
  </si>
  <si>
    <t>OKE</t>
  </si>
  <si>
    <t>OQKWEUA</t>
  </si>
  <si>
    <t>NAZENDT</t>
  </si>
  <si>
    <t>NNNNOEA</t>
  </si>
  <si>
    <t>INZONK</t>
  </si>
  <si>
    <t>KZEOINA</t>
  </si>
  <si>
    <t>NQTJHOG</t>
  </si>
  <si>
    <t>ONTSIEREN</t>
  </si>
  <si>
    <t>RTNOSEI</t>
  </si>
  <si>
    <t>BENOMEN</t>
  </si>
  <si>
    <t>NNMOEEX</t>
  </si>
  <si>
    <t>TOKEN</t>
  </si>
  <si>
    <t>OQKCNEJ</t>
  </si>
  <si>
    <t>MENE</t>
  </si>
  <si>
    <t>MEEFUEN</t>
  </si>
  <si>
    <t>EAQETLL</t>
  </si>
  <si>
    <t>HOMOSTEL</t>
  </si>
  <si>
    <t>PMNOSVH</t>
  </si>
  <si>
    <t>ZOME</t>
  </si>
  <si>
    <t>NZFOFTD</t>
  </si>
  <si>
    <t>TIJDPLAN</t>
  </si>
  <si>
    <t>NPLIAJD</t>
  </si>
  <si>
    <t>IA</t>
  </si>
  <si>
    <t>OSIAIEN</t>
  </si>
  <si>
    <t>QLEKEZF</t>
  </si>
  <si>
    <t>NELFFZR</t>
  </si>
  <si>
    <t>GENADIGE</t>
  </si>
  <si>
    <t>IENGDAE</t>
  </si>
  <si>
    <t>BAF</t>
  </si>
  <si>
    <t>NNAOBIF</t>
  </si>
  <si>
    <t>ELFJES</t>
  </si>
  <si>
    <t>VSKGNDM</t>
  </si>
  <si>
    <t>AAM</t>
  </si>
  <si>
    <t>MEADEIG</t>
  </si>
  <si>
    <t>JENNER</t>
  </si>
  <si>
    <t>NJNNERN</t>
  </si>
  <si>
    <t>REKENENDE</t>
  </si>
  <si>
    <t>ZANDEEE</t>
  </si>
  <si>
    <t>LORI</t>
  </si>
  <si>
    <t>ROIOLMN</t>
  </si>
  <si>
    <t>ODQNNNN</t>
  </si>
  <si>
    <t>EEUW</t>
  </si>
  <si>
    <t>EEUMEOW</t>
  </si>
  <si>
    <t>AFROMERS</t>
  </si>
  <si>
    <t>A MRSEF</t>
  </si>
  <si>
    <t>SJOT</t>
  </si>
  <si>
    <t>TJZVSEX</t>
  </si>
  <si>
    <t>MEP</t>
  </si>
  <si>
    <t>VQJPEMR</t>
  </si>
  <si>
    <t>NAR</t>
  </si>
  <si>
    <t>CDWSINR</t>
  </si>
  <si>
    <t>NKDBDDA</t>
  </si>
  <si>
    <t>WIJDST</t>
  </si>
  <si>
    <t>SIWTJCM</t>
  </si>
  <si>
    <t>HAN</t>
  </si>
  <si>
    <t>UKNNTHD</t>
  </si>
  <si>
    <t>MEUN</t>
  </si>
  <si>
    <t>QTUEMTN</t>
  </si>
  <si>
    <t>RNJDVYE</t>
  </si>
  <si>
    <t>UEOJHDA</t>
  </si>
  <si>
    <t>WAVE</t>
  </si>
  <si>
    <t>ZUWJVAE</t>
  </si>
  <si>
    <t>QEEARTI</t>
  </si>
  <si>
    <t>RA</t>
  </si>
  <si>
    <t>QGOGRAR</t>
  </si>
  <si>
    <t>KNOOK</t>
  </si>
  <si>
    <t>FNYOKOT</t>
  </si>
  <si>
    <t>OEKAZE</t>
  </si>
  <si>
    <t>EG AKEO</t>
  </si>
  <si>
    <t>EQCEMOI</t>
  </si>
  <si>
    <t>BLOEMDEN</t>
  </si>
  <si>
    <t xml:space="preserve"> EELNDM</t>
  </si>
  <si>
    <t>AEENKWD</t>
  </si>
  <si>
    <t>TIL</t>
  </si>
  <si>
    <t>LTPMITN</t>
  </si>
  <si>
    <t>KENEN</t>
  </si>
  <si>
    <t>NQEEENK</t>
  </si>
  <si>
    <t>GEDNSBS</t>
  </si>
  <si>
    <t>QRNSNTK</t>
  </si>
  <si>
    <t>GANG</t>
  </si>
  <si>
    <t xml:space="preserve">NRGATN </t>
  </si>
  <si>
    <t>KUIF</t>
  </si>
  <si>
    <t>IMUFEWK</t>
  </si>
  <si>
    <t>M</t>
  </si>
  <si>
    <t xml:space="preserve">NONEMC </t>
  </si>
  <si>
    <t>NNKZTNV</t>
  </si>
  <si>
    <t>BIE</t>
  </si>
  <si>
    <t>REEEATI</t>
  </si>
  <si>
    <t>NETJE</t>
  </si>
  <si>
    <t>QJTNEOE</t>
  </si>
  <si>
    <t>REP</t>
  </si>
  <si>
    <t>RNEDPRT</t>
  </si>
  <si>
    <t>NOVICEN</t>
  </si>
  <si>
    <t>QNOCVIE</t>
  </si>
  <si>
    <t>QUAKER</t>
  </si>
  <si>
    <t xml:space="preserve">EQKJRR </t>
  </si>
  <si>
    <t>FNESEBH</t>
  </si>
  <si>
    <t>XIS</t>
  </si>
  <si>
    <t>VVJSSMP</t>
  </si>
  <si>
    <t>BAH</t>
  </si>
  <si>
    <t>QAHBMDA</t>
  </si>
  <si>
    <t>EERZAME</t>
  </si>
  <si>
    <t>EEEARZM</t>
  </si>
  <si>
    <t>INVARE</t>
  </si>
  <si>
    <t>IEEPVRN</t>
  </si>
  <si>
    <t>AQWPOLL</t>
  </si>
  <si>
    <t>AURA</t>
  </si>
  <si>
    <t>DAEUREA</t>
  </si>
  <si>
    <t>GUNDE</t>
  </si>
  <si>
    <t>VUHEDGN</t>
  </si>
  <si>
    <t>CLAN</t>
  </si>
  <si>
    <t>QNAFLC</t>
  </si>
  <si>
    <t>NEUK</t>
  </si>
  <si>
    <t>NSNEKNU</t>
  </si>
  <si>
    <t>SOEOHEA</t>
  </si>
  <si>
    <t>NNBNAIE</t>
  </si>
  <si>
    <t>HARTJE</t>
  </si>
  <si>
    <t>RRJETHA</t>
  </si>
  <si>
    <t>CANADA</t>
  </si>
  <si>
    <t>NDNCAAG</t>
  </si>
  <si>
    <t>JU</t>
  </si>
  <si>
    <t>DNUNJKM</t>
  </si>
  <si>
    <t>WILGEN</t>
  </si>
  <si>
    <t>GOLWNIE</t>
  </si>
  <si>
    <t>NARIJDEN</t>
  </si>
  <si>
    <t>DARNE J</t>
  </si>
  <si>
    <t>WNKMNDG</t>
  </si>
  <si>
    <t>LEED</t>
  </si>
  <si>
    <t>DNGLDJE</t>
  </si>
  <si>
    <t>BEVALLE</t>
  </si>
  <si>
    <t>AEVELBL</t>
  </si>
  <si>
    <t>LA</t>
  </si>
  <si>
    <t>DAINIAN</t>
  </si>
  <si>
    <t>WENNEN</t>
  </si>
  <si>
    <t>NNNNWEA</t>
  </si>
  <si>
    <t>GRAECI</t>
  </si>
  <si>
    <t>IB RCER</t>
  </si>
  <si>
    <t>WSQCAGE</t>
  </si>
  <si>
    <t>EGUPENF</t>
  </si>
  <si>
    <t>MOERE</t>
  </si>
  <si>
    <t>OOMEREO</t>
  </si>
  <si>
    <t>VORK</t>
  </si>
  <si>
    <t>QOEVKXN</t>
  </si>
  <si>
    <t>QJYEEAR</t>
  </si>
  <si>
    <t>VAT</t>
  </si>
  <si>
    <t>JAVOKX</t>
  </si>
  <si>
    <t>DEPONIE</t>
  </si>
  <si>
    <t>NXVEIDI</t>
  </si>
  <si>
    <t>IE</t>
  </si>
  <si>
    <t>STNLEER</t>
  </si>
  <si>
    <t>NHEZAOE</t>
  </si>
  <si>
    <t>NDEERKY</t>
  </si>
  <si>
    <t>AZIJN</t>
  </si>
  <si>
    <t>JZIWN A</t>
  </si>
  <si>
    <t>EEN</t>
  </si>
  <si>
    <t>MNOTEEN</t>
  </si>
  <si>
    <t>DDNZUEU</t>
  </si>
  <si>
    <t>RECENTE</t>
  </si>
  <si>
    <t>NIOCETE</t>
  </si>
  <si>
    <t>ELFEN</t>
  </si>
  <si>
    <t>AEELTKF</t>
  </si>
  <si>
    <t>ZOENGELD</t>
  </si>
  <si>
    <t>DELNOGZ</t>
  </si>
  <si>
    <t>STADSE</t>
  </si>
  <si>
    <t>TADESSA</t>
  </si>
  <si>
    <t>VISKOM</t>
  </si>
  <si>
    <t>WOKIMVU</t>
  </si>
  <si>
    <t>DUIKT</t>
  </si>
  <si>
    <t>ZDIU KP</t>
  </si>
  <si>
    <t>IER</t>
  </si>
  <si>
    <t>NNQVEIE</t>
  </si>
  <si>
    <t>NANINRE</t>
  </si>
  <si>
    <t>SOK</t>
  </si>
  <si>
    <t>OKNSTVM</t>
  </si>
  <si>
    <t>QAPNARY</t>
  </si>
  <si>
    <t>WKFSTEC</t>
  </si>
  <si>
    <t>CREW</t>
  </si>
  <si>
    <t>JECWAAN</t>
  </si>
  <si>
    <t>WETE</t>
  </si>
  <si>
    <t xml:space="preserve">MWTTGD </t>
  </si>
  <si>
    <t>TAB</t>
  </si>
  <si>
    <t>AVTDFBW</t>
  </si>
  <si>
    <t>LANGT</t>
  </si>
  <si>
    <t>ANTRETE</t>
  </si>
  <si>
    <t>DDWAODB</t>
  </si>
  <si>
    <t xml:space="preserve">NFEEEI </t>
  </si>
  <si>
    <t>FRANTHW</t>
  </si>
  <si>
    <t>AVE</t>
  </si>
  <si>
    <t>VENEARE</t>
  </si>
  <si>
    <t>PICA</t>
  </si>
  <si>
    <t>NPAJOIC</t>
  </si>
  <si>
    <t>QDAEF</t>
  </si>
  <si>
    <t>PIJL</t>
  </si>
  <si>
    <t>DVDNDJL</t>
  </si>
  <si>
    <t>NNE ETW</t>
  </si>
  <si>
    <t>DRJMTQN</t>
  </si>
  <si>
    <t>NEEF</t>
  </si>
  <si>
    <t>NFNOEMS</t>
  </si>
  <si>
    <t>SNNNREJ</t>
  </si>
  <si>
    <t>AUTO</t>
  </si>
  <si>
    <t>NTEOUAE</t>
  </si>
  <si>
    <t>WOONDE</t>
  </si>
  <si>
    <t>QOON DW</t>
  </si>
  <si>
    <t>MAKE</t>
  </si>
  <si>
    <t>DACEEKM</t>
  </si>
  <si>
    <t>NAZEI</t>
  </si>
  <si>
    <t>ANAGKEZ</t>
  </si>
  <si>
    <t>NAODTRX</t>
  </si>
  <si>
    <t>QNRDOWI</t>
  </si>
  <si>
    <t>JEGETMB</t>
  </si>
  <si>
    <t>GEROER</t>
  </si>
  <si>
    <t>GRREJOE</t>
  </si>
  <si>
    <t>WALE</t>
  </si>
  <si>
    <t>EEWALNQ</t>
  </si>
  <si>
    <t>LOK</t>
  </si>
  <si>
    <t>OVKLRZD</t>
  </si>
  <si>
    <t>MOETE</t>
  </si>
  <si>
    <t>AEEDMOE</t>
  </si>
  <si>
    <t>EFPABWT</t>
  </si>
  <si>
    <t>LAAS</t>
  </si>
  <si>
    <t>LOQOSAU</t>
  </si>
  <si>
    <t>SCHAF</t>
  </si>
  <si>
    <t>EOHSDCF</t>
  </si>
  <si>
    <t>AKSEAEO</t>
  </si>
  <si>
    <t>DCEEEEE</t>
  </si>
  <si>
    <t>FLEGMA</t>
  </si>
  <si>
    <t>GEEMLEA</t>
  </si>
  <si>
    <t>SUI</t>
  </si>
  <si>
    <t>UAISEDO</t>
  </si>
  <si>
    <t>RIK</t>
  </si>
  <si>
    <t>VIGKGQR</t>
  </si>
  <si>
    <t>QDNRPNO</t>
  </si>
  <si>
    <t>COIWC</t>
  </si>
  <si>
    <t>URMT</t>
  </si>
  <si>
    <t>MNTRJMV</t>
  </si>
  <si>
    <t>GAAP</t>
  </si>
  <si>
    <t>PEAEARG</t>
  </si>
  <si>
    <t>OHM</t>
  </si>
  <si>
    <t>KMHHEDE</t>
  </si>
  <si>
    <t>PINCET</t>
  </si>
  <si>
    <t>PNCRIE</t>
  </si>
  <si>
    <t>TAXATEURS</t>
  </si>
  <si>
    <t>UTXA ES</t>
  </si>
  <si>
    <t>SNOES</t>
  </si>
  <si>
    <t>LL ENSS</t>
  </si>
  <si>
    <t>NARRE</t>
  </si>
  <si>
    <t>ROERNAN</t>
  </si>
  <si>
    <t>ZWEDE</t>
  </si>
  <si>
    <t>DELUWED</t>
  </si>
  <si>
    <t>NYTEKNT</t>
  </si>
  <si>
    <t>HATEN</t>
  </si>
  <si>
    <t>HESENAA</t>
  </si>
  <si>
    <t>WIL</t>
  </si>
  <si>
    <t>NDNCLIW</t>
  </si>
  <si>
    <t>WIEKE</t>
  </si>
  <si>
    <t>IDKQEAE</t>
  </si>
  <si>
    <t>WELIG</t>
  </si>
  <si>
    <t>EIKWTTO</t>
  </si>
  <si>
    <t>KUN</t>
  </si>
  <si>
    <t>NNNNRKU</t>
  </si>
  <si>
    <t>LAM</t>
  </si>
  <si>
    <t>QODAMJL</t>
  </si>
  <si>
    <t>OTOEVNG</t>
  </si>
  <si>
    <t>GEVILD</t>
  </si>
  <si>
    <t>QNVIDEL</t>
  </si>
  <si>
    <t>LAVAS</t>
  </si>
  <si>
    <t>AVASBNS</t>
  </si>
  <si>
    <t>PO</t>
  </si>
  <si>
    <t>VQP</t>
  </si>
  <si>
    <t>E</t>
  </si>
  <si>
    <t>DE</t>
  </si>
  <si>
    <t>HOM</t>
  </si>
  <si>
    <t>QNMNKOH</t>
  </si>
  <si>
    <t>NNNGGDR</t>
  </si>
  <si>
    <t>VAGINAS</t>
  </si>
  <si>
    <t>AANVSGN</t>
  </si>
  <si>
    <t>ONTGELDT</t>
  </si>
  <si>
    <t>OTGDELN</t>
  </si>
  <si>
    <t>DQGTIND</t>
  </si>
  <si>
    <t>JOON</t>
  </si>
  <si>
    <t>JOOGNNN</t>
  </si>
  <si>
    <t>VERERE</t>
  </si>
  <si>
    <t>JEEVEER</t>
  </si>
  <si>
    <t>SET</t>
  </si>
  <si>
    <t>TDREDNS</t>
  </si>
  <si>
    <t>EPO</t>
  </si>
  <si>
    <t xml:space="preserve"> MPEEID</t>
  </si>
  <si>
    <t>SNAUWEN</t>
  </si>
  <si>
    <t>DNNGASV</t>
  </si>
  <si>
    <t>KORVEN</t>
  </si>
  <si>
    <t>OXHRVKN</t>
  </si>
  <si>
    <t>CQVNNUO</t>
  </si>
  <si>
    <t>AF</t>
  </si>
  <si>
    <t>NN OEEF</t>
  </si>
  <si>
    <t>ENGTE</t>
  </si>
  <si>
    <t>DGQTENE</t>
  </si>
  <si>
    <t>ES</t>
  </si>
  <si>
    <t>EESTSAN</t>
  </si>
  <si>
    <t>GOUDA</t>
  </si>
  <si>
    <t>UIDOGNA</t>
  </si>
  <si>
    <t xml:space="preserve">QINGTE </t>
  </si>
  <si>
    <t>INVOEG</t>
  </si>
  <si>
    <t>HOEDNGV</t>
  </si>
  <si>
    <t>DONG</t>
  </si>
  <si>
    <t>QCNDNGO</t>
  </si>
  <si>
    <t>JFEIVEN</t>
  </si>
  <si>
    <t>ROOKKAAS</t>
  </si>
  <si>
    <t>SOAKOAR</t>
  </si>
  <si>
    <t>NWMEEIM</t>
  </si>
  <si>
    <t>NNVNAUE</t>
  </si>
  <si>
    <t>LURK</t>
  </si>
  <si>
    <t>NLJOKUL</t>
  </si>
  <si>
    <t>ZWADEN</t>
  </si>
  <si>
    <t>DANWZRO</t>
  </si>
  <si>
    <t>AVES</t>
  </si>
  <si>
    <t>DADVESV</t>
  </si>
  <si>
    <t>OXIDERE</t>
  </si>
  <si>
    <t>ODER EI</t>
  </si>
  <si>
    <t>SAP</t>
  </si>
  <si>
    <t>NNNPSFA</t>
  </si>
  <si>
    <t>KOEKJES</t>
  </si>
  <si>
    <t>JOVHSRS</t>
  </si>
  <si>
    <t>PEZIG</t>
  </si>
  <si>
    <t>QYZIKNE</t>
  </si>
  <si>
    <t>GEWENNEN</t>
  </si>
  <si>
    <t>GNEEEWN</t>
  </si>
  <si>
    <t>JAN</t>
  </si>
  <si>
    <t>DDJSANO</t>
  </si>
  <si>
    <t>QGNDSCW</t>
  </si>
  <si>
    <t>NEBJE</t>
  </si>
  <si>
    <t>MJNRNCE</t>
  </si>
  <si>
    <t>MOS</t>
  </si>
  <si>
    <t>MCMVOSW</t>
  </si>
  <si>
    <t>QOOGIWE</t>
  </si>
  <si>
    <t>EREH DN</t>
  </si>
  <si>
    <t>DOE</t>
  </si>
  <si>
    <t>KDZEAOE</t>
  </si>
  <si>
    <t>GEKRAMD</t>
  </si>
  <si>
    <t>DKNAEMR</t>
  </si>
  <si>
    <t>VLAGT</t>
  </si>
  <si>
    <t>YVDGAOT</t>
  </si>
  <si>
    <t>TRAMS</t>
  </si>
  <si>
    <t>JETRWMS</t>
  </si>
  <si>
    <t>NFNIEGV</t>
  </si>
  <si>
    <t>VOPO</t>
  </si>
  <si>
    <t>VPOAOAB</t>
  </si>
  <si>
    <t>NWNYSZO</t>
  </si>
  <si>
    <t>RAS</t>
  </si>
  <si>
    <t>NSTKEON</t>
  </si>
  <si>
    <t>MANE</t>
  </si>
  <si>
    <t>NNMAEGC</t>
  </si>
  <si>
    <t>BAUW</t>
  </si>
  <si>
    <t>QWUAIBD</t>
  </si>
  <si>
    <t>NNNOEDH</t>
  </si>
  <si>
    <t>LAZEN</t>
  </si>
  <si>
    <t>EAENLNE</t>
  </si>
  <si>
    <t>OMA</t>
  </si>
  <si>
    <t>NQTHMIO</t>
  </si>
  <si>
    <t>VIP</t>
  </si>
  <si>
    <t>NRPEVAN</t>
  </si>
  <si>
    <t>XEQJMEG</t>
  </si>
  <si>
    <t>QCJESGZ</t>
  </si>
  <si>
    <t>MUFTE</t>
  </si>
  <si>
    <t>FUEMAUT</t>
  </si>
  <si>
    <t>EELLRHE</t>
  </si>
  <si>
    <t>DORPS</t>
  </si>
  <si>
    <t>PNSVR O</t>
  </si>
  <si>
    <t>FUNK</t>
  </si>
  <si>
    <t>NFFTDNU</t>
  </si>
  <si>
    <t>KEENDEN</t>
  </si>
  <si>
    <t>EEKNDEE</t>
  </si>
  <si>
    <t>HINK</t>
  </si>
  <si>
    <t>OSIENKE</t>
  </si>
  <si>
    <t>NUFJES</t>
  </si>
  <si>
    <t>QLFNJNU</t>
  </si>
  <si>
    <t>GENADIGER</t>
  </si>
  <si>
    <t>NLFFRKM</t>
  </si>
  <si>
    <t>ZONEREN</t>
  </si>
  <si>
    <t>ORENZI</t>
  </si>
  <si>
    <t>NNOIOOG</t>
  </si>
  <si>
    <t>GOM</t>
  </si>
  <si>
    <t>VKGNDMD</t>
  </si>
  <si>
    <t>EDEIGNX</t>
  </si>
  <si>
    <t>NNAJECR</t>
  </si>
  <si>
    <t>KAS</t>
  </si>
  <si>
    <t>ZANDEEO</t>
  </si>
  <si>
    <t>JOELT</t>
  </si>
  <si>
    <t>OMNJNEL</t>
  </si>
  <si>
    <t>DAN</t>
  </si>
  <si>
    <t>DQNNNNN</t>
  </si>
  <si>
    <t>TERTIO</t>
  </si>
  <si>
    <t>MEOTTIR</t>
  </si>
  <si>
    <t>ALUIN</t>
  </si>
  <si>
    <t>NLKNUIA</t>
  </si>
  <si>
    <t>ZVEXEDP</t>
  </si>
  <si>
    <t>PARTIJ</t>
  </si>
  <si>
    <t>VQJREIM</t>
  </si>
  <si>
    <t>CDWSIAE</t>
  </si>
  <si>
    <t>NKDDMOO</t>
  </si>
  <si>
    <t>KEGELEN</t>
  </si>
  <si>
    <t>CMNZEME</t>
  </si>
  <si>
    <t>KNUST</t>
  </si>
  <si>
    <t>UKNTDES</t>
  </si>
  <si>
    <t>REET</t>
  </si>
  <si>
    <t>QTTERNE</t>
  </si>
  <si>
    <t>KVVER</t>
  </si>
  <si>
    <t>RJDVECV</t>
  </si>
  <si>
    <t>DIJN</t>
  </si>
  <si>
    <t>UOJDANI</t>
  </si>
  <si>
    <t>ZOEM</t>
  </si>
  <si>
    <t>ZUJJOLE</t>
  </si>
  <si>
    <t>NIS</t>
  </si>
  <si>
    <t>ERISNRO</t>
  </si>
  <si>
    <t>GROGS</t>
  </si>
  <si>
    <t>QGOGRSZ</t>
  </si>
  <si>
    <t>MAYO</t>
  </si>
  <si>
    <t>FYTM EE</t>
  </si>
  <si>
    <t>G EVNLH</t>
  </si>
  <si>
    <t>SCHEL</t>
  </si>
  <si>
    <t xml:space="preserve">QCELJS </t>
  </si>
  <si>
    <t>VIRAGOS</t>
  </si>
  <si>
    <t>ZNNTSHA</t>
  </si>
  <si>
    <t>KANTELDE</t>
  </si>
  <si>
    <t>AEEKDNL</t>
  </si>
  <si>
    <t>MIEP</t>
  </si>
  <si>
    <t>PMTNIPI</t>
  </si>
  <si>
    <t>AFKAP</t>
  </si>
  <si>
    <t>QEKAUFA</t>
  </si>
  <si>
    <t>GAS</t>
  </si>
  <si>
    <t>GDNSSAT</t>
  </si>
  <si>
    <t>GEEKS</t>
  </si>
  <si>
    <t>RNSNKEE</t>
  </si>
  <si>
    <t>GEHEIM</t>
  </si>
  <si>
    <t>RTN MHE</t>
  </si>
  <si>
    <t>WEEKS</t>
  </si>
  <si>
    <t>MEWEEHC</t>
  </si>
  <si>
    <t>NONEC E</t>
  </si>
  <si>
    <t>NNKZNVN</t>
  </si>
  <si>
    <t>RATSTE</t>
  </si>
  <si>
    <t>REEATSU</t>
  </si>
  <si>
    <t>QUOOT</t>
  </si>
  <si>
    <t xml:space="preserve">QOMONW </t>
  </si>
  <si>
    <t>NEDRTEA</t>
  </si>
  <si>
    <t>QD</t>
  </si>
  <si>
    <t>JRMEIOI</t>
  </si>
  <si>
    <t>BANKEN</t>
  </si>
  <si>
    <t>NEBHA</t>
  </si>
  <si>
    <t>SUP</t>
  </si>
  <si>
    <t>VVJSMPU</t>
  </si>
  <si>
    <t>QMDAIZN</t>
  </si>
  <si>
    <t>EKESFSR</t>
  </si>
  <si>
    <t>EPDH</t>
  </si>
  <si>
    <t>VLOGS</t>
  </si>
  <si>
    <t>QOLLVSF</t>
  </si>
  <si>
    <t>OIR</t>
  </si>
  <si>
    <t>DEETOSI</t>
  </si>
  <si>
    <t>H</t>
  </si>
  <si>
    <t>VH</t>
  </si>
  <si>
    <t>QF</t>
  </si>
  <si>
    <t>SON</t>
  </si>
  <si>
    <t>SNNOQAA</t>
  </si>
  <si>
    <t>GENEUK</t>
  </si>
  <si>
    <t>EOETNDG</t>
  </si>
  <si>
    <t>SMAKT</t>
  </si>
  <si>
    <t>NASMTKM</t>
  </si>
  <si>
    <t>RE</t>
  </si>
  <si>
    <t>RNEJ</t>
  </si>
  <si>
    <t>GE</t>
  </si>
  <si>
    <t>NG</t>
  </si>
  <si>
    <t>DNNKM</t>
  </si>
  <si>
    <t>OEDEDUR</t>
  </si>
  <si>
    <t>WIE</t>
  </si>
  <si>
    <t>WNKNIAQ</t>
  </si>
  <si>
    <t>EN</t>
  </si>
  <si>
    <t>NGDJVEV</t>
  </si>
  <si>
    <t>NEEG</t>
  </si>
  <si>
    <t>OENEEGN</t>
  </si>
  <si>
    <t>DIT</t>
  </si>
  <si>
    <t>DINIANY</t>
  </si>
  <si>
    <t>AANWENNEN</t>
  </si>
  <si>
    <t>NADNREA</t>
  </si>
  <si>
    <t>B RPTES</t>
  </si>
  <si>
    <t>CAS</t>
  </si>
  <si>
    <t>SQCEOEA</t>
  </si>
  <si>
    <t>GEDUNDE</t>
  </si>
  <si>
    <t>EGUENDD</t>
  </si>
  <si>
    <t>TOP</t>
  </si>
  <si>
    <t>OOTPNCD</t>
  </si>
  <si>
    <t>QEXNWAB</t>
  </si>
  <si>
    <t>QYE</t>
  </si>
  <si>
    <t>KEN</t>
  </si>
  <si>
    <t>JOKX</t>
  </si>
  <si>
    <t>XVIETUE</t>
  </si>
  <si>
    <t>SLET</t>
  </si>
  <si>
    <t>STNLERO</t>
  </si>
  <si>
    <t>DOZEREN</t>
  </si>
  <si>
    <t>EZOEORN</t>
  </si>
  <si>
    <t>ROKADE</t>
  </si>
  <si>
    <t>DERK DR</t>
  </si>
  <si>
    <t>WIEDE</t>
  </si>
  <si>
    <t>W ERCED</t>
  </si>
  <si>
    <t>AMEN</t>
  </si>
  <si>
    <t>MOTENFA</t>
  </si>
  <si>
    <t>DDUERKA</t>
  </si>
  <si>
    <t>IONUGKQ</t>
  </si>
  <si>
    <t>AETKNDK</t>
  </si>
  <si>
    <t>ENTERS</t>
  </si>
  <si>
    <t>ASEERNT</t>
  </si>
  <si>
    <t>MELUW</t>
  </si>
  <si>
    <t>WUEMALJ</t>
  </si>
  <si>
    <t>ZDPNTFT</t>
  </si>
  <si>
    <t>VAMEN</t>
  </si>
  <si>
    <t>NNQVEAM</t>
  </si>
  <si>
    <t>LARK</t>
  </si>
  <si>
    <t>NANNRLN</t>
  </si>
  <si>
    <t>NTVMCEX</t>
  </si>
  <si>
    <t>REI</t>
  </si>
  <si>
    <t>QANARIO</t>
  </si>
  <si>
    <t>FSTENJE</t>
  </si>
  <si>
    <t>VAASJE</t>
  </si>
  <si>
    <t>JAANJEV</t>
  </si>
  <si>
    <t>MTGD EE</t>
  </si>
  <si>
    <t>DOFST</t>
  </si>
  <si>
    <t>VDFWOLN</t>
  </si>
  <si>
    <t>ENER</t>
  </si>
  <si>
    <t>ANRETEA</t>
  </si>
  <si>
    <t>WONE</t>
  </si>
  <si>
    <t>DWODBON</t>
  </si>
  <si>
    <t>RINKELS</t>
  </si>
  <si>
    <t>NEI RLS</t>
  </si>
  <si>
    <t>GESEINDEN</t>
  </si>
  <si>
    <t>RNHW</t>
  </si>
  <si>
    <t>NERE</t>
  </si>
  <si>
    <t>NJO</t>
  </si>
  <si>
    <t>QDE</t>
  </si>
  <si>
    <t>DVDNDAJ</t>
  </si>
  <si>
    <t>INMETEN</t>
  </si>
  <si>
    <t>NNE ETM</t>
  </si>
  <si>
    <t>DRJMQNE</t>
  </si>
  <si>
    <t>CONVEX</t>
  </si>
  <si>
    <t>NOMSNCV</t>
  </si>
  <si>
    <t>SNOR</t>
  </si>
  <si>
    <t>SNNNROJ</t>
  </si>
  <si>
    <t xml:space="preserve">NEEBNQ </t>
  </si>
  <si>
    <t>SQUAW</t>
  </si>
  <si>
    <t>QATGSJU</t>
  </si>
  <si>
    <t>CARVE</t>
  </si>
  <si>
    <t>DCEKEUV</t>
  </si>
  <si>
    <t>KLOTST</t>
  </si>
  <si>
    <t>AGKSOTL</t>
  </si>
  <si>
    <t>NODBELE</t>
  </si>
  <si>
    <t>TI</t>
  </si>
  <si>
    <t>QNDIT</t>
  </si>
  <si>
    <t>ALM</t>
  </si>
  <si>
    <t>GETMB</t>
  </si>
  <si>
    <t>KANOS</t>
  </si>
  <si>
    <t>JNKOUSA</t>
  </si>
  <si>
    <t>EENS</t>
  </si>
  <si>
    <t>ENQESAU</t>
  </si>
  <si>
    <t>WEID</t>
  </si>
  <si>
    <t>VRZDIWR</t>
  </si>
  <si>
    <t>HADDEN</t>
  </si>
  <si>
    <t>ADEAFNH</t>
  </si>
  <si>
    <t>DWEEPT</t>
  </si>
  <si>
    <t xml:space="preserve">EPWTFA </t>
  </si>
  <si>
    <t>NOU</t>
  </si>
  <si>
    <t>OQOUNNE</t>
  </si>
  <si>
    <t>EODRONO</t>
  </si>
  <si>
    <t>TEAM</t>
  </si>
  <si>
    <t>AEAE</t>
  </si>
  <si>
    <t>ECRUE</t>
  </si>
  <si>
    <t>CEEEERU</t>
  </si>
  <si>
    <t>EENOVUK</t>
  </si>
  <si>
    <t>AEDO</t>
  </si>
  <si>
    <t>VUT</t>
  </si>
  <si>
    <t>VGGQ</t>
  </si>
  <si>
    <t>QDNNO</t>
  </si>
  <si>
    <t>EI</t>
  </si>
  <si>
    <t>IWC</t>
  </si>
  <si>
    <t>VUNZEN</t>
  </si>
  <si>
    <t>NJMVEEN</t>
  </si>
  <si>
    <t>EEROSLS</t>
  </si>
  <si>
    <t>HEEP</t>
  </si>
  <si>
    <t>KHEDE</t>
  </si>
  <si>
    <t>BOK</t>
  </si>
  <si>
    <t>YBVKO</t>
  </si>
  <si>
    <t>LL</t>
  </si>
  <si>
    <t>IONEN</t>
  </si>
  <si>
    <t>ONUNNQE</t>
  </si>
  <si>
    <t>LUD</t>
  </si>
  <si>
    <t>BEK</t>
  </si>
  <si>
    <t>TKNTBDE</t>
  </si>
  <si>
    <t>CLIPPER</t>
  </si>
  <si>
    <t xml:space="preserve">SEAUR </t>
  </si>
  <si>
    <t>SCHAL</t>
  </si>
  <si>
    <t>NDNCHSE</t>
  </si>
  <si>
    <t>DQAESEJ</t>
  </si>
  <si>
    <t>BOEM</t>
  </si>
  <si>
    <t>EKTTOMB</t>
  </si>
  <si>
    <t>DIJ</t>
  </si>
  <si>
    <t>NNNRJDI</t>
  </si>
  <si>
    <t>QODJGEE</t>
  </si>
  <si>
    <t>GENOOPTE</t>
  </si>
  <si>
    <t>OTOENGP</t>
  </si>
  <si>
    <t>WELK</t>
  </si>
  <si>
    <t>QNLWKNE</t>
  </si>
  <si>
    <t>BRASSEN</t>
  </si>
  <si>
    <t>BNSESAR</t>
  </si>
  <si>
    <t>VQ</t>
  </si>
  <si>
    <t>ENK</t>
  </si>
  <si>
    <t>QNNKOTE</t>
  </si>
  <si>
    <t>NNNGGDL</t>
  </si>
  <si>
    <t>DEUR</t>
  </si>
  <si>
    <t>NLEDRNU</t>
  </si>
  <si>
    <t>FANS</t>
  </si>
  <si>
    <t>SFN</t>
  </si>
  <si>
    <t>ENT</t>
  </si>
  <si>
    <t>DQTNDEN</t>
  </si>
  <si>
    <t>GEN</t>
  </si>
  <si>
    <t>GNN</t>
  </si>
  <si>
    <t>JESXTOI</t>
  </si>
  <si>
    <t>BORD</t>
  </si>
  <si>
    <t>DRDNBQO</t>
  </si>
  <si>
    <t>MAST</t>
  </si>
  <si>
    <t xml:space="preserve"> MEIDA </t>
  </si>
  <si>
    <t>VOEGEND</t>
  </si>
  <si>
    <t>DGVOEEJ</t>
  </si>
  <si>
    <t>XH DMES</t>
  </si>
  <si>
    <t>VERSJOUWEN</t>
  </si>
  <si>
    <t>QVORIEN</t>
  </si>
  <si>
    <t>NN OEEH</t>
  </si>
  <si>
    <t>DQNEWDN</t>
  </si>
  <si>
    <t>ETSANEN</t>
  </si>
  <si>
    <t>HIKEN</t>
  </si>
  <si>
    <t>INKNMHE</t>
  </si>
  <si>
    <t>INVOEGT</t>
  </si>
  <si>
    <t>INGTE T</t>
  </si>
  <si>
    <t>SEMTEX</t>
  </si>
  <si>
    <t>HDSQZEM</t>
  </si>
  <si>
    <t>WECKT</t>
  </si>
  <si>
    <t>QCNDHTJ</t>
  </si>
  <si>
    <t>VIJF</t>
  </si>
  <si>
    <t>JIVNLA</t>
  </si>
  <si>
    <t>ZEGT</t>
  </si>
  <si>
    <t>TNUJEEE</t>
  </si>
  <si>
    <t xml:space="preserve">NMM </t>
  </si>
  <si>
    <t>VAKE</t>
  </si>
  <si>
    <t>NNVNAEK</t>
  </si>
  <si>
    <t>LANE</t>
  </si>
  <si>
    <t>NJOLEEA</t>
  </si>
  <si>
    <t>VEENMOS</t>
  </si>
  <si>
    <t>ROESNME</t>
  </si>
  <si>
    <t>DES</t>
  </si>
  <si>
    <t>DDVSGAK</t>
  </si>
  <si>
    <t>EJBEMAN</t>
  </si>
  <si>
    <t>NNNFOOU</t>
  </si>
  <si>
    <t>NOVAS</t>
  </si>
  <si>
    <t>JOVHRSA</t>
  </si>
  <si>
    <t>KEYEN</t>
  </si>
  <si>
    <t>QYKNEEX</t>
  </si>
  <si>
    <t>INRENNEN</t>
  </si>
  <si>
    <t>NNRNEIE</t>
  </si>
  <si>
    <t>DDSOASV</t>
  </si>
  <si>
    <t>QGNDCWM</t>
  </si>
  <si>
    <t>HARREN</t>
  </si>
  <si>
    <t>MRNCAOH</t>
  </si>
  <si>
    <t>CMVWIAR</t>
  </si>
  <si>
    <t>ROG</t>
  </si>
  <si>
    <t>QOOGIRN</t>
  </si>
  <si>
    <t>LINKERDS</t>
  </si>
  <si>
    <t>RE DNSK</t>
  </si>
  <si>
    <t>ZAKMES</t>
  </si>
  <si>
    <t>KZAEMES</t>
  </si>
  <si>
    <t>HEE</t>
  </si>
  <si>
    <t>NSEEHS</t>
  </si>
  <si>
    <t>YDO</t>
  </si>
  <si>
    <t>ZWIER</t>
  </si>
  <si>
    <t>JEWZIOR</t>
  </si>
  <si>
    <t>FNIGQMN</t>
  </si>
  <si>
    <t>BA</t>
  </si>
  <si>
    <t>AABNNRO</t>
  </si>
  <si>
    <t>DESK</t>
  </si>
  <si>
    <t>NWNSZHK</t>
  </si>
  <si>
    <t>NTKEONH</t>
  </si>
  <si>
    <t>CAFE</t>
  </si>
  <si>
    <t>NAGC ED</t>
  </si>
  <si>
    <t>QIDESYE</t>
  </si>
  <si>
    <t>SNEREND</t>
  </si>
  <si>
    <t>NNNEDER</t>
  </si>
  <si>
    <t>INZONKEN</t>
  </si>
  <si>
    <t>ENETPNE</t>
  </si>
  <si>
    <t>HAI</t>
  </si>
  <si>
    <t>NQTHIAI</t>
  </si>
  <si>
    <t>ANKEREND</t>
  </si>
  <si>
    <t>NREANKD</t>
  </si>
  <si>
    <t>QJEGTEO</t>
  </si>
  <si>
    <t>JEUIG</t>
  </si>
  <si>
    <t>QCJSGIE</t>
  </si>
  <si>
    <t>YUANS</t>
  </si>
  <si>
    <t>AUNSEP</t>
  </si>
  <si>
    <t>HORE</t>
  </si>
  <si>
    <t>EERHEWR</t>
  </si>
  <si>
    <t>SAX</t>
  </si>
  <si>
    <t xml:space="preserve">NVSZXN </t>
  </si>
  <si>
    <t>ANGST</t>
  </si>
  <si>
    <t>FTDNSA</t>
  </si>
  <si>
    <t>BOEI</t>
  </si>
  <si>
    <t>OSIEE</t>
  </si>
  <si>
    <t>NIL</t>
  </si>
  <si>
    <t>QLN</t>
  </si>
  <si>
    <t>FEL</t>
  </si>
  <si>
    <t>NLFFKM</t>
  </si>
  <si>
    <t>I</t>
  </si>
  <si>
    <t>NEO</t>
  </si>
  <si>
    <t>NNIOOEV</t>
  </si>
  <si>
    <t>VINKJE</t>
  </si>
  <si>
    <t>VKGNDDI</t>
  </si>
  <si>
    <t>INGOEDE</t>
  </si>
  <si>
    <t>EDEIGNO</t>
  </si>
  <si>
    <t>ZONEN</t>
  </si>
  <si>
    <t>NJAOBNZ</t>
  </si>
  <si>
    <t>ZNDEEOG</t>
  </si>
  <si>
    <t>JOEP</t>
  </si>
  <si>
    <t>MNNINOE</t>
  </si>
  <si>
    <t>GA</t>
  </si>
  <si>
    <t>QNNNNAG</t>
  </si>
  <si>
    <t>MUZE</t>
  </si>
  <si>
    <t>MZAUEAF</t>
  </si>
  <si>
    <t>KANE</t>
  </si>
  <si>
    <t>LKNN</t>
  </si>
  <si>
    <t>ZVED</t>
  </si>
  <si>
    <t>Y</t>
  </si>
  <si>
    <t>VQREMBY</t>
  </si>
  <si>
    <t>SCONE</t>
  </si>
  <si>
    <t>CDSAENE</t>
  </si>
  <si>
    <t>ODD</t>
  </si>
  <si>
    <t>NDDMOOV</t>
  </si>
  <si>
    <t>CMZMETE</t>
  </si>
  <si>
    <t>UP</t>
  </si>
  <si>
    <t>DEDUPF</t>
  </si>
  <si>
    <t>QTN</t>
  </si>
  <si>
    <t>BADJE</t>
  </si>
  <si>
    <t>JDECAB</t>
  </si>
  <si>
    <t>UOA</t>
  </si>
  <si>
    <t>JUK</t>
  </si>
  <si>
    <t>UJJLLNK</t>
  </si>
  <si>
    <t>ER</t>
  </si>
  <si>
    <t>ERROU</t>
  </si>
  <si>
    <t>KLADDERS</t>
  </si>
  <si>
    <t>QSZLNHK</t>
  </si>
  <si>
    <t>FITTER</t>
  </si>
  <si>
    <t>FTEEEII</t>
  </si>
  <si>
    <t>INVOEGSEL</t>
  </si>
  <si>
    <t>G EVNLI</t>
  </si>
  <si>
    <t>QJVDE</t>
  </si>
  <si>
    <t>ZNNTHAJ</t>
  </si>
  <si>
    <t>PEK</t>
  </si>
  <si>
    <t>PE</t>
  </si>
  <si>
    <t>INSPANT</t>
  </si>
  <si>
    <t>TNPINSA</t>
  </si>
  <si>
    <t>TOQUE</t>
  </si>
  <si>
    <t>QEUO</t>
  </si>
  <si>
    <t>HES</t>
  </si>
  <si>
    <t>DNSTINH</t>
  </si>
  <si>
    <t>MER</t>
  </si>
  <si>
    <t>RNNOMEO</t>
  </si>
  <si>
    <t>WEEKST</t>
  </si>
  <si>
    <t>RTN</t>
  </si>
  <si>
    <t>MEHC</t>
  </si>
  <si>
    <t>DREINDEN</t>
  </si>
  <si>
    <t>NNE EIJ</t>
  </si>
  <si>
    <t>NNNVNDO</t>
  </si>
  <si>
    <t>EUEYSPZ</t>
  </si>
  <si>
    <t>OMWAREN</t>
  </si>
  <si>
    <t>MNWDAER</t>
  </si>
  <si>
    <t>ADERT</t>
  </si>
  <si>
    <t>EDRTEA</t>
  </si>
  <si>
    <t>Q</t>
  </si>
  <si>
    <t>RMIOI</t>
  </si>
  <si>
    <t>SOJA</t>
  </si>
  <si>
    <t>VVJMASO</t>
  </si>
  <si>
    <t>ZEILT</t>
  </si>
  <si>
    <t>QDIZTEL</t>
  </si>
  <si>
    <t>SEKS</t>
  </si>
  <si>
    <t>KESR</t>
  </si>
  <si>
    <t>PD</t>
  </si>
  <si>
    <t>LEGDEN</t>
  </si>
  <si>
    <t>QLFGD N</t>
  </si>
  <si>
    <t>TEES</t>
  </si>
  <si>
    <t>DEETSEE</t>
  </si>
  <si>
    <t>VERG</t>
  </si>
  <si>
    <t>AAN</t>
  </si>
  <si>
    <t>NQAAOIE</t>
  </si>
  <si>
    <t>TONENDE</t>
  </si>
  <si>
    <t>OETNDEN</t>
  </si>
  <si>
    <t>KUDDEN</t>
  </si>
  <si>
    <t>NM</t>
  </si>
  <si>
    <t>NJ</t>
  </si>
  <si>
    <t>AFWENDEN</t>
  </si>
  <si>
    <t>DNKM</t>
  </si>
  <si>
    <t>NKNAQSN</t>
  </si>
  <si>
    <t>GDJVV</t>
  </si>
  <si>
    <t>DAZEN</t>
  </si>
  <si>
    <t>OENAZ</t>
  </si>
  <si>
    <t>MURWEN</t>
  </si>
  <si>
    <t>NIANY</t>
  </si>
  <si>
    <t>DELER</t>
  </si>
  <si>
    <t>DNRELRE</t>
  </si>
  <si>
    <t>KNISPERT</t>
  </si>
  <si>
    <t xml:space="preserve"> RPTSKI</t>
  </si>
  <si>
    <t>QEOEGT</t>
  </si>
  <si>
    <t>ONCDUTU</t>
  </si>
  <si>
    <t>QWBSSZ</t>
  </si>
  <si>
    <t>QY</t>
  </si>
  <si>
    <t>JOX</t>
  </si>
  <si>
    <t>VETUEU</t>
  </si>
  <si>
    <t>NANO</t>
  </si>
  <si>
    <t>NRO</t>
  </si>
  <si>
    <t>OOESNNX</t>
  </si>
  <si>
    <t>DRQ</t>
  </si>
  <si>
    <t>C</t>
  </si>
  <si>
    <t>RC</t>
  </si>
  <si>
    <t>OTF</t>
  </si>
  <si>
    <t>EGARD</t>
  </si>
  <si>
    <t>DDURA G</t>
  </si>
  <si>
    <t>ONGKFN</t>
  </si>
  <si>
    <t>AJ</t>
  </si>
  <si>
    <t>UZI</t>
  </si>
  <si>
    <t>ZDNTTTI</t>
  </si>
  <si>
    <t>VAREN</t>
  </si>
  <si>
    <t>NQVA</t>
  </si>
  <si>
    <t>NEL</t>
  </si>
  <si>
    <t>NNNNLRE</t>
  </si>
  <si>
    <t>REVANCHE</t>
  </si>
  <si>
    <t>NTVCERA</t>
  </si>
  <si>
    <t>PON</t>
  </si>
  <si>
    <t>QANAO</t>
  </si>
  <si>
    <t>HITJE</t>
  </si>
  <si>
    <t>NJREHTI</t>
  </si>
  <si>
    <t>GUN</t>
  </si>
  <si>
    <t>MGD EEU</t>
  </si>
  <si>
    <t>VWLNH</t>
  </si>
  <si>
    <t>NAT</t>
  </si>
  <si>
    <t>ANTA</t>
  </si>
  <si>
    <t>DDBODHV</t>
  </si>
  <si>
    <t>MAARTSE</t>
  </si>
  <si>
    <t>RESTMAA</t>
  </si>
  <si>
    <t>RHW</t>
  </si>
  <si>
    <t>ERVAN</t>
  </si>
  <si>
    <t>NRE</t>
  </si>
  <si>
    <t>DOS</t>
  </si>
  <si>
    <t>DVDNDKN</t>
  </si>
  <si>
    <t>TRACK</t>
  </si>
  <si>
    <t>EANGRKC</t>
  </si>
  <si>
    <t>DRMQNUW</t>
  </si>
  <si>
    <t>MENSEN</t>
  </si>
  <si>
    <t>MSNEKE</t>
  </si>
  <si>
    <t>NEKJE</t>
  </si>
  <si>
    <t>NNJSSEK</t>
  </si>
  <si>
    <t>NEEBN T</t>
  </si>
  <si>
    <t>JANET</t>
  </si>
  <si>
    <t>TGJNJEA</t>
  </si>
  <si>
    <t>JEUKEND</t>
  </si>
  <si>
    <t>DKEUEGN</t>
  </si>
  <si>
    <t>AGNNQSK</t>
  </si>
  <si>
    <t>ZINNEN</t>
  </si>
  <si>
    <t>NODLEE</t>
  </si>
  <si>
    <t>NADRUKTEN</t>
  </si>
  <si>
    <t>QND</t>
  </si>
  <si>
    <t>GETB</t>
  </si>
  <si>
    <t>JUENAIH</t>
  </si>
  <si>
    <t>QAU</t>
  </si>
  <si>
    <t>ZEER</t>
  </si>
  <si>
    <t>VRZR</t>
  </si>
  <si>
    <t>FAN</t>
  </si>
  <si>
    <t>FADN</t>
  </si>
  <si>
    <t>QONE</t>
  </si>
  <si>
    <t>OOO</t>
  </si>
  <si>
    <t>ERA</t>
  </si>
  <si>
    <t>AE</t>
  </si>
  <si>
    <t>ZEVENS</t>
  </si>
  <si>
    <t>EEENSVZ</t>
  </si>
  <si>
    <t>BOTEN</t>
  </si>
  <si>
    <t>EEOVNTB</t>
  </si>
  <si>
    <t>GGQ</t>
  </si>
  <si>
    <t>KNOEIDEN</t>
  </si>
  <si>
    <t>QDNO</t>
  </si>
  <si>
    <t>WC</t>
  </si>
  <si>
    <t>NEKPIJN</t>
  </si>
  <si>
    <t>JMEPNKI</t>
  </si>
  <si>
    <t>LOEDERS</t>
  </si>
  <si>
    <t>EEROLSD</t>
  </si>
  <si>
    <t>KD</t>
  </si>
  <si>
    <t>YV</t>
  </si>
  <si>
    <t>NUN</t>
  </si>
  <si>
    <t>UNQ</t>
  </si>
  <si>
    <t>TU</t>
  </si>
  <si>
    <t>U</t>
  </si>
  <si>
    <t>DEN</t>
  </si>
  <si>
    <t>TNTD</t>
  </si>
  <si>
    <t>BEHAS</t>
  </si>
  <si>
    <t>SAU</t>
  </si>
  <si>
    <t>STEP</t>
  </si>
  <si>
    <t>NDNEMPS</t>
  </si>
  <si>
    <t>NAAD</t>
  </si>
  <si>
    <t>DQASENG</t>
  </si>
  <si>
    <t>JACKET</t>
  </si>
  <si>
    <t>KTTCEAE</t>
  </si>
  <si>
    <t>NNNROXE</t>
  </si>
  <si>
    <t>QOJE</t>
  </si>
  <si>
    <t>ZOET</t>
  </si>
  <si>
    <t>QNNOTEZ</t>
  </si>
  <si>
    <t>CIF</t>
  </si>
  <si>
    <t>RCFD</t>
  </si>
  <si>
    <t>QNOTEOU</t>
  </si>
  <si>
    <t>NNNGGLB</t>
  </si>
  <si>
    <t>NLN</t>
  </si>
  <si>
    <t>DQDN</t>
  </si>
  <si>
    <t>IJST</t>
  </si>
  <si>
    <t>JSTOI</t>
  </si>
  <si>
    <t>DNQ</t>
  </si>
  <si>
    <t>DIJKBREUK</t>
  </si>
  <si>
    <t xml:space="preserve"> EID UK</t>
  </si>
  <si>
    <t>HDMP</t>
  </si>
  <si>
    <t>QOIN</t>
  </si>
  <si>
    <t>ERNST</t>
  </si>
  <si>
    <t>TSANENR</t>
  </si>
  <si>
    <t>MESSNEE</t>
  </si>
  <si>
    <t>NMNSESE</t>
  </si>
  <si>
    <t>EENTONIGE</t>
  </si>
  <si>
    <t>INGE TE</t>
  </si>
  <si>
    <t>HDQZNW</t>
  </si>
  <si>
    <t>QCNDHJ</t>
  </si>
  <si>
    <t>NLA</t>
  </si>
  <si>
    <t>NUJEEE</t>
  </si>
  <si>
    <t>NEB</t>
  </si>
  <si>
    <t>NNNTJFR</t>
  </si>
  <si>
    <t>SNOEPJE</t>
  </si>
  <si>
    <t>JOEENPS</t>
  </si>
  <si>
    <t>TONSUREN</t>
  </si>
  <si>
    <t xml:space="preserve">RETUON </t>
  </si>
  <si>
    <t>DVGAK</t>
  </si>
  <si>
    <t>BOME</t>
  </si>
  <si>
    <t>EBEMANO</t>
  </si>
  <si>
    <t>LONEN</t>
  </si>
  <si>
    <t>NNOOREL</t>
  </si>
  <si>
    <t>JHRN</t>
  </si>
  <si>
    <t>QX</t>
  </si>
  <si>
    <t>COLT</t>
  </si>
  <si>
    <t>OFLNKET</t>
  </si>
  <si>
    <t>DDASVRN</t>
  </si>
  <si>
    <t>QGDCWLO</t>
  </si>
  <si>
    <t>MNCOEAE</t>
  </si>
  <si>
    <t>TENWARE</t>
  </si>
  <si>
    <t>VWARNEN</t>
  </si>
  <si>
    <t>AMINEN</t>
  </si>
  <si>
    <t>QOINEAN</t>
  </si>
  <si>
    <t>WIJT</t>
  </si>
  <si>
    <t>WIJUAUT</t>
  </si>
  <si>
    <t>EEK</t>
  </si>
  <si>
    <t>KEEKE</t>
  </si>
  <si>
    <t>BEVISTEN</t>
  </si>
  <si>
    <t>NSS</t>
  </si>
  <si>
    <t>JO</t>
  </si>
  <si>
    <t>FQMN</t>
  </si>
  <si>
    <t>FOK</t>
  </si>
  <si>
    <t>ANNROEF</t>
  </si>
  <si>
    <t>WOK</t>
  </si>
  <si>
    <t>NWNZHVK</t>
  </si>
  <si>
    <t>NTKEONX</t>
  </si>
  <si>
    <t>QATTENDEN</t>
  </si>
  <si>
    <t>NGDVKOD</t>
  </si>
  <si>
    <t>COKE</t>
  </si>
  <si>
    <t>QIDECKO</t>
  </si>
  <si>
    <t>DIM</t>
  </si>
  <si>
    <t>NMNDIEE</t>
  </si>
  <si>
    <t>GENEPTE</t>
  </si>
  <si>
    <t>ETPNEEG</t>
  </si>
  <si>
    <t>PINEUT</t>
  </si>
  <si>
    <t>NQTIUPW</t>
  </si>
  <si>
    <t>QCS</t>
  </si>
  <si>
    <t>EPEN</t>
  </si>
  <si>
    <t>EP</t>
  </si>
  <si>
    <t>EEEWRBN</t>
  </si>
  <si>
    <t>MUZEN</t>
  </si>
  <si>
    <t>NVZNGEC</t>
  </si>
  <si>
    <t>FD</t>
  </si>
  <si>
    <t>REES</t>
  </si>
  <si>
    <t>SEE</t>
  </si>
  <si>
    <t>NFKM</t>
  </si>
  <si>
    <t>BEI</t>
  </si>
  <si>
    <t>NIOVBEN</t>
  </si>
  <si>
    <t>GDDAQRI</t>
  </si>
  <si>
    <t>ZEDELOOS</t>
  </si>
  <si>
    <t xml:space="preserve">ELZDOS </t>
  </si>
  <si>
    <t>BABA</t>
  </si>
  <si>
    <t>JAOBBAH</t>
  </si>
  <si>
    <t>ZNDEEOB</t>
  </si>
  <si>
    <t>MNNINST</t>
  </si>
  <si>
    <t>QNNNNN</t>
  </si>
  <si>
    <t>AAF</t>
  </si>
  <si>
    <t>LN</t>
  </si>
  <si>
    <t>VD</t>
  </si>
  <si>
    <t>BELGEN</t>
  </si>
  <si>
    <t>VQREMBG</t>
  </si>
  <si>
    <t>DECO</t>
  </si>
  <si>
    <t>CDAELFO</t>
  </si>
  <si>
    <t>NMOV</t>
  </si>
  <si>
    <t>CMMTE</t>
  </si>
  <si>
    <t>DEDF</t>
  </si>
  <si>
    <t>DC</t>
  </si>
  <si>
    <t>OA</t>
  </si>
  <si>
    <t>JLLN</t>
  </si>
  <si>
    <t>ROU</t>
  </si>
  <si>
    <t>QSZNHEE</t>
  </si>
  <si>
    <t>IDER</t>
  </si>
  <si>
    <t>EEI</t>
  </si>
  <si>
    <t>ZNNTJ</t>
  </si>
  <si>
    <t>GODIN</t>
  </si>
  <si>
    <t>DNTININ</t>
  </si>
  <si>
    <t>NAPOLEON</t>
  </si>
  <si>
    <t>NNOO AE</t>
  </si>
  <si>
    <t>RN</t>
  </si>
  <si>
    <t>FACE</t>
  </si>
  <si>
    <t>EC</t>
  </si>
  <si>
    <t>JNRAUMY</t>
  </si>
  <si>
    <t>NNNNODE</t>
  </si>
  <si>
    <t>JEUNE</t>
  </si>
  <si>
    <t>EESZJUR</t>
  </si>
  <si>
    <t>DOXE</t>
  </si>
  <si>
    <t>DEEXTIO</t>
  </si>
  <si>
    <t>REL</t>
  </si>
  <si>
    <t>RMOI</t>
  </si>
  <si>
    <t>JIVEN</t>
  </si>
  <si>
    <t>VVMENJI</t>
  </si>
  <si>
    <t>QDNTAEO</t>
  </si>
  <si>
    <t>LEF</t>
  </si>
  <si>
    <t>QFLS</t>
  </si>
  <si>
    <t>DEE</t>
  </si>
  <si>
    <t>YETI</t>
  </si>
  <si>
    <t>QOIEYTB</t>
  </si>
  <si>
    <t>SD</t>
  </si>
  <si>
    <t>NKNQN</t>
  </si>
  <si>
    <t>ZINNEND</t>
  </si>
  <si>
    <t>DJVV</t>
  </si>
  <si>
    <t>IANY</t>
  </si>
  <si>
    <t>NRUISO</t>
  </si>
  <si>
    <t>UI</t>
  </si>
  <si>
    <t>NDU</t>
  </si>
  <si>
    <t>QWBSZ</t>
  </si>
  <si>
    <t>EEU</t>
  </si>
  <si>
    <t>OOSNN</t>
  </si>
  <si>
    <t>DAS</t>
  </si>
  <si>
    <t>DU</t>
  </si>
  <si>
    <t>NKFN</t>
  </si>
  <si>
    <t>DNTTT</t>
  </si>
  <si>
    <t>KA</t>
  </si>
  <si>
    <t>QA</t>
  </si>
  <si>
    <t>NNNNRAN</t>
  </si>
  <si>
    <t>TV</t>
  </si>
  <si>
    <t>QAA</t>
  </si>
  <si>
    <t>NRNZ</t>
  </si>
  <si>
    <t>RESEM</t>
  </si>
  <si>
    <t>MD EE</t>
  </si>
  <si>
    <t>VLO</t>
  </si>
  <si>
    <t>VWLN</t>
  </si>
  <si>
    <t>DDDHVOE</t>
  </si>
  <si>
    <t>RH</t>
  </si>
  <si>
    <t>TAL</t>
  </si>
  <si>
    <t>VDNDKNT</t>
  </si>
  <si>
    <t>GRAGE</t>
  </si>
  <si>
    <t>ENGRGRN</t>
  </si>
  <si>
    <t>WERD</t>
  </si>
  <si>
    <t>DRMQW</t>
  </si>
  <si>
    <t>K</t>
  </si>
  <si>
    <t>ZEI</t>
  </si>
  <si>
    <t>NSSEI Z</t>
  </si>
  <si>
    <t>WET</t>
  </si>
  <si>
    <t>NEEN TW</t>
  </si>
  <si>
    <t>GJ</t>
  </si>
  <si>
    <t>G</t>
  </si>
  <si>
    <t>AGNNQ</t>
  </si>
  <si>
    <t>DOL</t>
  </si>
  <si>
    <t>ODLE</t>
  </si>
  <si>
    <t>TB</t>
  </si>
  <si>
    <t>PERCENTEN</t>
  </si>
  <si>
    <t>JUENA</t>
  </si>
  <si>
    <t>QU</t>
  </si>
  <si>
    <t>VZR</t>
  </si>
  <si>
    <t>BEVEND</t>
  </si>
  <si>
    <t>REIZENDE</t>
  </si>
  <si>
    <t>ENE DER</t>
  </si>
  <si>
    <t>EV</t>
  </si>
  <si>
    <t>QDO</t>
  </si>
  <si>
    <t>MKT</t>
  </si>
  <si>
    <t>TT</t>
  </si>
  <si>
    <t>AU</t>
  </si>
  <si>
    <t>NDNMKE</t>
  </si>
  <si>
    <t>RENG</t>
  </si>
  <si>
    <t>QSENG</t>
  </si>
  <si>
    <t>TRED</t>
  </si>
  <si>
    <t>TEOR</t>
  </si>
  <si>
    <t>GLANZENDE</t>
  </si>
  <si>
    <t>NNNROE</t>
  </si>
  <si>
    <t>QNN</t>
  </si>
  <si>
    <t>DOR</t>
  </si>
  <si>
    <t>RD</t>
  </si>
  <si>
    <t>NNLB</t>
  </si>
  <si>
    <t>DQD</t>
  </si>
  <si>
    <t>DQ</t>
  </si>
  <si>
    <t>DP</t>
  </si>
  <si>
    <t>MAFTEN</t>
  </si>
  <si>
    <t>QN</t>
  </si>
  <si>
    <t>ANNDIJT</t>
  </si>
  <si>
    <t>BEL</t>
  </si>
  <si>
    <t>NWXREB</t>
  </si>
  <si>
    <t>QCNDJ</t>
  </si>
  <si>
    <t>UJE</t>
  </si>
  <si>
    <t>FAR</t>
  </si>
  <si>
    <t>NNTFRNA</t>
  </si>
  <si>
    <t>ICON</t>
  </si>
  <si>
    <t>IENOO</t>
  </si>
  <si>
    <t>EANHNAG</t>
  </si>
  <si>
    <t>OEF</t>
  </si>
  <si>
    <t>ORFQ</t>
  </si>
  <si>
    <t>JRN</t>
  </si>
  <si>
    <t>NEK</t>
  </si>
  <si>
    <t>OFLNKER</t>
  </si>
  <si>
    <t>VERSA</t>
  </si>
  <si>
    <t>DDSVRNE</t>
  </si>
  <si>
    <t>QGDWLAG</t>
  </si>
  <si>
    <t>NAM</t>
  </si>
  <si>
    <t>MNEAEGE</t>
  </si>
  <si>
    <t>VNNH HE</t>
  </si>
  <si>
    <t>ZONET</t>
  </si>
  <si>
    <t>QOZ</t>
  </si>
  <si>
    <t>UAU</t>
  </si>
  <si>
    <t>KE</t>
  </si>
  <si>
    <t>SS</t>
  </si>
  <si>
    <t>FQ</t>
  </si>
  <si>
    <t>ANNRE</t>
  </si>
  <si>
    <t>NNZHV</t>
  </si>
  <si>
    <t>NTKEONE</t>
  </si>
  <si>
    <t>GOK</t>
  </si>
  <si>
    <t>GDVKODS</t>
  </si>
  <si>
    <t>IEL</t>
  </si>
  <si>
    <t>QIDDE</t>
  </si>
  <si>
    <t>NEU</t>
  </si>
  <si>
    <t>NNEE</t>
  </si>
  <si>
    <t>DIEREN</t>
  </si>
  <si>
    <t>EENDEAR</t>
  </si>
  <si>
    <t>QWAA AR</t>
  </si>
  <si>
    <t>BIER</t>
  </si>
  <si>
    <t>EEERBNI</t>
  </si>
  <si>
    <t>VET</t>
  </si>
  <si>
    <t>NVNGCT</t>
  </si>
  <si>
    <t>NOVN</t>
  </si>
  <si>
    <t>ID</t>
  </si>
  <si>
    <t>DQRI</t>
  </si>
  <si>
    <t>TDSEK N</t>
  </si>
  <si>
    <t>MAJOR</t>
  </si>
  <si>
    <t>JOHMARS</t>
  </si>
  <si>
    <t>MNNINTA</t>
  </si>
  <si>
    <t>QNNNN</t>
  </si>
  <si>
    <t>L</t>
  </si>
  <si>
    <t>VQRM</t>
  </si>
  <si>
    <t>NV</t>
  </si>
  <si>
    <t>CMMT</t>
  </si>
  <si>
    <t>DED</t>
  </si>
  <si>
    <t>JLN</t>
  </si>
  <si>
    <t>RUWE</t>
  </si>
  <si>
    <t>RU</t>
  </si>
  <si>
    <t>FITTERS</t>
  </si>
  <si>
    <t>QSZNE</t>
  </si>
  <si>
    <t>INDENKT</t>
  </si>
  <si>
    <t>DTNINKE</t>
  </si>
  <si>
    <t>ETUI</t>
  </si>
  <si>
    <t>UEEIEXT</t>
  </si>
  <si>
    <t>MAJEUR</t>
  </si>
  <si>
    <t>JRAUMRN</t>
  </si>
  <si>
    <t>EPION</t>
  </si>
  <si>
    <t>NNDIEOP</t>
  </si>
  <si>
    <t>SZRRM</t>
  </si>
  <si>
    <t>TIME</t>
  </si>
  <si>
    <t>EETI</t>
  </si>
  <si>
    <t>FEEKS</t>
  </si>
  <si>
    <t>VMDE FK</t>
  </si>
  <si>
    <t>TOE</t>
  </si>
  <si>
    <t>QTEO</t>
  </si>
  <si>
    <t>QS</t>
  </si>
  <si>
    <t>BEENTJES</t>
  </si>
  <si>
    <t>QOB</t>
  </si>
  <si>
    <t>TUKT</t>
  </si>
  <si>
    <t>KNQN</t>
  </si>
  <si>
    <t>JVV</t>
  </si>
  <si>
    <t>EDEN</t>
  </si>
  <si>
    <t>ND</t>
  </si>
  <si>
    <t>QSZ</t>
  </si>
  <si>
    <t>NO</t>
  </si>
  <si>
    <t>ON</t>
  </si>
  <si>
    <t>KN</t>
  </si>
  <si>
    <t>TES</t>
  </si>
  <si>
    <t>TTT</t>
  </si>
  <si>
    <t>NNNN</t>
  </si>
  <si>
    <t>WN</t>
  </si>
  <si>
    <t>SEIN</t>
  </si>
  <si>
    <t>VDNDKNS</t>
  </si>
  <si>
    <t>KRENGE</t>
  </si>
  <si>
    <t>NRNEGKO</t>
  </si>
  <si>
    <t>MQ</t>
  </si>
  <si>
    <t>STENEN</t>
  </si>
  <si>
    <t>NSS GEC</t>
  </si>
  <si>
    <t>NEN AQA</t>
  </si>
  <si>
    <t>GNQ</t>
  </si>
  <si>
    <t>JUAN</t>
  </si>
  <si>
    <t>JUA</t>
  </si>
  <si>
    <t>DNKE</t>
  </si>
  <si>
    <t>IS</t>
  </si>
  <si>
    <t>OME</t>
  </si>
  <si>
    <t>NNNRO</t>
  </si>
  <si>
    <t>NN</t>
  </si>
  <si>
    <t>DJATI</t>
  </si>
  <si>
    <t>ANDIJT</t>
  </si>
  <si>
    <t>NWXR</t>
  </si>
  <si>
    <t>NNTN</t>
  </si>
  <si>
    <t>EOO</t>
  </si>
  <si>
    <t>EHNG</t>
  </si>
  <si>
    <t>BOMERS</t>
  </si>
  <si>
    <t>RQ</t>
  </si>
  <si>
    <t>JR</t>
  </si>
  <si>
    <t>FLEER</t>
  </si>
  <si>
    <t>OFLERD</t>
  </si>
  <si>
    <t>DDN</t>
  </si>
  <si>
    <t>QDWLGKP</t>
  </si>
  <si>
    <t>EEGEDN</t>
  </si>
  <si>
    <t>NH</t>
  </si>
  <si>
    <t>UU</t>
  </si>
  <si>
    <t>ANN</t>
  </si>
  <si>
    <t>NNZV</t>
  </si>
  <si>
    <t>NTKONEU</t>
  </si>
  <si>
    <t>DVDSEVE</t>
  </si>
  <si>
    <t>QDD</t>
  </si>
  <si>
    <t>NE</t>
  </si>
  <si>
    <t>EA</t>
  </si>
  <si>
    <t>DECIELEN</t>
  </si>
  <si>
    <t>NNGC</t>
  </si>
  <si>
    <t>NVN</t>
  </si>
  <si>
    <t>QR</t>
  </si>
  <si>
    <t>ONTDEKKE</t>
  </si>
  <si>
    <t>DEK NTK</t>
  </si>
  <si>
    <t>HS</t>
  </si>
  <si>
    <t>ZNDEESO</t>
  </si>
  <si>
    <t>NNINTTF</t>
  </si>
  <si>
    <t>QNNN</t>
  </si>
  <si>
    <t>VQM</t>
  </si>
  <si>
    <t>CMT</t>
  </si>
  <si>
    <t>QZNE</t>
  </si>
  <si>
    <t>EEX</t>
  </si>
  <si>
    <t>GEUREN</t>
  </si>
  <si>
    <t>RNGUEAE</t>
  </si>
  <si>
    <t>KADI</t>
  </si>
  <si>
    <t>NDSIAK</t>
  </si>
  <si>
    <t>SZR</t>
  </si>
  <si>
    <t>ENE</t>
  </si>
  <si>
    <t>EE</t>
  </si>
  <si>
    <t>VMD</t>
  </si>
  <si>
    <t>QO</t>
  </si>
  <si>
    <t>NQN</t>
  </si>
  <si>
    <t>JV</t>
  </si>
  <si>
    <t>EBT</t>
  </si>
  <si>
    <t>STALKE</t>
  </si>
  <si>
    <t>VDDKNAE</t>
  </si>
  <si>
    <t>NOO</t>
  </si>
  <si>
    <t>CLICK</t>
  </si>
  <si>
    <t>S GCTOD</t>
  </si>
  <si>
    <t>NEN QAU</t>
  </si>
  <si>
    <t>GQ</t>
  </si>
  <si>
    <t>DN</t>
  </si>
  <si>
    <t>NWR</t>
  </si>
  <si>
    <t>NNN</t>
  </si>
  <si>
    <t>OD</t>
  </si>
  <si>
    <t>QDLGKP</t>
  </si>
  <si>
    <t>EEDN</t>
  </si>
  <si>
    <t>BOGEN</t>
  </si>
  <si>
    <t>KNUT</t>
  </si>
  <si>
    <t>TKONEPE</t>
  </si>
  <si>
    <t>VDSVEBG</t>
  </si>
  <si>
    <t>DORPSER</t>
  </si>
  <si>
    <t>NC</t>
  </si>
  <si>
    <t>VN</t>
  </si>
  <si>
    <t>NDEES</t>
  </si>
  <si>
    <t>NNNTF</t>
  </si>
  <si>
    <t>BRA</t>
  </si>
  <si>
    <t>NS</t>
  </si>
  <si>
    <t>SZ</t>
  </si>
  <si>
    <t>KAT</t>
  </si>
  <si>
    <t>VDDN</t>
  </si>
  <si>
    <t>BONI</t>
  </si>
  <si>
    <t>SGTOD</t>
  </si>
  <si>
    <t>GUNNE</t>
  </si>
  <si>
    <t>NENU</t>
  </si>
  <si>
    <t>QDLGK</t>
  </si>
  <si>
    <t>OEPEN</t>
  </si>
  <si>
    <t>VDSVG</t>
  </si>
  <si>
    <t>NDEE</t>
  </si>
  <si>
    <t>NNNT</t>
  </si>
  <si>
    <t>DD</t>
  </si>
  <si>
    <t>TD</t>
  </si>
  <si>
    <t>QDLK</t>
  </si>
  <si>
    <t>VDSV</t>
  </si>
  <si>
    <t>NEE</t>
  </si>
  <si>
    <t>NNT</t>
  </si>
  <si>
    <t>QDL</t>
  </si>
  <si>
    <t>LATE</t>
  </si>
  <si>
    <t>VDV</t>
  </si>
  <si>
    <t>Start</t>
  </si>
  <si>
    <t>μ(Combi - Greedy)</t>
  </si>
  <si>
    <t>σ(Combi - Greedy)</t>
  </si>
  <si>
    <t>P(C - G &gt; 0)</t>
  </si>
  <si>
    <t>1- P(C - G &lt; 0)</t>
  </si>
  <si>
    <t>P(X &lt;= ...)</t>
  </si>
  <si>
    <t>Words</t>
  </si>
  <si>
    <t>Tilerow</t>
  </si>
  <si>
    <t>Statistic</t>
  </si>
  <si>
    <t>Chance</t>
  </si>
  <si>
    <t>Total (n)</t>
  </si>
  <si>
    <t>Wins</t>
  </si>
  <si>
    <t>Avg. Score</t>
  </si>
  <si>
    <t>Sta.dev σ</t>
  </si>
  <si>
    <t>Avg. Time</t>
  </si>
  <si>
    <t>win-lose ratio</t>
  </si>
  <si>
    <t>Tie</t>
  </si>
  <si>
    <t>expected chance</t>
  </si>
  <si>
    <t>X is number of wins C</t>
  </si>
  <si>
    <t>real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</si>
</sst>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/>
    </fill>
    <fill>
      <patternFill patternType="solid">
        <fgColor rgb="FFCCCCCC"/>
        <bgColor rgb="FFCCCCCC"/>
      </patternFill>
    </fill>
    <fill>
      <patternFill patternType="solid">
        <fgColor rgb="FFFFFF00"/>
        <bgColor indexed="64"/>
      </patternFill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0" applyFont="1"/>
    <xf numFmtId="0" fontId="2" fillId="0" borderId="0" xfId="0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10" fontId="0" fillId="0" borderId="0" xfId="1" applyNumberFormat="1" applyFont="1"/>
    <xf numFmtId="166" fontId="0" fillId="0" borderId="0" xfId="0" applyNumberFormat="1"/>
  </cellXfs>
  <cellStyles count="2">
    <cellStyle name="Procent" xfId="1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Blad1!$F$1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Blad1!$F$2:$F$26</c:f>
              <c:numCache>
                <c:formatCode>General</c:formatCode>
                <c:ptCount val="25"/>
                <c:pt idx="0">
                  <c:v>0</c:v>
                </c:pt>
                <c:pt idx="1">
                  <c:v>28</c:v>
                </c:pt>
                <c:pt idx="2">
                  <c:v>52</c:v>
                </c:pt>
                <c:pt idx="3">
                  <c:v>94</c:v>
                </c:pt>
                <c:pt idx="4">
                  <c:v>124</c:v>
                </c:pt>
                <c:pt idx="5">
                  <c:v>153</c:v>
                </c:pt>
                <c:pt idx="6">
                  <c:v>165</c:v>
                </c:pt>
                <c:pt idx="7">
                  <c:v>176</c:v>
                </c:pt>
                <c:pt idx="8">
                  <c:v>190</c:v>
                </c:pt>
                <c:pt idx="9">
                  <c:v>204</c:v>
                </c:pt>
                <c:pt idx="10">
                  <c:v>222</c:v>
                </c:pt>
                <c:pt idx="11">
                  <c:v>234</c:v>
                </c:pt>
                <c:pt idx="12">
                  <c:v>262</c:v>
                </c:pt>
                <c:pt idx="13">
                  <c:v>286</c:v>
                </c:pt>
                <c:pt idx="14">
                  <c:v>323</c:v>
                </c:pt>
                <c:pt idx="15">
                  <c:v>356</c:v>
                </c:pt>
                <c:pt idx="16">
                  <c:v>366</c:v>
                </c:pt>
                <c:pt idx="17">
                  <c:v>373</c:v>
                </c:pt>
                <c:pt idx="18">
                  <c:v>373</c:v>
                </c:pt>
                <c:pt idx="19">
                  <c:v>369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D7A-4C62-99D2-3D0D1FFF5BAC}"/>
            </c:ext>
          </c:extLst>
        </c:ser>
        <c:ser>
          <c:idx val="1"/>
          <c:order val="1"/>
          <c:tx>
            <c:strRef>
              <c:f>Blad1!$L$1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Blad1!$L$2:$L$26</c:f>
              <c:numCache>
                <c:formatCode>General</c:formatCode>
                <c:ptCount val="25"/>
                <c:pt idx="0">
                  <c:v>0</c:v>
                </c:pt>
                <c:pt idx="1">
                  <c:v>160</c:v>
                </c:pt>
                <c:pt idx="2">
                  <c:v>193</c:v>
                </c:pt>
                <c:pt idx="3">
                  <c:v>217</c:v>
                </c:pt>
                <c:pt idx="4">
                  <c:v>217</c:v>
                </c:pt>
                <c:pt idx="5">
                  <c:v>305</c:v>
                </c:pt>
                <c:pt idx="6">
                  <c:v>343</c:v>
                </c:pt>
                <c:pt idx="7">
                  <c:v>377</c:v>
                </c:pt>
                <c:pt idx="8">
                  <c:v>407</c:v>
                </c:pt>
                <c:pt idx="9">
                  <c:v>429</c:v>
                </c:pt>
                <c:pt idx="10">
                  <c:v>461</c:v>
                </c:pt>
                <c:pt idx="11">
                  <c:v>490</c:v>
                </c:pt>
                <c:pt idx="12">
                  <c:v>519</c:v>
                </c:pt>
                <c:pt idx="13">
                  <c:v>577</c:v>
                </c:pt>
                <c:pt idx="14">
                  <c:v>623</c:v>
                </c:pt>
                <c:pt idx="15">
                  <c:v>640</c:v>
                </c:pt>
                <c:pt idx="16">
                  <c:v>640</c:v>
                </c:pt>
                <c:pt idx="17">
                  <c:v>640</c:v>
                </c:pt>
                <c:pt idx="18">
                  <c:v>640</c:v>
                </c:pt>
                <c:pt idx="19">
                  <c:v>630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D7A-4C62-99D2-3D0D1FFF5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Blad1!$R$2:$R$26</c:f>
              <c:numCache>
                <c:formatCode>General</c:formatCode>
                <c:ptCount val="25"/>
                <c:pt idx="0">
                  <c:v>0</c:v>
                </c:pt>
                <c:pt idx="1">
                  <c:v>12</c:v>
                </c:pt>
                <c:pt idx="2">
                  <c:v>42</c:v>
                </c:pt>
                <c:pt idx="3">
                  <c:v>86</c:v>
                </c:pt>
                <c:pt idx="4">
                  <c:v>134</c:v>
                </c:pt>
                <c:pt idx="5">
                  <c:v>167</c:v>
                </c:pt>
                <c:pt idx="6">
                  <c:v>189</c:v>
                </c:pt>
                <c:pt idx="7">
                  <c:v>228</c:v>
                </c:pt>
                <c:pt idx="8">
                  <c:v>283</c:v>
                </c:pt>
                <c:pt idx="9">
                  <c:v>325</c:v>
                </c:pt>
                <c:pt idx="10">
                  <c:v>353</c:v>
                </c:pt>
                <c:pt idx="11">
                  <c:v>434</c:v>
                </c:pt>
                <c:pt idx="12">
                  <c:v>459</c:v>
                </c:pt>
                <c:pt idx="13">
                  <c:v>484</c:v>
                </c:pt>
                <c:pt idx="14">
                  <c:v>493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8D-4730-AAD7-2CDF3A986A0C}"/>
            </c:ext>
          </c:extLst>
        </c:ser>
        <c:ser>
          <c:idx val="1"/>
          <c:order val="1"/>
          <c:tx>
            <c:strRef>
              <c:f>Blad1!$X$1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Blad1!$X$2:$X$26</c:f>
              <c:numCache>
                <c:formatCode>General</c:formatCode>
                <c:ptCount val="25"/>
                <c:pt idx="0">
                  <c:v>0</c:v>
                </c:pt>
                <c:pt idx="1">
                  <c:v>19</c:v>
                </c:pt>
                <c:pt idx="2">
                  <c:v>44</c:v>
                </c:pt>
                <c:pt idx="3">
                  <c:v>77</c:v>
                </c:pt>
                <c:pt idx="4">
                  <c:v>93</c:v>
                </c:pt>
                <c:pt idx="5">
                  <c:v>102</c:v>
                </c:pt>
                <c:pt idx="6">
                  <c:v>158</c:v>
                </c:pt>
                <c:pt idx="7">
                  <c:v>365</c:v>
                </c:pt>
                <c:pt idx="8">
                  <c:v>431</c:v>
                </c:pt>
                <c:pt idx="9">
                  <c:v>461</c:v>
                </c:pt>
                <c:pt idx="10">
                  <c:v>494</c:v>
                </c:pt>
                <c:pt idx="11">
                  <c:v>560</c:v>
                </c:pt>
                <c:pt idx="12">
                  <c:v>589</c:v>
                </c:pt>
                <c:pt idx="13">
                  <c:v>599</c:v>
                </c:pt>
                <c:pt idx="14">
                  <c:v>597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8D-4730-AAD7-2CDF3A986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Blad1!$AD$1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Blad1!$AD$2:$AD$26</c:f>
              <c:numCache>
                <c:formatCode>General</c:formatCode>
                <c:ptCount val="25"/>
                <c:pt idx="0">
                  <c:v>0</c:v>
                </c:pt>
                <c:pt idx="1">
                  <c:v>10</c:v>
                </c:pt>
                <c:pt idx="2">
                  <c:v>27</c:v>
                </c:pt>
                <c:pt idx="3">
                  <c:v>55</c:v>
                </c:pt>
                <c:pt idx="4">
                  <c:v>73</c:v>
                </c:pt>
                <c:pt idx="5">
                  <c:v>106</c:v>
                </c:pt>
                <c:pt idx="6">
                  <c:v>128</c:v>
                </c:pt>
                <c:pt idx="7">
                  <c:v>158</c:v>
                </c:pt>
                <c:pt idx="8">
                  <c:v>194</c:v>
                </c:pt>
                <c:pt idx="9">
                  <c:v>214</c:v>
                </c:pt>
                <c:pt idx="10">
                  <c:v>253</c:v>
                </c:pt>
                <c:pt idx="11">
                  <c:v>294</c:v>
                </c:pt>
                <c:pt idx="12">
                  <c:v>345</c:v>
                </c:pt>
                <c:pt idx="13">
                  <c:v>374</c:v>
                </c:pt>
                <c:pt idx="14">
                  <c:v>390</c:v>
                </c:pt>
                <c:pt idx="15">
                  <c:v>378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B65-484D-86B9-55699C071297}"/>
            </c:ext>
          </c:extLst>
        </c:ser>
        <c:ser>
          <c:idx val="1"/>
          <c:order val="1"/>
          <c:tx>
            <c:strRef>
              <c:f>Blad1!$AJ$1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Blad1!$AJ$2:$AJ$26</c:f>
              <c:numCache>
                <c:formatCode>General</c:formatCode>
                <c:ptCount val="25"/>
                <c:pt idx="0">
                  <c:v>0</c:v>
                </c:pt>
                <c:pt idx="1">
                  <c:v>30</c:v>
                </c:pt>
                <c:pt idx="2">
                  <c:v>57</c:v>
                </c:pt>
                <c:pt idx="3">
                  <c:v>97</c:v>
                </c:pt>
                <c:pt idx="4">
                  <c:v>120</c:v>
                </c:pt>
                <c:pt idx="5">
                  <c:v>160</c:v>
                </c:pt>
                <c:pt idx="6">
                  <c:v>187</c:v>
                </c:pt>
                <c:pt idx="7">
                  <c:v>205</c:v>
                </c:pt>
                <c:pt idx="8">
                  <c:v>275</c:v>
                </c:pt>
                <c:pt idx="9">
                  <c:v>295</c:v>
                </c:pt>
                <c:pt idx="10">
                  <c:v>358</c:v>
                </c:pt>
                <c:pt idx="11">
                  <c:v>400</c:v>
                </c:pt>
                <c:pt idx="12">
                  <c:v>422</c:v>
                </c:pt>
                <c:pt idx="13">
                  <c:v>452</c:v>
                </c:pt>
                <c:pt idx="14">
                  <c:v>467</c:v>
                </c:pt>
                <c:pt idx="15">
                  <c:v>479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B65-484D-86B9-55699C071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Blad1!$AP$1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Blad1!$AP$2:$AP$26</c:f>
              <c:numCache>
                <c:formatCode>General</c:formatCode>
                <c:ptCount val="25"/>
                <c:pt idx="0">
                  <c:v>0</c:v>
                </c:pt>
                <c:pt idx="1">
                  <c:v>24</c:v>
                </c:pt>
                <c:pt idx="2">
                  <c:v>57</c:v>
                </c:pt>
                <c:pt idx="3">
                  <c:v>99</c:v>
                </c:pt>
                <c:pt idx="4">
                  <c:v>137</c:v>
                </c:pt>
                <c:pt idx="5">
                  <c:v>169</c:v>
                </c:pt>
                <c:pt idx="6">
                  <c:v>228</c:v>
                </c:pt>
                <c:pt idx="7">
                  <c:v>265</c:v>
                </c:pt>
                <c:pt idx="8">
                  <c:v>308</c:v>
                </c:pt>
                <c:pt idx="9">
                  <c:v>345</c:v>
                </c:pt>
                <c:pt idx="10">
                  <c:v>379</c:v>
                </c:pt>
                <c:pt idx="11">
                  <c:v>409</c:v>
                </c:pt>
                <c:pt idx="12">
                  <c:v>424</c:v>
                </c:pt>
                <c:pt idx="13">
                  <c:v>444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D76-41FD-AEBF-5AB21BD5A092}"/>
            </c:ext>
          </c:extLst>
        </c:ser>
        <c:ser>
          <c:idx val="1"/>
          <c:order val="1"/>
          <c:tx>
            <c:strRef>
              <c:f>Blad1!$AV$1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Blad1!$AV$2:$AV$26</c:f>
              <c:numCache>
                <c:formatCode>General</c:formatCode>
                <c:ptCount val="25"/>
                <c:pt idx="0">
                  <c:v>0</c:v>
                </c:pt>
                <c:pt idx="1">
                  <c:v>40</c:v>
                </c:pt>
                <c:pt idx="2">
                  <c:v>104</c:v>
                </c:pt>
                <c:pt idx="3">
                  <c:v>137</c:v>
                </c:pt>
                <c:pt idx="4">
                  <c:v>194</c:v>
                </c:pt>
                <c:pt idx="5">
                  <c:v>243</c:v>
                </c:pt>
                <c:pt idx="6">
                  <c:v>374</c:v>
                </c:pt>
                <c:pt idx="7">
                  <c:v>390</c:v>
                </c:pt>
                <c:pt idx="8">
                  <c:v>460</c:v>
                </c:pt>
                <c:pt idx="9">
                  <c:v>508</c:v>
                </c:pt>
                <c:pt idx="10">
                  <c:v>541</c:v>
                </c:pt>
                <c:pt idx="11">
                  <c:v>568</c:v>
                </c:pt>
                <c:pt idx="12">
                  <c:v>578</c:v>
                </c:pt>
                <c:pt idx="13">
                  <c:v>568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D76-41FD-AEBF-5AB21BD5A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Blad1!$BB$1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Blad1!$BB$2:$BB$26</c:f>
              <c:numCache>
                <c:formatCode>General</c:formatCode>
                <c:ptCount val="25"/>
                <c:pt idx="0">
                  <c:v>0</c:v>
                </c:pt>
                <c:pt idx="1">
                  <c:v>10</c:v>
                </c:pt>
                <c:pt idx="2">
                  <c:v>62</c:v>
                </c:pt>
                <c:pt idx="3">
                  <c:v>94</c:v>
                </c:pt>
                <c:pt idx="4">
                  <c:v>130</c:v>
                </c:pt>
                <c:pt idx="5">
                  <c:v>158</c:v>
                </c:pt>
                <c:pt idx="6">
                  <c:v>190</c:v>
                </c:pt>
                <c:pt idx="7">
                  <c:v>219</c:v>
                </c:pt>
                <c:pt idx="8">
                  <c:v>252</c:v>
                </c:pt>
                <c:pt idx="9">
                  <c:v>286</c:v>
                </c:pt>
                <c:pt idx="10">
                  <c:v>322</c:v>
                </c:pt>
                <c:pt idx="11">
                  <c:v>347</c:v>
                </c:pt>
                <c:pt idx="12">
                  <c:v>370</c:v>
                </c:pt>
                <c:pt idx="13">
                  <c:v>389</c:v>
                </c:pt>
                <c:pt idx="14">
                  <c:v>449</c:v>
                </c:pt>
                <c:pt idx="15">
                  <c:v>465</c:v>
                </c:pt>
                <c:pt idx="16">
                  <c:v>454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054-4E59-8EE9-F57D89611769}"/>
            </c:ext>
          </c:extLst>
        </c:ser>
        <c:ser>
          <c:idx val="1"/>
          <c:order val="1"/>
          <c:tx>
            <c:strRef>
              <c:f>Blad1!$BH$1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Blad1!$BH$2:$BH$26</c:f>
              <c:numCache>
                <c:formatCode>General</c:formatCode>
                <c:ptCount val="25"/>
                <c:pt idx="0">
                  <c:v>0</c:v>
                </c:pt>
                <c:pt idx="1">
                  <c:v>25</c:v>
                </c:pt>
                <c:pt idx="2">
                  <c:v>51</c:v>
                </c:pt>
                <c:pt idx="3">
                  <c:v>68</c:v>
                </c:pt>
                <c:pt idx="4">
                  <c:v>88</c:v>
                </c:pt>
                <c:pt idx="5">
                  <c:v>112</c:v>
                </c:pt>
                <c:pt idx="6">
                  <c:v>127</c:v>
                </c:pt>
                <c:pt idx="7">
                  <c:v>149</c:v>
                </c:pt>
                <c:pt idx="8">
                  <c:v>330</c:v>
                </c:pt>
                <c:pt idx="9">
                  <c:v>369</c:v>
                </c:pt>
                <c:pt idx="10">
                  <c:v>408</c:v>
                </c:pt>
                <c:pt idx="11">
                  <c:v>440</c:v>
                </c:pt>
                <c:pt idx="12">
                  <c:v>462</c:v>
                </c:pt>
                <c:pt idx="13">
                  <c:v>518</c:v>
                </c:pt>
                <c:pt idx="14">
                  <c:v>532</c:v>
                </c:pt>
                <c:pt idx="15">
                  <c:v>536</c:v>
                </c:pt>
                <c:pt idx="16">
                  <c:v>547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054-4E59-8EE9-F57D89611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Blad1!$BN$1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Blad1!$BN$2:$BN$26</c:f>
              <c:numCache>
                <c:formatCode>General</c:formatCode>
                <c:ptCount val="25"/>
                <c:pt idx="0">
                  <c:v>0</c:v>
                </c:pt>
                <c:pt idx="1">
                  <c:v>9</c:v>
                </c:pt>
                <c:pt idx="2">
                  <c:v>32</c:v>
                </c:pt>
                <c:pt idx="3">
                  <c:v>68</c:v>
                </c:pt>
                <c:pt idx="4">
                  <c:v>98</c:v>
                </c:pt>
                <c:pt idx="5">
                  <c:v>152</c:v>
                </c:pt>
                <c:pt idx="6">
                  <c:v>182</c:v>
                </c:pt>
                <c:pt idx="7">
                  <c:v>209</c:v>
                </c:pt>
                <c:pt idx="8">
                  <c:v>234</c:v>
                </c:pt>
                <c:pt idx="9">
                  <c:v>300</c:v>
                </c:pt>
                <c:pt idx="10">
                  <c:v>332</c:v>
                </c:pt>
                <c:pt idx="11">
                  <c:v>357</c:v>
                </c:pt>
                <c:pt idx="12">
                  <c:v>402</c:v>
                </c:pt>
                <c:pt idx="13">
                  <c:v>413</c:v>
                </c:pt>
                <c:pt idx="14">
                  <c:v>424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024-420E-B5B9-0F94905ABDF4}"/>
            </c:ext>
          </c:extLst>
        </c:ser>
        <c:ser>
          <c:idx val="1"/>
          <c:order val="1"/>
          <c:tx>
            <c:strRef>
              <c:f>Blad1!$BT$1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Blad1!$BT$2:$BT$26</c:f>
              <c:numCache>
                <c:formatCode>General</c:formatCode>
                <c:ptCount val="25"/>
                <c:pt idx="0">
                  <c:v>0</c:v>
                </c:pt>
                <c:pt idx="1">
                  <c:v>20</c:v>
                </c:pt>
                <c:pt idx="2">
                  <c:v>47</c:v>
                </c:pt>
                <c:pt idx="3">
                  <c:v>123</c:v>
                </c:pt>
                <c:pt idx="4">
                  <c:v>182</c:v>
                </c:pt>
                <c:pt idx="5">
                  <c:v>216</c:v>
                </c:pt>
                <c:pt idx="6">
                  <c:v>244</c:v>
                </c:pt>
                <c:pt idx="7">
                  <c:v>264</c:v>
                </c:pt>
                <c:pt idx="8">
                  <c:v>340</c:v>
                </c:pt>
                <c:pt idx="9">
                  <c:v>377</c:v>
                </c:pt>
                <c:pt idx="10">
                  <c:v>401</c:v>
                </c:pt>
                <c:pt idx="11">
                  <c:v>488</c:v>
                </c:pt>
                <c:pt idx="12">
                  <c:v>508</c:v>
                </c:pt>
                <c:pt idx="13">
                  <c:v>514</c:v>
                </c:pt>
                <c:pt idx="14">
                  <c:v>510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024-420E-B5B9-0F94905AB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Blad1!$BZ$1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Blad1!$BZ$2:$BZ$26</c:f>
              <c:numCache>
                <c:formatCode>General</c:formatCode>
                <c:ptCount val="25"/>
                <c:pt idx="0">
                  <c:v>0</c:v>
                </c:pt>
                <c:pt idx="1">
                  <c:v>62</c:v>
                </c:pt>
                <c:pt idx="2">
                  <c:v>138</c:v>
                </c:pt>
                <c:pt idx="3">
                  <c:v>184</c:v>
                </c:pt>
                <c:pt idx="4">
                  <c:v>246</c:v>
                </c:pt>
                <c:pt idx="5">
                  <c:v>412</c:v>
                </c:pt>
                <c:pt idx="6">
                  <c:v>444</c:v>
                </c:pt>
                <c:pt idx="7">
                  <c:v>469</c:v>
                </c:pt>
                <c:pt idx="8">
                  <c:v>511</c:v>
                </c:pt>
                <c:pt idx="9">
                  <c:v>543</c:v>
                </c:pt>
                <c:pt idx="10">
                  <c:v>567</c:v>
                </c:pt>
                <c:pt idx="11">
                  <c:v>590</c:v>
                </c:pt>
                <c:pt idx="12">
                  <c:v>613</c:v>
                </c:pt>
                <c:pt idx="13">
                  <c:v>638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25C-460B-AD09-5999AAD7CF38}"/>
            </c:ext>
          </c:extLst>
        </c:ser>
        <c:ser>
          <c:idx val="1"/>
          <c:order val="1"/>
          <c:tx>
            <c:strRef>
              <c:f>Blad1!$CF$1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Blad1!$CF$2:$CF$26</c:f>
              <c:numCache>
                <c:formatCode>General</c:formatCode>
                <c:ptCount val="25"/>
                <c:pt idx="0">
                  <c:v>0</c:v>
                </c:pt>
                <c:pt idx="1">
                  <c:v>28</c:v>
                </c:pt>
                <c:pt idx="2">
                  <c:v>116</c:v>
                </c:pt>
                <c:pt idx="3">
                  <c:v>155</c:v>
                </c:pt>
                <c:pt idx="4">
                  <c:v>197</c:v>
                </c:pt>
                <c:pt idx="5">
                  <c:v>230</c:v>
                </c:pt>
                <c:pt idx="6">
                  <c:v>267</c:v>
                </c:pt>
                <c:pt idx="7">
                  <c:v>315</c:v>
                </c:pt>
                <c:pt idx="8">
                  <c:v>348</c:v>
                </c:pt>
                <c:pt idx="9">
                  <c:v>376</c:v>
                </c:pt>
                <c:pt idx="10">
                  <c:v>403</c:v>
                </c:pt>
                <c:pt idx="11">
                  <c:v>416</c:v>
                </c:pt>
                <c:pt idx="12">
                  <c:v>433</c:v>
                </c:pt>
                <c:pt idx="13">
                  <c:v>424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25C-460B-AD09-5999AAD7C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Blad1!$CL$1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Blad1!$CL$2:$CL$26</c:f>
              <c:numCache>
                <c:formatCode>General</c:formatCode>
                <c:ptCount val="25"/>
                <c:pt idx="0">
                  <c:v>0</c:v>
                </c:pt>
                <c:pt idx="1">
                  <c:v>22</c:v>
                </c:pt>
                <c:pt idx="2">
                  <c:v>67</c:v>
                </c:pt>
                <c:pt idx="3">
                  <c:v>104</c:v>
                </c:pt>
                <c:pt idx="4">
                  <c:v>138</c:v>
                </c:pt>
                <c:pt idx="5">
                  <c:v>173</c:v>
                </c:pt>
                <c:pt idx="6">
                  <c:v>245</c:v>
                </c:pt>
                <c:pt idx="7">
                  <c:v>291</c:v>
                </c:pt>
                <c:pt idx="8">
                  <c:v>337</c:v>
                </c:pt>
                <c:pt idx="9">
                  <c:v>394</c:v>
                </c:pt>
                <c:pt idx="10">
                  <c:v>444</c:v>
                </c:pt>
                <c:pt idx="11">
                  <c:v>490</c:v>
                </c:pt>
                <c:pt idx="12">
                  <c:v>479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36E-4BD1-9FE1-D77F8AE4F425}"/>
            </c:ext>
          </c:extLst>
        </c:ser>
        <c:ser>
          <c:idx val="1"/>
          <c:order val="1"/>
          <c:tx>
            <c:strRef>
              <c:f>Blad1!$CR$1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Blad1!$CR$2:$CR$26</c:f>
              <c:numCache>
                <c:formatCode>General</c:formatCode>
                <c:ptCount val="25"/>
                <c:pt idx="0">
                  <c:v>0</c:v>
                </c:pt>
                <c:pt idx="1">
                  <c:v>80</c:v>
                </c:pt>
                <c:pt idx="2">
                  <c:v>164</c:v>
                </c:pt>
                <c:pt idx="3">
                  <c:v>212</c:v>
                </c:pt>
                <c:pt idx="4">
                  <c:v>242</c:v>
                </c:pt>
                <c:pt idx="5">
                  <c:v>270</c:v>
                </c:pt>
                <c:pt idx="6">
                  <c:v>292</c:v>
                </c:pt>
                <c:pt idx="7">
                  <c:v>314</c:v>
                </c:pt>
                <c:pt idx="8">
                  <c:v>342</c:v>
                </c:pt>
                <c:pt idx="9">
                  <c:v>350</c:v>
                </c:pt>
                <c:pt idx="10">
                  <c:v>392</c:v>
                </c:pt>
                <c:pt idx="11">
                  <c:v>445</c:v>
                </c:pt>
                <c:pt idx="12">
                  <c:v>456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36E-4BD1-9FE1-D77F8AE4F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Blad1!$CX$1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Blad1!$CX$2:$CX$26</c:f>
              <c:numCache>
                <c:formatCode>General</c:formatCode>
                <c:ptCount val="25"/>
                <c:pt idx="0">
                  <c:v>0</c:v>
                </c:pt>
                <c:pt idx="1">
                  <c:v>24</c:v>
                </c:pt>
                <c:pt idx="2">
                  <c:v>58</c:v>
                </c:pt>
                <c:pt idx="3">
                  <c:v>94</c:v>
                </c:pt>
                <c:pt idx="4">
                  <c:v>117</c:v>
                </c:pt>
                <c:pt idx="5">
                  <c:v>136</c:v>
                </c:pt>
                <c:pt idx="6">
                  <c:v>196</c:v>
                </c:pt>
                <c:pt idx="7">
                  <c:v>248</c:v>
                </c:pt>
                <c:pt idx="8">
                  <c:v>280</c:v>
                </c:pt>
                <c:pt idx="9">
                  <c:v>316</c:v>
                </c:pt>
                <c:pt idx="10">
                  <c:v>344</c:v>
                </c:pt>
                <c:pt idx="11">
                  <c:v>364</c:v>
                </c:pt>
                <c:pt idx="12">
                  <c:v>387</c:v>
                </c:pt>
                <c:pt idx="13">
                  <c:v>402</c:v>
                </c:pt>
                <c:pt idx="14">
                  <c:v>413</c:v>
                </c:pt>
                <c:pt idx="15">
                  <c:v>422</c:v>
                </c:pt>
                <c:pt idx="16">
                  <c:v>426</c:v>
                </c:pt>
                <c:pt idx="17">
                  <c:v>430</c:v>
                </c:pt>
                <c:pt idx="18">
                  <c:v>430</c:v>
                </c:pt>
                <c:pt idx="19">
                  <c:v>420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B73-439C-BB4B-2D73DFC02BA0}"/>
            </c:ext>
          </c:extLst>
        </c:ser>
        <c:ser>
          <c:idx val="1"/>
          <c:order val="1"/>
          <c:tx>
            <c:strRef>
              <c:f>Blad1!$DD$1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Blad1!$DD$2:$DD$26</c:f>
              <c:numCache>
                <c:formatCode>General</c:formatCode>
                <c:ptCount val="25"/>
                <c:pt idx="0">
                  <c:v>0</c:v>
                </c:pt>
                <c:pt idx="1">
                  <c:v>124</c:v>
                </c:pt>
                <c:pt idx="2">
                  <c:v>154</c:v>
                </c:pt>
                <c:pt idx="3">
                  <c:v>180</c:v>
                </c:pt>
                <c:pt idx="4">
                  <c:v>200</c:v>
                </c:pt>
                <c:pt idx="5">
                  <c:v>257</c:v>
                </c:pt>
                <c:pt idx="6">
                  <c:v>281</c:v>
                </c:pt>
                <c:pt idx="7">
                  <c:v>309</c:v>
                </c:pt>
                <c:pt idx="8">
                  <c:v>368</c:v>
                </c:pt>
                <c:pt idx="9">
                  <c:v>404</c:v>
                </c:pt>
                <c:pt idx="10">
                  <c:v>404</c:v>
                </c:pt>
                <c:pt idx="11">
                  <c:v>431</c:v>
                </c:pt>
                <c:pt idx="12">
                  <c:v>450</c:v>
                </c:pt>
                <c:pt idx="13">
                  <c:v>464</c:v>
                </c:pt>
                <c:pt idx="14">
                  <c:v>477</c:v>
                </c:pt>
                <c:pt idx="15">
                  <c:v>483</c:v>
                </c:pt>
                <c:pt idx="16">
                  <c:v>488</c:v>
                </c:pt>
                <c:pt idx="17">
                  <c:v>488</c:v>
                </c:pt>
                <c:pt idx="18">
                  <c:v>488</c:v>
                </c:pt>
                <c:pt idx="19">
                  <c:v>484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B73-439C-BB4B-2D73DFC02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Blad1!$DJ$1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Blad1!$DJ$2:$DJ$26</c:f>
              <c:numCache>
                <c:formatCode>General</c:formatCode>
                <c:ptCount val="25"/>
                <c:pt idx="0">
                  <c:v>0</c:v>
                </c:pt>
                <c:pt idx="1">
                  <c:v>14</c:v>
                </c:pt>
                <c:pt idx="2">
                  <c:v>46</c:v>
                </c:pt>
                <c:pt idx="3">
                  <c:v>94</c:v>
                </c:pt>
                <c:pt idx="4">
                  <c:v>119</c:v>
                </c:pt>
                <c:pt idx="5">
                  <c:v>164</c:v>
                </c:pt>
                <c:pt idx="6">
                  <c:v>184</c:v>
                </c:pt>
                <c:pt idx="7">
                  <c:v>273</c:v>
                </c:pt>
                <c:pt idx="8">
                  <c:v>360</c:v>
                </c:pt>
                <c:pt idx="9">
                  <c:v>381</c:v>
                </c:pt>
                <c:pt idx="10">
                  <c:v>417</c:v>
                </c:pt>
                <c:pt idx="11">
                  <c:v>500</c:v>
                </c:pt>
                <c:pt idx="12">
                  <c:v>525</c:v>
                </c:pt>
                <c:pt idx="13">
                  <c:v>555</c:v>
                </c:pt>
                <c:pt idx="14">
                  <c:v>579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6C-41DF-A693-699A1075052C}"/>
            </c:ext>
          </c:extLst>
        </c:ser>
        <c:ser>
          <c:idx val="1"/>
          <c:order val="1"/>
          <c:tx>
            <c:strRef>
              <c:f>Blad1!$DP$1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Blad1!$DP$2:$DP$26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103</c:v>
                </c:pt>
                <c:pt idx="3">
                  <c:v>125</c:v>
                </c:pt>
                <c:pt idx="4">
                  <c:v>158</c:v>
                </c:pt>
                <c:pt idx="5">
                  <c:v>183</c:v>
                </c:pt>
                <c:pt idx="6">
                  <c:v>221</c:v>
                </c:pt>
                <c:pt idx="7">
                  <c:v>257</c:v>
                </c:pt>
                <c:pt idx="8">
                  <c:v>304</c:v>
                </c:pt>
                <c:pt idx="9">
                  <c:v>347</c:v>
                </c:pt>
                <c:pt idx="10">
                  <c:v>371</c:v>
                </c:pt>
                <c:pt idx="11">
                  <c:v>377</c:v>
                </c:pt>
                <c:pt idx="12">
                  <c:v>387</c:v>
                </c:pt>
                <c:pt idx="13">
                  <c:v>406</c:v>
                </c:pt>
                <c:pt idx="14">
                  <c:v>394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6C-41DF-A693-699A10750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Blad1!$DV$1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Blad1!$DV$2:$DV$26</c:f>
              <c:numCache>
                <c:formatCode>General</c:formatCode>
                <c:ptCount val="25"/>
                <c:pt idx="0">
                  <c:v>0</c:v>
                </c:pt>
                <c:pt idx="1">
                  <c:v>24</c:v>
                </c:pt>
                <c:pt idx="2">
                  <c:v>57</c:v>
                </c:pt>
                <c:pt idx="3">
                  <c:v>107</c:v>
                </c:pt>
                <c:pt idx="4">
                  <c:v>173</c:v>
                </c:pt>
                <c:pt idx="5">
                  <c:v>263</c:v>
                </c:pt>
                <c:pt idx="6">
                  <c:v>297</c:v>
                </c:pt>
                <c:pt idx="7">
                  <c:v>323</c:v>
                </c:pt>
                <c:pt idx="8">
                  <c:v>346</c:v>
                </c:pt>
                <c:pt idx="9">
                  <c:v>370</c:v>
                </c:pt>
                <c:pt idx="10">
                  <c:v>392</c:v>
                </c:pt>
                <c:pt idx="11">
                  <c:v>437</c:v>
                </c:pt>
                <c:pt idx="12">
                  <c:v>476</c:v>
                </c:pt>
                <c:pt idx="13">
                  <c:v>504</c:v>
                </c:pt>
                <c:pt idx="14">
                  <c:v>494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60-4727-B0A4-94757EBABB63}"/>
            </c:ext>
          </c:extLst>
        </c:ser>
        <c:ser>
          <c:idx val="1"/>
          <c:order val="1"/>
          <c:tx>
            <c:strRef>
              <c:f>Blad1!$EB$1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Blad1!$EB$2:$EB$26</c:f>
              <c:numCache>
                <c:formatCode>General</c:formatCode>
                <c:ptCount val="25"/>
                <c:pt idx="0">
                  <c:v>0</c:v>
                </c:pt>
                <c:pt idx="1">
                  <c:v>48</c:v>
                </c:pt>
                <c:pt idx="2">
                  <c:v>84</c:v>
                </c:pt>
                <c:pt idx="3">
                  <c:v>106</c:v>
                </c:pt>
                <c:pt idx="4">
                  <c:v>129</c:v>
                </c:pt>
                <c:pt idx="5">
                  <c:v>162</c:v>
                </c:pt>
                <c:pt idx="6">
                  <c:v>242</c:v>
                </c:pt>
                <c:pt idx="7">
                  <c:v>253</c:v>
                </c:pt>
                <c:pt idx="8">
                  <c:v>289</c:v>
                </c:pt>
                <c:pt idx="9">
                  <c:v>312</c:v>
                </c:pt>
                <c:pt idx="10">
                  <c:v>366</c:v>
                </c:pt>
                <c:pt idx="11">
                  <c:v>402</c:v>
                </c:pt>
                <c:pt idx="12">
                  <c:v>432</c:v>
                </c:pt>
                <c:pt idx="13">
                  <c:v>499</c:v>
                </c:pt>
                <c:pt idx="14">
                  <c:v>509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F60-4727-B0A4-94757EBAB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Blad1!$EH$1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Blad1!$EH$2:$EH$26</c:f>
              <c:numCache>
                <c:formatCode>General</c:formatCode>
                <c:ptCount val="25"/>
                <c:pt idx="0">
                  <c:v>0</c:v>
                </c:pt>
                <c:pt idx="1">
                  <c:v>18</c:v>
                </c:pt>
                <c:pt idx="2">
                  <c:v>60</c:v>
                </c:pt>
                <c:pt idx="3">
                  <c:v>79</c:v>
                </c:pt>
                <c:pt idx="4">
                  <c:v>93</c:v>
                </c:pt>
                <c:pt idx="5">
                  <c:v>126</c:v>
                </c:pt>
                <c:pt idx="6">
                  <c:v>155</c:v>
                </c:pt>
                <c:pt idx="7">
                  <c:v>180</c:v>
                </c:pt>
                <c:pt idx="8">
                  <c:v>225</c:v>
                </c:pt>
                <c:pt idx="9">
                  <c:v>263</c:v>
                </c:pt>
                <c:pt idx="10">
                  <c:v>308</c:v>
                </c:pt>
                <c:pt idx="11">
                  <c:v>337</c:v>
                </c:pt>
                <c:pt idx="12">
                  <c:v>365</c:v>
                </c:pt>
                <c:pt idx="13">
                  <c:v>347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E97-48BA-8B45-FEA15F0065B2}"/>
            </c:ext>
          </c:extLst>
        </c:ser>
        <c:ser>
          <c:idx val="1"/>
          <c:order val="1"/>
          <c:tx>
            <c:strRef>
              <c:f>Blad1!$EN$1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Blad1!$EN$2:$EN$26</c:f>
              <c:numCache>
                <c:formatCode>General</c:formatCode>
                <c:ptCount val="25"/>
                <c:pt idx="0">
                  <c:v>0</c:v>
                </c:pt>
                <c:pt idx="1">
                  <c:v>38</c:v>
                </c:pt>
                <c:pt idx="2">
                  <c:v>74</c:v>
                </c:pt>
                <c:pt idx="3">
                  <c:v>93</c:v>
                </c:pt>
                <c:pt idx="4">
                  <c:v>182</c:v>
                </c:pt>
                <c:pt idx="5">
                  <c:v>210</c:v>
                </c:pt>
                <c:pt idx="6">
                  <c:v>252</c:v>
                </c:pt>
                <c:pt idx="7">
                  <c:v>292</c:v>
                </c:pt>
                <c:pt idx="8">
                  <c:v>314</c:v>
                </c:pt>
                <c:pt idx="9">
                  <c:v>416</c:v>
                </c:pt>
                <c:pt idx="10">
                  <c:v>445</c:v>
                </c:pt>
                <c:pt idx="11">
                  <c:v>470</c:v>
                </c:pt>
                <c:pt idx="12">
                  <c:v>532</c:v>
                </c:pt>
                <c:pt idx="13">
                  <c:v>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E97-48BA-8B45-FEA15F006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Blad1!$ET$1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Blad1!$ET$2:$ET$26</c:f>
              <c:numCache>
                <c:formatCode>General</c:formatCode>
                <c:ptCount val="25"/>
                <c:pt idx="0">
                  <c:v>0</c:v>
                </c:pt>
                <c:pt idx="1">
                  <c:v>14</c:v>
                </c:pt>
                <c:pt idx="2">
                  <c:v>52</c:v>
                </c:pt>
                <c:pt idx="3">
                  <c:v>82</c:v>
                </c:pt>
                <c:pt idx="4">
                  <c:v>114</c:v>
                </c:pt>
                <c:pt idx="5">
                  <c:v>141</c:v>
                </c:pt>
                <c:pt idx="6">
                  <c:v>174</c:v>
                </c:pt>
                <c:pt idx="7">
                  <c:v>212</c:v>
                </c:pt>
                <c:pt idx="8">
                  <c:v>241</c:v>
                </c:pt>
                <c:pt idx="9">
                  <c:v>266</c:v>
                </c:pt>
                <c:pt idx="10">
                  <c:v>290</c:v>
                </c:pt>
                <c:pt idx="11">
                  <c:v>313</c:v>
                </c:pt>
                <c:pt idx="12">
                  <c:v>345</c:v>
                </c:pt>
                <c:pt idx="13">
                  <c:v>366</c:v>
                </c:pt>
                <c:pt idx="14">
                  <c:v>384</c:v>
                </c:pt>
                <c:pt idx="15">
                  <c:v>410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13-43EC-BF25-7C5652A56CB8}"/>
            </c:ext>
          </c:extLst>
        </c:ser>
        <c:ser>
          <c:idx val="1"/>
          <c:order val="1"/>
          <c:tx>
            <c:strRef>
              <c:f>Blad1!$EZ$1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Blad1!$EZ$2:$EZ$26</c:f>
              <c:numCache>
                <c:formatCode>General</c:formatCode>
                <c:ptCount val="25"/>
                <c:pt idx="0">
                  <c:v>0</c:v>
                </c:pt>
                <c:pt idx="1">
                  <c:v>11</c:v>
                </c:pt>
                <c:pt idx="2">
                  <c:v>37</c:v>
                </c:pt>
                <c:pt idx="3">
                  <c:v>105</c:v>
                </c:pt>
                <c:pt idx="4">
                  <c:v>137</c:v>
                </c:pt>
                <c:pt idx="5">
                  <c:v>154</c:v>
                </c:pt>
                <c:pt idx="6">
                  <c:v>208</c:v>
                </c:pt>
                <c:pt idx="7">
                  <c:v>257</c:v>
                </c:pt>
                <c:pt idx="8">
                  <c:v>294</c:v>
                </c:pt>
                <c:pt idx="9">
                  <c:v>360</c:v>
                </c:pt>
                <c:pt idx="10">
                  <c:v>395</c:v>
                </c:pt>
                <c:pt idx="11">
                  <c:v>430</c:v>
                </c:pt>
                <c:pt idx="12">
                  <c:v>470</c:v>
                </c:pt>
                <c:pt idx="13">
                  <c:v>484</c:v>
                </c:pt>
                <c:pt idx="14">
                  <c:v>498</c:v>
                </c:pt>
                <c:pt idx="15">
                  <c:v>481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113-43EC-BF25-7C5652A5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Blad1!$FF$1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Blad1!$FF$2:$FF$26</c:f>
              <c:numCache>
                <c:formatCode>General</c:formatCode>
                <c:ptCount val="25"/>
                <c:pt idx="0">
                  <c:v>0</c:v>
                </c:pt>
                <c:pt idx="1">
                  <c:v>28</c:v>
                </c:pt>
                <c:pt idx="2">
                  <c:v>90</c:v>
                </c:pt>
                <c:pt idx="3">
                  <c:v>161</c:v>
                </c:pt>
                <c:pt idx="4">
                  <c:v>194</c:v>
                </c:pt>
                <c:pt idx="5">
                  <c:v>223</c:v>
                </c:pt>
                <c:pt idx="6">
                  <c:v>259</c:v>
                </c:pt>
                <c:pt idx="7">
                  <c:v>295</c:v>
                </c:pt>
                <c:pt idx="8">
                  <c:v>343</c:v>
                </c:pt>
                <c:pt idx="9">
                  <c:v>403</c:v>
                </c:pt>
                <c:pt idx="10">
                  <c:v>445</c:v>
                </c:pt>
                <c:pt idx="11">
                  <c:v>486</c:v>
                </c:pt>
                <c:pt idx="12">
                  <c:v>503</c:v>
                </c:pt>
                <c:pt idx="13">
                  <c:v>512</c:v>
                </c:pt>
                <c:pt idx="14">
                  <c:v>512</c:v>
                </c:pt>
                <c:pt idx="15">
                  <c:v>502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84E-4A15-9C83-DF268AFE3B52}"/>
            </c:ext>
          </c:extLst>
        </c:ser>
        <c:ser>
          <c:idx val="1"/>
          <c:order val="1"/>
          <c:tx>
            <c:strRef>
              <c:f>Blad1!$FL$1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Blad1!$FL$2:$FL$26</c:f>
              <c:numCache>
                <c:formatCode>General</c:formatCode>
                <c:ptCount val="25"/>
                <c:pt idx="0">
                  <c:v>0</c:v>
                </c:pt>
                <c:pt idx="1">
                  <c:v>14</c:v>
                </c:pt>
                <c:pt idx="2">
                  <c:v>78</c:v>
                </c:pt>
                <c:pt idx="3">
                  <c:v>117</c:v>
                </c:pt>
                <c:pt idx="4">
                  <c:v>137</c:v>
                </c:pt>
                <c:pt idx="5">
                  <c:v>173</c:v>
                </c:pt>
                <c:pt idx="6">
                  <c:v>209</c:v>
                </c:pt>
                <c:pt idx="7">
                  <c:v>245</c:v>
                </c:pt>
                <c:pt idx="8">
                  <c:v>301</c:v>
                </c:pt>
                <c:pt idx="9">
                  <c:v>329</c:v>
                </c:pt>
                <c:pt idx="10">
                  <c:v>333</c:v>
                </c:pt>
                <c:pt idx="11">
                  <c:v>364</c:v>
                </c:pt>
                <c:pt idx="12">
                  <c:v>381</c:v>
                </c:pt>
                <c:pt idx="13">
                  <c:v>396</c:v>
                </c:pt>
                <c:pt idx="14">
                  <c:v>401</c:v>
                </c:pt>
                <c:pt idx="15">
                  <c:v>411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84E-4A15-9C83-DF268AFE3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Blad1!$FR$1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Blad1!$FR$2:$FR$26</c:f>
              <c:numCache>
                <c:formatCode>General</c:formatCode>
                <c:ptCount val="25"/>
                <c:pt idx="0">
                  <c:v>0</c:v>
                </c:pt>
                <c:pt idx="1">
                  <c:v>64</c:v>
                </c:pt>
                <c:pt idx="2">
                  <c:v>150</c:v>
                </c:pt>
                <c:pt idx="3">
                  <c:v>195</c:v>
                </c:pt>
                <c:pt idx="4">
                  <c:v>234</c:v>
                </c:pt>
                <c:pt idx="5">
                  <c:v>298</c:v>
                </c:pt>
                <c:pt idx="6">
                  <c:v>328</c:v>
                </c:pt>
                <c:pt idx="7">
                  <c:v>360</c:v>
                </c:pt>
                <c:pt idx="8">
                  <c:v>408</c:v>
                </c:pt>
                <c:pt idx="9">
                  <c:v>433</c:v>
                </c:pt>
                <c:pt idx="10">
                  <c:v>464</c:v>
                </c:pt>
                <c:pt idx="11">
                  <c:v>492</c:v>
                </c:pt>
                <c:pt idx="12">
                  <c:v>547</c:v>
                </c:pt>
                <c:pt idx="13">
                  <c:v>578</c:v>
                </c:pt>
                <c:pt idx="14">
                  <c:v>597</c:v>
                </c:pt>
                <c:pt idx="15">
                  <c:v>595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462-44AA-9724-DF4A73435C87}"/>
            </c:ext>
          </c:extLst>
        </c:ser>
        <c:ser>
          <c:idx val="1"/>
          <c:order val="1"/>
          <c:tx>
            <c:strRef>
              <c:f>Blad1!$FX$1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Blad1!$FX$2:$FX$26</c:f>
              <c:numCache>
                <c:formatCode>General</c:formatCode>
                <c:ptCount val="25"/>
                <c:pt idx="0">
                  <c:v>0</c:v>
                </c:pt>
                <c:pt idx="1">
                  <c:v>29</c:v>
                </c:pt>
                <c:pt idx="2">
                  <c:v>61</c:v>
                </c:pt>
                <c:pt idx="3">
                  <c:v>88</c:v>
                </c:pt>
                <c:pt idx="4">
                  <c:v>245</c:v>
                </c:pt>
                <c:pt idx="5">
                  <c:v>291</c:v>
                </c:pt>
                <c:pt idx="6">
                  <c:v>335</c:v>
                </c:pt>
                <c:pt idx="7">
                  <c:v>357</c:v>
                </c:pt>
                <c:pt idx="8">
                  <c:v>373</c:v>
                </c:pt>
                <c:pt idx="9">
                  <c:v>386</c:v>
                </c:pt>
                <c:pt idx="10">
                  <c:v>425</c:v>
                </c:pt>
                <c:pt idx="11">
                  <c:v>441</c:v>
                </c:pt>
                <c:pt idx="12">
                  <c:v>480</c:v>
                </c:pt>
                <c:pt idx="13">
                  <c:v>494</c:v>
                </c:pt>
                <c:pt idx="14">
                  <c:v>503</c:v>
                </c:pt>
                <c:pt idx="15">
                  <c:v>505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462-44AA-9724-DF4A73435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Blad1!$GD$1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Blad1!$GD$2:$GD$26</c:f>
              <c:numCache>
                <c:formatCode>General</c:formatCode>
                <c:ptCount val="25"/>
                <c:pt idx="0">
                  <c:v>0</c:v>
                </c:pt>
                <c:pt idx="1">
                  <c:v>24</c:v>
                </c:pt>
                <c:pt idx="2">
                  <c:v>112</c:v>
                </c:pt>
                <c:pt idx="3">
                  <c:v>152</c:v>
                </c:pt>
                <c:pt idx="4">
                  <c:v>176</c:v>
                </c:pt>
                <c:pt idx="5">
                  <c:v>206</c:v>
                </c:pt>
                <c:pt idx="6">
                  <c:v>255</c:v>
                </c:pt>
                <c:pt idx="7">
                  <c:v>283</c:v>
                </c:pt>
                <c:pt idx="8">
                  <c:v>307</c:v>
                </c:pt>
                <c:pt idx="9">
                  <c:v>358</c:v>
                </c:pt>
                <c:pt idx="10">
                  <c:v>400</c:v>
                </c:pt>
                <c:pt idx="11">
                  <c:v>429</c:v>
                </c:pt>
                <c:pt idx="12">
                  <c:v>457</c:v>
                </c:pt>
                <c:pt idx="13">
                  <c:v>513</c:v>
                </c:pt>
                <c:pt idx="14">
                  <c:v>537</c:v>
                </c:pt>
                <c:pt idx="15">
                  <c:v>564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3B-4412-ABF1-A6C256E49C1D}"/>
            </c:ext>
          </c:extLst>
        </c:ser>
        <c:ser>
          <c:idx val="1"/>
          <c:order val="1"/>
          <c:tx>
            <c:strRef>
              <c:f>Blad1!$GJ$1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Blad1!$GJ$2:$GJ$26</c:f>
              <c:numCache>
                <c:formatCode>General</c:formatCode>
                <c:ptCount val="25"/>
                <c:pt idx="0">
                  <c:v>0</c:v>
                </c:pt>
                <c:pt idx="1">
                  <c:v>88</c:v>
                </c:pt>
                <c:pt idx="2">
                  <c:v>187</c:v>
                </c:pt>
                <c:pt idx="3">
                  <c:v>208</c:v>
                </c:pt>
                <c:pt idx="4">
                  <c:v>247</c:v>
                </c:pt>
                <c:pt idx="5">
                  <c:v>272</c:v>
                </c:pt>
                <c:pt idx="6">
                  <c:v>311</c:v>
                </c:pt>
                <c:pt idx="7">
                  <c:v>343</c:v>
                </c:pt>
                <c:pt idx="8">
                  <c:v>357</c:v>
                </c:pt>
                <c:pt idx="9">
                  <c:v>375</c:v>
                </c:pt>
                <c:pt idx="10">
                  <c:v>375</c:v>
                </c:pt>
                <c:pt idx="11">
                  <c:v>414</c:v>
                </c:pt>
                <c:pt idx="12">
                  <c:v>450</c:v>
                </c:pt>
                <c:pt idx="13">
                  <c:v>469</c:v>
                </c:pt>
                <c:pt idx="14">
                  <c:v>469</c:v>
                </c:pt>
                <c:pt idx="15">
                  <c:v>459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D3B-4412-ABF1-A6C256E49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Blad1!$GP$1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Blad1!$GP$2:$GP$26</c:f>
              <c:numCache>
                <c:formatCode>General</c:formatCode>
                <c:ptCount val="25"/>
                <c:pt idx="0">
                  <c:v>0</c:v>
                </c:pt>
                <c:pt idx="1">
                  <c:v>24</c:v>
                </c:pt>
                <c:pt idx="2">
                  <c:v>52</c:v>
                </c:pt>
                <c:pt idx="3">
                  <c:v>74</c:v>
                </c:pt>
                <c:pt idx="4">
                  <c:v>136</c:v>
                </c:pt>
                <c:pt idx="5">
                  <c:v>166</c:v>
                </c:pt>
                <c:pt idx="6">
                  <c:v>204</c:v>
                </c:pt>
                <c:pt idx="7">
                  <c:v>276</c:v>
                </c:pt>
                <c:pt idx="8">
                  <c:v>318</c:v>
                </c:pt>
                <c:pt idx="9">
                  <c:v>343</c:v>
                </c:pt>
                <c:pt idx="10">
                  <c:v>371</c:v>
                </c:pt>
                <c:pt idx="11">
                  <c:v>402</c:v>
                </c:pt>
                <c:pt idx="12">
                  <c:v>441</c:v>
                </c:pt>
                <c:pt idx="13">
                  <c:v>452</c:v>
                </c:pt>
                <c:pt idx="14">
                  <c:v>450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08-496D-B64A-EF8DE7BCC7BE}"/>
            </c:ext>
          </c:extLst>
        </c:ser>
        <c:ser>
          <c:idx val="1"/>
          <c:order val="1"/>
          <c:tx>
            <c:strRef>
              <c:f>Blad1!$GV$1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Blad1!$GV$2:$GV$26</c:f>
              <c:numCache>
                <c:formatCode>General</c:formatCode>
                <c:ptCount val="25"/>
                <c:pt idx="0">
                  <c:v>0</c:v>
                </c:pt>
                <c:pt idx="1">
                  <c:v>23</c:v>
                </c:pt>
                <c:pt idx="2">
                  <c:v>65</c:v>
                </c:pt>
                <c:pt idx="3">
                  <c:v>98</c:v>
                </c:pt>
                <c:pt idx="4">
                  <c:v>147</c:v>
                </c:pt>
                <c:pt idx="5">
                  <c:v>186</c:v>
                </c:pt>
                <c:pt idx="6">
                  <c:v>233</c:v>
                </c:pt>
                <c:pt idx="7">
                  <c:v>271</c:v>
                </c:pt>
                <c:pt idx="8">
                  <c:v>303</c:v>
                </c:pt>
                <c:pt idx="9">
                  <c:v>334</c:v>
                </c:pt>
                <c:pt idx="10">
                  <c:v>345</c:v>
                </c:pt>
                <c:pt idx="11">
                  <c:v>358</c:v>
                </c:pt>
                <c:pt idx="12">
                  <c:v>378</c:v>
                </c:pt>
                <c:pt idx="13">
                  <c:v>402</c:v>
                </c:pt>
                <c:pt idx="14">
                  <c:v>404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308-496D-B64A-EF8DE7BCC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Blad1!$HB$1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Blad1!$HB$2:$HB$26</c:f>
              <c:numCache>
                <c:formatCode>General</c:formatCode>
                <c:ptCount val="25"/>
                <c:pt idx="0">
                  <c:v>0</c:v>
                </c:pt>
                <c:pt idx="1">
                  <c:v>10</c:v>
                </c:pt>
                <c:pt idx="2">
                  <c:v>31</c:v>
                </c:pt>
                <c:pt idx="3">
                  <c:v>56</c:v>
                </c:pt>
                <c:pt idx="4">
                  <c:v>94</c:v>
                </c:pt>
                <c:pt idx="5">
                  <c:v>127</c:v>
                </c:pt>
                <c:pt idx="6">
                  <c:v>160</c:v>
                </c:pt>
                <c:pt idx="7">
                  <c:v>196</c:v>
                </c:pt>
                <c:pt idx="8">
                  <c:v>230</c:v>
                </c:pt>
                <c:pt idx="9">
                  <c:v>283</c:v>
                </c:pt>
                <c:pt idx="10">
                  <c:v>316</c:v>
                </c:pt>
                <c:pt idx="11">
                  <c:v>358</c:v>
                </c:pt>
                <c:pt idx="12">
                  <c:v>388</c:v>
                </c:pt>
                <c:pt idx="13">
                  <c:v>425</c:v>
                </c:pt>
                <c:pt idx="14">
                  <c:v>435</c:v>
                </c:pt>
                <c:pt idx="15">
                  <c:v>447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3FA-4C5A-ADE5-7FE56990B189}"/>
            </c:ext>
          </c:extLst>
        </c:ser>
        <c:ser>
          <c:idx val="1"/>
          <c:order val="1"/>
          <c:tx>
            <c:strRef>
              <c:f>Blad1!$HH$1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Blad1!$HH$2:$HH$26</c:f>
              <c:numCache>
                <c:formatCode>General</c:formatCode>
                <c:ptCount val="25"/>
                <c:pt idx="0">
                  <c:v>0</c:v>
                </c:pt>
                <c:pt idx="1">
                  <c:v>34</c:v>
                </c:pt>
                <c:pt idx="2">
                  <c:v>78</c:v>
                </c:pt>
                <c:pt idx="3">
                  <c:v>129</c:v>
                </c:pt>
                <c:pt idx="4">
                  <c:v>155</c:v>
                </c:pt>
                <c:pt idx="5">
                  <c:v>168</c:v>
                </c:pt>
                <c:pt idx="6">
                  <c:v>252</c:v>
                </c:pt>
                <c:pt idx="7">
                  <c:v>288</c:v>
                </c:pt>
                <c:pt idx="8">
                  <c:v>348</c:v>
                </c:pt>
                <c:pt idx="9">
                  <c:v>397</c:v>
                </c:pt>
                <c:pt idx="10">
                  <c:v>429</c:v>
                </c:pt>
                <c:pt idx="11">
                  <c:v>471</c:v>
                </c:pt>
                <c:pt idx="12">
                  <c:v>503</c:v>
                </c:pt>
                <c:pt idx="13">
                  <c:v>529</c:v>
                </c:pt>
                <c:pt idx="14">
                  <c:v>543</c:v>
                </c:pt>
                <c:pt idx="15">
                  <c:v>539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3FA-4C5A-ADE5-7FE56990B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Blad1!$HN$1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Blad1!$HN$2:$HN$26</c:f>
              <c:numCache>
                <c:formatCode>General</c:formatCode>
                <c:ptCount val="25"/>
                <c:pt idx="0">
                  <c:v>0</c:v>
                </c:pt>
                <c:pt idx="1">
                  <c:v>6</c:v>
                </c:pt>
                <c:pt idx="2">
                  <c:v>39</c:v>
                </c:pt>
                <c:pt idx="3">
                  <c:v>70</c:v>
                </c:pt>
                <c:pt idx="4">
                  <c:v>101</c:v>
                </c:pt>
                <c:pt idx="5">
                  <c:v>131</c:v>
                </c:pt>
                <c:pt idx="6">
                  <c:v>194</c:v>
                </c:pt>
                <c:pt idx="7">
                  <c:v>236</c:v>
                </c:pt>
                <c:pt idx="8">
                  <c:v>273</c:v>
                </c:pt>
                <c:pt idx="9">
                  <c:v>341</c:v>
                </c:pt>
                <c:pt idx="10">
                  <c:v>371</c:v>
                </c:pt>
                <c:pt idx="11">
                  <c:v>401</c:v>
                </c:pt>
                <c:pt idx="12">
                  <c:v>388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0B3-43B5-990D-FE5791FED4D2}"/>
            </c:ext>
          </c:extLst>
        </c:ser>
        <c:ser>
          <c:idx val="1"/>
          <c:order val="1"/>
          <c:tx>
            <c:strRef>
              <c:f>Blad1!$HT$1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Blad1!$HT$2:$HT$26</c:f>
              <c:numCache>
                <c:formatCode>General</c:formatCode>
                <c:ptCount val="25"/>
                <c:pt idx="0">
                  <c:v>0</c:v>
                </c:pt>
                <c:pt idx="1">
                  <c:v>64</c:v>
                </c:pt>
                <c:pt idx="2">
                  <c:v>104</c:v>
                </c:pt>
                <c:pt idx="3">
                  <c:v>151</c:v>
                </c:pt>
                <c:pt idx="4">
                  <c:v>185</c:v>
                </c:pt>
                <c:pt idx="5">
                  <c:v>309</c:v>
                </c:pt>
                <c:pt idx="6">
                  <c:v>354</c:v>
                </c:pt>
                <c:pt idx="7">
                  <c:v>386</c:v>
                </c:pt>
                <c:pt idx="8">
                  <c:v>420</c:v>
                </c:pt>
                <c:pt idx="9">
                  <c:v>462</c:v>
                </c:pt>
                <c:pt idx="10">
                  <c:v>493</c:v>
                </c:pt>
                <c:pt idx="11">
                  <c:v>551</c:v>
                </c:pt>
                <c:pt idx="12">
                  <c:v>564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0B3-43B5-990D-FE5791FED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Blad1!$HZ$1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Blad1!$HZ$2:$HZ$26</c:f>
              <c:numCache>
                <c:formatCode>General</c:formatCode>
                <c:ptCount val="25"/>
                <c:pt idx="0">
                  <c:v>0</c:v>
                </c:pt>
                <c:pt idx="1">
                  <c:v>26</c:v>
                </c:pt>
                <c:pt idx="2">
                  <c:v>58</c:v>
                </c:pt>
                <c:pt idx="3">
                  <c:v>92</c:v>
                </c:pt>
                <c:pt idx="4">
                  <c:v>107</c:v>
                </c:pt>
                <c:pt idx="5">
                  <c:v>123</c:v>
                </c:pt>
                <c:pt idx="6">
                  <c:v>161</c:v>
                </c:pt>
                <c:pt idx="7">
                  <c:v>205</c:v>
                </c:pt>
                <c:pt idx="8">
                  <c:v>265</c:v>
                </c:pt>
                <c:pt idx="9">
                  <c:v>297</c:v>
                </c:pt>
                <c:pt idx="10">
                  <c:v>353</c:v>
                </c:pt>
                <c:pt idx="11">
                  <c:v>383</c:v>
                </c:pt>
                <c:pt idx="12">
                  <c:v>425</c:v>
                </c:pt>
                <c:pt idx="13">
                  <c:v>451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E37-4025-ADFA-862158A85C45}"/>
            </c:ext>
          </c:extLst>
        </c:ser>
        <c:ser>
          <c:idx val="1"/>
          <c:order val="1"/>
          <c:tx>
            <c:strRef>
              <c:f>Blad1!$IF$1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Blad1!$IF$2:$IF$26</c:f>
              <c:numCache>
                <c:formatCode>General</c:formatCode>
                <c:ptCount val="25"/>
                <c:pt idx="0">
                  <c:v>0</c:v>
                </c:pt>
                <c:pt idx="1">
                  <c:v>72</c:v>
                </c:pt>
                <c:pt idx="2">
                  <c:v>114</c:v>
                </c:pt>
                <c:pt idx="3">
                  <c:v>150</c:v>
                </c:pt>
                <c:pt idx="4">
                  <c:v>160</c:v>
                </c:pt>
                <c:pt idx="5">
                  <c:v>173</c:v>
                </c:pt>
                <c:pt idx="6">
                  <c:v>184</c:v>
                </c:pt>
                <c:pt idx="7">
                  <c:v>219</c:v>
                </c:pt>
                <c:pt idx="8">
                  <c:v>259</c:v>
                </c:pt>
                <c:pt idx="9">
                  <c:v>277</c:v>
                </c:pt>
                <c:pt idx="10">
                  <c:v>371</c:v>
                </c:pt>
                <c:pt idx="11">
                  <c:v>416</c:v>
                </c:pt>
                <c:pt idx="12">
                  <c:v>455</c:v>
                </c:pt>
                <c:pt idx="13">
                  <c:v>450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E37-4025-ADFA-862158A85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Blad1!$IL$1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Blad1!$IL$2:$IL$26</c:f>
              <c:numCache>
                <c:formatCode>General</c:formatCode>
                <c:ptCount val="25"/>
                <c:pt idx="0">
                  <c:v>0</c:v>
                </c:pt>
                <c:pt idx="1">
                  <c:v>22</c:v>
                </c:pt>
                <c:pt idx="2">
                  <c:v>58</c:v>
                </c:pt>
                <c:pt idx="3">
                  <c:v>82</c:v>
                </c:pt>
                <c:pt idx="4">
                  <c:v>124</c:v>
                </c:pt>
                <c:pt idx="5">
                  <c:v>145</c:v>
                </c:pt>
                <c:pt idx="6">
                  <c:v>209</c:v>
                </c:pt>
                <c:pt idx="7">
                  <c:v>233</c:v>
                </c:pt>
                <c:pt idx="8">
                  <c:v>270</c:v>
                </c:pt>
                <c:pt idx="9">
                  <c:v>305</c:v>
                </c:pt>
                <c:pt idx="10">
                  <c:v>341</c:v>
                </c:pt>
                <c:pt idx="11">
                  <c:v>374</c:v>
                </c:pt>
                <c:pt idx="12">
                  <c:v>396</c:v>
                </c:pt>
                <c:pt idx="13">
                  <c:v>423</c:v>
                </c:pt>
                <c:pt idx="14">
                  <c:v>438</c:v>
                </c:pt>
                <c:pt idx="15">
                  <c:v>447</c:v>
                </c:pt>
                <c:pt idx="16">
                  <c:v>454</c:v>
                </c:pt>
                <c:pt idx="17">
                  <c:v>470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A8-4E6A-87FF-D330981ED923}"/>
            </c:ext>
          </c:extLst>
        </c:ser>
        <c:ser>
          <c:idx val="1"/>
          <c:order val="1"/>
          <c:tx>
            <c:strRef>
              <c:f>Blad1!$IR$1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Blad1!$IR$2:$IR$26</c:f>
              <c:numCache>
                <c:formatCode>General</c:formatCode>
                <c:ptCount val="25"/>
                <c:pt idx="0">
                  <c:v>0</c:v>
                </c:pt>
                <c:pt idx="1">
                  <c:v>142</c:v>
                </c:pt>
                <c:pt idx="2">
                  <c:v>168</c:v>
                </c:pt>
                <c:pt idx="3">
                  <c:v>238</c:v>
                </c:pt>
                <c:pt idx="4">
                  <c:v>276</c:v>
                </c:pt>
                <c:pt idx="5">
                  <c:v>309</c:v>
                </c:pt>
                <c:pt idx="6">
                  <c:v>341</c:v>
                </c:pt>
                <c:pt idx="7">
                  <c:v>422</c:v>
                </c:pt>
                <c:pt idx="8">
                  <c:v>452</c:v>
                </c:pt>
                <c:pt idx="9">
                  <c:v>477</c:v>
                </c:pt>
                <c:pt idx="10">
                  <c:v>501</c:v>
                </c:pt>
                <c:pt idx="11">
                  <c:v>527</c:v>
                </c:pt>
                <c:pt idx="12">
                  <c:v>547</c:v>
                </c:pt>
                <c:pt idx="13">
                  <c:v>560</c:v>
                </c:pt>
                <c:pt idx="14">
                  <c:v>566</c:v>
                </c:pt>
                <c:pt idx="15">
                  <c:v>566</c:v>
                </c:pt>
                <c:pt idx="16">
                  <c:v>566</c:v>
                </c:pt>
                <c:pt idx="17">
                  <c:v>556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A8-4E6A-87FF-D330981ED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Blad1!$IX$1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Blad1!$IX$2:$IX$26</c:f>
              <c:numCache>
                <c:formatCode>General</c:formatCode>
                <c:ptCount val="25"/>
                <c:pt idx="0">
                  <c:v>0</c:v>
                </c:pt>
                <c:pt idx="1">
                  <c:v>30</c:v>
                </c:pt>
                <c:pt idx="2">
                  <c:v>108</c:v>
                </c:pt>
                <c:pt idx="3">
                  <c:v>167</c:v>
                </c:pt>
                <c:pt idx="4">
                  <c:v>205</c:v>
                </c:pt>
                <c:pt idx="5">
                  <c:v>237</c:v>
                </c:pt>
                <c:pt idx="6">
                  <c:v>281</c:v>
                </c:pt>
                <c:pt idx="7">
                  <c:v>330</c:v>
                </c:pt>
                <c:pt idx="8">
                  <c:v>359</c:v>
                </c:pt>
                <c:pt idx="9">
                  <c:v>380</c:v>
                </c:pt>
                <c:pt idx="10">
                  <c:v>403</c:v>
                </c:pt>
                <c:pt idx="11">
                  <c:v>425</c:v>
                </c:pt>
                <c:pt idx="12">
                  <c:v>443</c:v>
                </c:pt>
                <c:pt idx="13">
                  <c:v>464</c:v>
                </c:pt>
                <c:pt idx="14">
                  <c:v>476</c:v>
                </c:pt>
                <c:pt idx="15">
                  <c:v>472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5D7-443C-A2D5-4F94D49EB426}"/>
            </c:ext>
          </c:extLst>
        </c:ser>
        <c:ser>
          <c:idx val="1"/>
          <c:order val="1"/>
          <c:tx>
            <c:strRef>
              <c:f>Blad1!$JD$1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Blad1!$JD$2:$JD$26</c:f>
              <c:numCache>
                <c:formatCode>General</c:formatCode>
                <c:ptCount val="25"/>
                <c:pt idx="0">
                  <c:v>0</c:v>
                </c:pt>
                <c:pt idx="1">
                  <c:v>23</c:v>
                </c:pt>
                <c:pt idx="2">
                  <c:v>68</c:v>
                </c:pt>
                <c:pt idx="3">
                  <c:v>113</c:v>
                </c:pt>
                <c:pt idx="4">
                  <c:v>139</c:v>
                </c:pt>
                <c:pt idx="5">
                  <c:v>169</c:v>
                </c:pt>
                <c:pt idx="6">
                  <c:v>223</c:v>
                </c:pt>
                <c:pt idx="7">
                  <c:v>254</c:v>
                </c:pt>
                <c:pt idx="8">
                  <c:v>276</c:v>
                </c:pt>
                <c:pt idx="9">
                  <c:v>291</c:v>
                </c:pt>
                <c:pt idx="10">
                  <c:v>314</c:v>
                </c:pt>
                <c:pt idx="11">
                  <c:v>339</c:v>
                </c:pt>
                <c:pt idx="12">
                  <c:v>351</c:v>
                </c:pt>
                <c:pt idx="13">
                  <c:v>399</c:v>
                </c:pt>
                <c:pt idx="14">
                  <c:v>413</c:v>
                </c:pt>
                <c:pt idx="15">
                  <c:v>417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5D7-443C-A2D5-4F94D49EB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Blad1!$JJ$1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Blad1!$JJ$2:$JJ$26</c:f>
              <c:numCache>
                <c:formatCode>General</c:formatCode>
                <c:ptCount val="25"/>
                <c:pt idx="0">
                  <c:v>0</c:v>
                </c:pt>
                <c:pt idx="1">
                  <c:v>20</c:v>
                </c:pt>
                <c:pt idx="2">
                  <c:v>51</c:v>
                </c:pt>
                <c:pt idx="3">
                  <c:v>84</c:v>
                </c:pt>
                <c:pt idx="4">
                  <c:v>101</c:v>
                </c:pt>
                <c:pt idx="5">
                  <c:v>115</c:v>
                </c:pt>
                <c:pt idx="6">
                  <c:v>137</c:v>
                </c:pt>
                <c:pt idx="7">
                  <c:v>163</c:v>
                </c:pt>
                <c:pt idx="8">
                  <c:v>214</c:v>
                </c:pt>
                <c:pt idx="9">
                  <c:v>234</c:v>
                </c:pt>
                <c:pt idx="10">
                  <c:v>276</c:v>
                </c:pt>
                <c:pt idx="11">
                  <c:v>304</c:v>
                </c:pt>
                <c:pt idx="12">
                  <c:v>329</c:v>
                </c:pt>
                <c:pt idx="13">
                  <c:v>351</c:v>
                </c:pt>
                <c:pt idx="14">
                  <c:v>339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BA7-4A4E-8D78-32804FE94D15}"/>
            </c:ext>
          </c:extLst>
        </c:ser>
        <c:ser>
          <c:idx val="1"/>
          <c:order val="1"/>
          <c:tx>
            <c:strRef>
              <c:f>Blad1!$JP$1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Blad1!$JP$2:$JP$26</c:f>
              <c:numCache>
                <c:formatCode>General</c:formatCode>
                <c:ptCount val="25"/>
                <c:pt idx="0">
                  <c:v>0</c:v>
                </c:pt>
                <c:pt idx="1">
                  <c:v>24</c:v>
                </c:pt>
                <c:pt idx="2">
                  <c:v>66</c:v>
                </c:pt>
                <c:pt idx="3">
                  <c:v>98</c:v>
                </c:pt>
                <c:pt idx="4">
                  <c:v>130</c:v>
                </c:pt>
                <c:pt idx="5">
                  <c:v>155</c:v>
                </c:pt>
                <c:pt idx="6">
                  <c:v>177</c:v>
                </c:pt>
                <c:pt idx="7">
                  <c:v>190</c:v>
                </c:pt>
                <c:pt idx="8">
                  <c:v>298</c:v>
                </c:pt>
                <c:pt idx="9">
                  <c:v>390</c:v>
                </c:pt>
                <c:pt idx="10">
                  <c:v>435</c:v>
                </c:pt>
                <c:pt idx="11">
                  <c:v>459</c:v>
                </c:pt>
                <c:pt idx="12">
                  <c:v>495</c:v>
                </c:pt>
                <c:pt idx="13">
                  <c:v>506</c:v>
                </c:pt>
                <c:pt idx="14">
                  <c:v>518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BA7-4A4E-8D78-32804FE94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Blad1!$JV$1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Blad1!$JV$2:$JV$26</c:f>
              <c:numCache>
                <c:formatCode>General</c:formatCode>
                <c:ptCount val="25"/>
                <c:pt idx="0">
                  <c:v>0</c:v>
                </c:pt>
                <c:pt idx="1">
                  <c:v>18</c:v>
                </c:pt>
                <c:pt idx="2">
                  <c:v>34</c:v>
                </c:pt>
                <c:pt idx="3">
                  <c:v>48</c:v>
                </c:pt>
                <c:pt idx="4">
                  <c:v>75</c:v>
                </c:pt>
                <c:pt idx="5">
                  <c:v>102</c:v>
                </c:pt>
                <c:pt idx="6">
                  <c:v>135</c:v>
                </c:pt>
                <c:pt idx="7">
                  <c:v>163</c:v>
                </c:pt>
                <c:pt idx="8">
                  <c:v>208</c:v>
                </c:pt>
                <c:pt idx="9">
                  <c:v>232</c:v>
                </c:pt>
                <c:pt idx="10">
                  <c:v>258</c:v>
                </c:pt>
                <c:pt idx="11">
                  <c:v>284</c:v>
                </c:pt>
                <c:pt idx="12">
                  <c:v>309</c:v>
                </c:pt>
                <c:pt idx="13">
                  <c:v>359</c:v>
                </c:pt>
                <c:pt idx="14">
                  <c:v>375</c:v>
                </c:pt>
                <c:pt idx="15">
                  <c:v>385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047-4585-8DED-C6681AB85A5F}"/>
            </c:ext>
          </c:extLst>
        </c:ser>
        <c:ser>
          <c:idx val="1"/>
          <c:order val="1"/>
          <c:tx>
            <c:strRef>
              <c:f>Blad1!$KB$1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Blad1!$KB$2:$KB$26</c:f>
              <c:numCache>
                <c:formatCode>General</c:formatCode>
                <c:ptCount val="25"/>
                <c:pt idx="0">
                  <c:v>0</c:v>
                </c:pt>
                <c:pt idx="1">
                  <c:v>26</c:v>
                </c:pt>
                <c:pt idx="2">
                  <c:v>57</c:v>
                </c:pt>
                <c:pt idx="3">
                  <c:v>119</c:v>
                </c:pt>
                <c:pt idx="4">
                  <c:v>147</c:v>
                </c:pt>
                <c:pt idx="5">
                  <c:v>173</c:v>
                </c:pt>
                <c:pt idx="6">
                  <c:v>258</c:v>
                </c:pt>
                <c:pt idx="7">
                  <c:v>288</c:v>
                </c:pt>
                <c:pt idx="8">
                  <c:v>330</c:v>
                </c:pt>
                <c:pt idx="9">
                  <c:v>340</c:v>
                </c:pt>
                <c:pt idx="10">
                  <c:v>470</c:v>
                </c:pt>
                <c:pt idx="11">
                  <c:v>489</c:v>
                </c:pt>
                <c:pt idx="12">
                  <c:v>497</c:v>
                </c:pt>
                <c:pt idx="13">
                  <c:v>523</c:v>
                </c:pt>
                <c:pt idx="14">
                  <c:v>549</c:v>
                </c:pt>
                <c:pt idx="15">
                  <c:v>547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047-4585-8DED-C6681AB85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Blad1!$KH$1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Blad1!$KH$2:$KH$26</c:f>
              <c:numCache>
                <c:formatCode>General</c:formatCode>
                <c:ptCount val="25"/>
                <c:pt idx="0">
                  <c:v>0</c:v>
                </c:pt>
                <c:pt idx="1">
                  <c:v>24</c:v>
                </c:pt>
                <c:pt idx="2">
                  <c:v>54</c:v>
                </c:pt>
                <c:pt idx="3">
                  <c:v>127</c:v>
                </c:pt>
                <c:pt idx="4">
                  <c:v>205</c:v>
                </c:pt>
                <c:pt idx="5">
                  <c:v>229</c:v>
                </c:pt>
                <c:pt idx="6">
                  <c:v>267</c:v>
                </c:pt>
                <c:pt idx="7">
                  <c:v>304</c:v>
                </c:pt>
                <c:pt idx="8">
                  <c:v>343</c:v>
                </c:pt>
                <c:pt idx="9">
                  <c:v>407</c:v>
                </c:pt>
                <c:pt idx="10">
                  <c:v>448</c:v>
                </c:pt>
                <c:pt idx="11">
                  <c:v>483</c:v>
                </c:pt>
                <c:pt idx="12">
                  <c:v>524</c:v>
                </c:pt>
                <c:pt idx="13">
                  <c:v>543</c:v>
                </c:pt>
                <c:pt idx="14">
                  <c:v>559</c:v>
                </c:pt>
                <c:pt idx="15">
                  <c:v>553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C97-4D84-9899-2299A77B5283}"/>
            </c:ext>
          </c:extLst>
        </c:ser>
        <c:ser>
          <c:idx val="1"/>
          <c:order val="1"/>
          <c:tx>
            <c:strRef>
              <c:f>Blad1!$KN$1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Blad1!$KN$2:$KN$26</c:f>
              <c:numCache>
                <c:formatCode>General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98</c:v>
                </c:pt>
                <c:pt idx="3">
                  <c:v>130</c:v>
                </c:pt>
                <c:pt idx="4">
                  <c:v>187</c:v>
                </c:pt>
                <c:pt idx="5">
                  <c:v>244</c:v>
                </c:pt>
                <c:pt idx="6">
                  <c:v>296</c:v>
                </c:pt>
                <c:pt idx="7">
                  <c:v>338</c:v>
                </c:pt>
                <c:pt idx="8">
                  <c:v>371</c:v>
                </c:pt>
                <c:pt idx="9">
                  <c:v>406</c:v>
                </c:pt>
                <c:pt idx="10">
                  <c:v>453</c:v>
                </c:pt>
                <c:pt idx="11">
                  <c:v>471</c:v>
                </c:pt>
                <c:pt idx="12">
                  <c:v>493</c:v>
                </c:pt>
                <c:pt idx="13">
                  <c:v>509</c:v>
                </c:pt>
                <c:pt idx="14">
                  <c:v>521</c:v>
                </c:pt>
                <c:pt idx="15">
                  <c:v>527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C97-4D84-9899-2299A77B5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Blad1!$KT$1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Blad1!$KT$2:$KT$26</c:f>
              <c:numCache>
                <c:formatCode>General</c:formatCode>
                <c:ptCount val="25"/>
                <c:pt idx="0">
                  <c:v>0</c:v>
                </c:pt>
                <c:pt idx="1">
                  <c:v>60</c:v>
                </c:pt>
                <c:pt idx="2">
                  <c:v>87</c:v>
                </c:pt>
                <c:pt idx="3">
                  <c:v>115</c:v>
                </c:pt>
                <c:pt idx="4">
                  <c:v>147</c:v>
                </c:pt>
                <c:pt idx="5">
                  <c:v>189</c:v>
                </c:pt>
                <c:pt idx="6">
                  <c:v>221</c:v>
                </c:pt>
                <c:pt idx="7">
                  <c:v>244</c:v>
                </c:pt>
                <c:pt idx="8">
                  <c:v>278</c:v>
                </c:pt>
                <c:pt idx="9">
                  <c:v>304</c:v>
                </c:pt>
                <c:pt idx="10">
                  <c:v>327</c:v>
                </c:pt>
                <c:pt idx="11">
                  <c:v>349</c:v>
                </c:pt>
                <c:pt idx="12">
                  <c:v>377</c:v>
                </c:pt>
                <c:pt idx="13">
                  <c:v>405</c:v>
                </c:pt>
                <c:pt idx="14">
                  <c:v>389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13C-4C26-849F-90F97692E678}"/>
            </c:ext>
          </c:extLst>
        </c:ser>
        <c:ser>
          <c:idx val="1"/>
          <c:order val="1"/>
          <c:tx>
            <c:strRef>
              <c:f>Blad1!$KZ$1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Blad1!$KZ$2:$KZ$26</c:f>
              <c:numCache>
                <c:formatCode>General</c:formatCode>
                <c:ptCount val="25"/>
                <c:pt idx="0">
                  <c:v>0</c:v>
                </c:pt>
                <c:pt idx="1">
                  <c:v>23</c:v>
                </c:pt>
                <c:pt idx="2">
                  <c:v>79</c:v>
                </c:pt>
                <c:pt idx="3">
                  <c:v>114</c:v>
                </c:pt>
                <c:pt idx="4">
                  <c:v>146</c:v>
                </c:pt>
                <c:pt idx="5">
                  <c:v>177</c:v>
                </c:pt>
                <c:pt idx="6">
                  <c:v>206</c:v>
                </c:pt>
                <c:pt idx="7">
                  <c:v>242</c:v>
                </c:pt>
                <c:pt idx="8">
                  <c:v>262</c:v>
                </c:pt>
                <c:pt idx="9">
                  <c:v>296</c:v>
                </c:pt>
                <c:pt idx="10">
                  <c:v>319</c:v>
                </c:pt>
                <c:pt idx="11">
                  <c:v>337</c:v>
                </c:pt>
                <c:pt idx="12">
                  <c:v>439</c:v>
                </c:pt>
                <c:pt idx="13">
                  <c:v>499</c:v>
                </c:pt>
                <c:pt idx="14">
                  <c:v>515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13C-4C26-849F-90F97692E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Blad1!$LF$1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Blad1!$LF$2:$LF$26</c:f>
              <c:numCache>
                <c:formatCode>General</c:formatCode>
                <c:ptCount val="25"/>
                <c:pt idx="0">
                  <c:v>0</c:v>
                </c:pt>
                <c:pt idx="1">
                  <c:v>18</c:v>
                </c:pt>
                <c:pt idx="2">
                  <c:v>79</c:v>
                </c:pt>
                <c:pt idx="3">
                  <c:v>147</c:v>
                </c:pt>
                <c:pt idx="4">
                  <c:v>201</c:v>
                </c:pt>
                <c:pt idx="5">
                  <c:v>287</c:v>
                </c:pt>
                <c:pt idx="6">
                  <c:v>326</c:v>
                </c:pt>
                <c:pt idx="7">
                  <c:v>356</c:v>
                </c:pt>
                <c:pt idx="8">
                  <c:v>395</c:v>
                </c:pt>
                <c:pt idx="9">
                  <c:v>434</c:v>
                </c:pt>
                <c:pt idx="10">
                  <c:v>462</c:v>
                </c:pt>
                <c:pt idx="11">
                  <c:v>484</c:v>
                </c:pt>
                <c:pt idx="12">
                  <c:v>495</c:v>
                </c:pt>
                <c:pt idx="13">
                  <c:v>504</c:v>
                </c:pt>
                <c:pt idx="14">
                  <c:v>498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50F-4E73-AC9E-D5E008BA5B61}"/>
            </c:ext>
          </c:extLst>
        </c:ser>
        <c:ser>
          <c:idx val="1"/>
          <c:order val="1"/>
          <c:tx>
            <c:strRef>
              <c:f>Blad1!$LL$1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Blad1!$LL$2:$LL$26</c:f>
              <c:numCache>
                <c:formatCode>General</c:formatCode>
                <c:ptCount val="25"/>
                <c:pt idx="0">
                  <c:v>0</c:v>
                </c:pt>
                <c:pt idx="1">
                  <c:v>38</c:v>
                </c:pt>
                <c:pt idx="2">
                  <c:v>116</c:v>
                </c:pt>
                <c:pt idx="3">
                  <c:v>182</c:v>
                </c:pt>
                <c:pt idx="4">
                  <c:v>237</c:v>
                </c:pt>
                <c:pt idx="5">
                  <c:v>276</c:v>
                </c:pt>
                <c:pt idx="6">
                  <c:v>304</c:v>
                </c:pt>
                <c:pt idx="7">
                  <c:v>324</c:v>
                </c:pt>
                <c:pt idx="8">
                  <c:v>341</c:v>
                </c:pt>
                <c:pt idx="9">
                  <c:v>417</c:v>
                </c:pt>
                <c:pt idx="10">
                  <c:v>443</c:v>
                </c:pt>
                <c:pt idx="11">
                  <c:v>460</c:v>
                </c:pt>
                <c:pt idx="12">
                  <c:v>476</c:v>
                </c:pt>
                <c:pt idx="13">
                  <c:v>488</c:v>
                </c:pt>
                <c:pt idx="14">
                  <c:v>494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50F-4E73-AC9E-D5E008BA5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Blad1!$LR$1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Blad1!$LR$2:$LR$26</c:f>
              <c:numCache>
                <c:formatCode>General</c:formatCode>
                <c:ptCount val="25"/>
                <c:pt idx="0">
                  <c:v>0</c:v>
                </c:pt>
                <c:pt idx="1">
                  <c:v>26</c:v>
                </c:pt>
                <c:pt idx="2">
                  <c:v>54</c:v>
                </c:pt>
                <c:pt idx="3">
                  <c:v>84</c:v>
                </c:pt>
                <c:pt idx="4">
                  <c:v>108</c:v>
                </c:pt>
                <c:pt idx="5">
                  <c:v>129</c:v>
                </c:pt>
                <c:pt idx="6">
                  <c:v>159</c:v>
                </c:pt>
                <c:pt idx="7">
                  <c:v>189</c:v>
                </c:pt>
                <c:pt idx="8">
                  <c:v>261</c:v>
                </c:pt>
                <c:pt idx="9">
                  <c:v>294</c:v>
                </c:pt>
                <c:pt idx="10">
                  <c:v>327</c:v>
                </c:pt>
                <c:pt idx="11">
                  <c:v>356</c:v>
                </c:pt>
                <c:pt idx="12">
                  <c:v>374</c:v>
                </c:pt>
                <c:pt idx="13">
                  <c:v>380</c:v>
                </c:pt>
                <c:pt idx="14">
                  <c:v>380</c:v>
                </c:pt>
                <c:pt idx="15">
                  <c:v>376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FF-4C39-8207-266390FCAF93}"/>
            </c:ext>
          </c:extLst>
        </c:ser>
        <c:ser>
          <c:idx val="1"/>
          <c:order val="1"/>
          <c:tx>
            <c:strRef>
              <c:f>Blad1!$LX$1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Blad1!$LX$2:$LX$26</c:f>
              <c:numCache>
                <c:formatCode>General</c:formatCode>
                <c:ptCount val="25"/>
                <c:pt idx="0">
                  <c:v>0</c:v>
                </c:pt>
                <c:pt idx="1">
                  <c:v>19</c:v>
                </c:pt>
                <c:pt idx="2">
                  <c:v>55</c:v>
                </c:pt>
                <c:pt idx="3">
                  <c:v>80</c:v>
                </c:pt>
                <c:pt idx="4">
                  <c:v>97</c:v>
                </c:pt>
                <c:pt idx="5">
                  <c:v>166</c:v>
                </c:pt>
                <c:pt idx="6">
                  <c:v>204</c:v>
                </c:pt>
                <c:pt idx="7">
                  <c:v>275</c:v>
                </c:pt>
                <c:pt idx="8">
                  <c:v>311</c:v>
                </c:pt>
                <c:pt idx="9">
                  <c:v>340</c:v>
                </c:pt>
                <c:pt idx="10">
                  <c:v>384</c:v>
                </c:pt>
                <c:pt idx="11">
                  <c:v>408</c:v>
                </c:pt>
                <c:pt idx="12">
                  <c:v>424</c:v>
                </c:pt>
                <c:pt idx="13">
                  <c:v>424</c:v>
                </c:pt>
                <c:pt idx="14">
                  <c:v>424</c:v>
                </c:pt>
                <c:pt idx="15">
                  <c:v>414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FFF-4C39-8207-266390FCA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Blad1!$MD$1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Blad1!$MD$2:$MD$26</c:f>
              <c:numCache>
                <c:formatCode>General</c:formatCode>
                <c:ptCount val="25"/>
                <c:pt idx="0">
                  <c:v>0</c:v>
                </c:pt>
                <c:pt idx="1">
                  <c:v>26</c:v>
                </c:pt>
                <c:pt idx="2">
                  <c:v>52</c:v>
                </c:pt>
                <c:pt idx="3">
                  <c:v>76</c:v>
                </c:pt>
                <c:pt idx="4">
                  <c:v>93</c:v>
                </c:pt>
                <c:pt idx="5">
                  <c:v>117</c:v>
                </c:pt>
                <c:pt idx="6">
                  <c:v>144</c:v>
                </c:pt>
                <c:pt idx="7">
                  <c:v>170</c:v>
                </c:pt>
                <c:pt idx="8">
                  <c:v>209</c:v>
                </c:pt>
                <c:pt idx="9">
                  <c:v>237</c:v>
                </c:pt>
                <c:pt idx="10">
                  <c:v>255</c:v>
                </c:pt>
                <c:pt idx="11">
                  <c:v>272</c:v>
                </c:pt>
                <c:pt idx="12">
                  <c:v>290</c:v>
                </c:pt>
                <c:pt idx="13">
                  <c:v>306</c:v>
                </c:pt>
                <c:pt idx="14">
                  <c:v>322</c:v>
                </c:pt>
                <c:pt idx="15">
                  <c:v>340</c:v>
                </c:pt>
                <c:pt idx="16">
                  <c:v>358</c:v>
                </c:pt>
                <c:pt idx="17">
                  <c:v>376</c:v>
                </c:pt>
                <c:pt idx="18">
                  <c:v>372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919-40CE-B7BC-C5D8C40967FB}"/>
            </c:ext>
          </c:extLst>
        </c:ser>
        <c:ser>
          <c:idx val="1"/>
          <c:order val="1"/>
          <c:tx>
            <c:strRef>
              <c:f>Blad1!$MJ$1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Blad1!$MJ$2:$MJ$26</c:f>
              <c:numCache>
                <c:formatCode>General</c:formatCode>
                <c:ptCount val="25"/>
                <c:pt idx="0">
                  <c:v>0</c:v>
                </c:pt>
                <c:pt idx="1">
                  <c:v>36</c:v>
                </c:pt>
                <c:pt idx="2">
                  <c:v>68</c:v>
                </c:pt>
                <c:pt idx="3">
                  <c:v>92</c:v>
                </c:pt>
                <c:pt idx="4">
                  <c:v>125</c:v>
                </c:pt>
                <c:pt idx="5">
                  <c:v>160</c:v>
                </c:pt>
                <c:pt idx="6">
                  <c:v>186</c:v>
                </c:pt>
                <c:pt idx="7">
                  <c:v>208</c:v>
                </c:pt>
                <c:pt idx="8">
                  <c:v>226</c:v>
                </c:pt>
                <c:pt idx="9">
                  <c:v>267</c:v>
                </c:pt>
                <c:pt idx="10">
                  <c:v>283</c:v>
                </c:pt>
                <c:pt idx="11">
                  <c:v>292</c:v>
                </c:pt>
                <c:pt idx="12">
                  <c:v>404</c:v>
                </c:pt>
                <c:pt idx="13">
                  <c:v>443</c:v>
                </c:pt>
                <c:pt idx="14">
                  <c:v>465</c:v>
                </c:pt>
                <c:pt idx="15">
                  <c:v>487</c:v>
                </c:pt>
                <c:pt idx="16">
                  <c:v>501</c:v>
                </c:pt>
                <c:pt idx="17">
                  <c:v>509</c:v>
                </c:pt>
                <c:pt idx="18">
                  <c:v>513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919-40CE-B7BC-C5D8C4096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Blad1!$MP$1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Blad1!$MP$2:$MP$26</c:f>
              <c:numCache>
                <c:formatCode>General</c:formatCode>
                <c:ptCount val="25"/>
                <c:pt idx="0">
                  <c:v>0</c:v>
                </c:pt>
                <c:pt idx="1">
                  <c:v>20</c:v>
                </c:pt>
                <c:pt idx="2">
                  <c:v>76</c:v>
                </c:pt>
                <c:pt idx="3">
                  <c:v>104</c:v>
                </c:pt>
                <c:pt idx="4">
                  <c:v>139</c:v>
                </c:pt>
                <c:pt idx="5">
                  <c:v>217</c:v>
                </c:pt>
                <c:pt idx="6">
                  <c:v>253</c:v>
                </c:pt>
                <c:pt idx="7">
                  <c:v>295</c:v>
                </c:pt>
                <c:pt idx="8">
                  <c:v>321</c:v>
                </c:pt>
                <c:pt idx="9">
                  <c:v>350</c:v>
                </c:pt>
                <c:pt idx="10">
                  <c:v>377</c:v>
                </c:pt>
                <c:pt idx="11">
                  <c:v>401</c:v>
                </c:pt>
                <c:pt idx="12">
                  <c:v>429</c:v>
                </c:pt>
                <c:pt idx="13">
                  <c:v>445</c:v>
                </c:pt>
                <c:pt idx="14">
                  <c:v>459</c:v>
                </c:pt>
                <c:pt idx="15">
                  <c:v>446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16-40CB-91D1-7FB068BDFD38}"/>
            </c:ext>
          </c:extLst>
        </c:ser>
        <c:ser>
          <c:idx val="1"/>
          <c:order val="1"/>
          <c:tx>
            <c:strRef>
              <c:f>Blad1!$MV$1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Blad1!$MV$2:$MV$26</c:f>
              <c:numCache>
                <c:formatCode>General</c:formatCode>
                <c:ptCount val="25"/>
                <c:pt idx="0">
                  <c:v>0</c:v>
                </c:pt>
                <c:pt idx="1">
                  <c:v>34</c:v>
                </c:pt>
                <c:pt idx="2">
                  <c:v>67</c:v>
                </c:pt>
                <c:pt idx="3">
                  <c:v>103</c:v>
                </c:pt>
                <c:pt idx="4">
                  <c:v>145</c:v>
                </c:pt>
                <c:pt idx="5">
                  <c:v>172</c:v>
                </c:pt>
                <c:pt idx="6">
                  <c:v>228</c:v>
                </c:pt>
                <c:pt idx="7">
                  <c:v>249</c:v>
                </c:pt>
                <c:pt idx="8">
                  <c:v>366</c:v>
                </c:pt>
                <c:pt idx="9">
                  <c:v>395</c:v>
                </c:pt>
                <c:pt idx="10">
                  <c:v>424</c:v>
                </c:pt>
                <c:pt idx="11">
                  <c:v>460</c:v>
                </c:pt>
                <c:pt idx="12">
                  <c:v>481</c:v>
                </c:pt>
                <c:pt idx="13">
                  <c:v>508</c:v>
                </c:pt>
                <c:pt idx="14">
                  <c:v>513</c:v>
                </c:pt>
                <c:pt idx="15">
                  <c:v>526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116-40CB-91D1-7FB068BD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Blad1!$NB$1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Blad1!$NB$2:$NB$26</c:f>
              <c:numCache>
                <c:formatCode>General</c:formatCode>
                <c:ptCount val="25"/>
                <c:pt idx="0">
                  <c:v>0</c:v>
                </c:pt>
                <c:pt idx="1">
                  <c:v>22</c:v>
                </c:pt>
                <c:pt idx="2">
                  <c:v>59</c:v>
                </c:pt>
                <c:pt idx="3">
                  <c:v>97</c:v>
                </c:pt>
                <c:pt idx="4">
                  <c:v>123</c:v>
                </c:pt>
                <c:pt idx="5">
                  <c:v>149</c:v>
                </c:pt>
                <c:pt idx="6">
                  <c:v>195</c:v>
                </c:pt>
                <c:pt idx="7">
                  <c:v>225</c:v>
                </c:pt>
                <c:pt idx="8">
                  <c:v>238</c:v>
                </c:pt>
                <c:pt idx="9">
                  <c:v>259</c:v>
                </c:pt>
                <c:pt idx="10">
                  <c:v>281</c:v>
                </c:pt>
                <c:pt idx="11">
                  <c:v>312</c:v>
                </c:pt>
                <c:pt idx="12">
                  <c:v>340</c:v>
                </c:pt>
                <c:pt idx="13">
                  <c:v>370</c:v>
                </c:pt>
                <c:pt idx="14">
                  <c:v>404</c:v>
                </c:pt>
                <c:pt idx="15">
                  <c:v>434</c:v>
                </c:pt>
                <c:pt idx="16">
                  <c:v>460</c:v>
                </c:pt>
                <c:pt idx="17">
                  <c:v>482</c:v>
                </c:pt>
                <c:pt idx="18">
                  <c:v>478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CF-4F77-9DD4-EF8C1D16E5FD}"/>
            </c:ext>
          </c:extLst>
        </c:ser>
        <c:ser>
          <c:idx val="1"/>
          <c:order val="1"/>
          <c:tx>
            <c:strRef>
              <c:f>Blad1!$NH$1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Blad1!$NH$2:$NH$26</c:f>
              <c:numCache>
                <c:formatCode>General</c:formatCode>
                <c:ptCount val="25"/>
                <c:pt idx="0">
                  <c:v>0</c:v>
                </c:pt>
                <c:pt idx="1">
                  <c:v>26</c:v>
                </c:pt>
                <c:pt idx="2">
                  <c:v>52</c:v>
                </c:pt>
                <c:pt idx="3">
                  <c:v>52</c:v>
                </c:pt>
                <c:pt idx="4">
                  <c:v>132</c:v>
                </c:pt>
                <c:pt idx="5">
                  <c:v>156</c:v>
                </c:pt>
                <c:pt idx="6">
                  <c:v>198</c:v>
                </c:pt>
                <c:pt idx="7">
                  <c:v>242</c:v>
                </c:pt>
                <c:pt idx="8">
                  <c:v>267</c:v>
                </c:pt>
                <c:pt idx="9">
                  <c:v>286</c:v>
                </c:pt>
                <c:pt idx="10">
                  <c:v>286</c:v>
                </c:pt>
                <c:pt idx="11">
                  <c:v>321</c:v>
                </c:pt>
                <c:pt idx="12">
                  <c:v>321</c:v>
                </c:pt>
                <c:pt idx="13">
                  <c:v>334</c:v>
                </c:pt>
                <c:pt idx="14">
                  <c:v>383</c:v>
                </c:pt>
                <c:pt idx="15">
                  <c:v>392</c:v>
                </c:pt>
                <c:pt idx="16">
                  <c:v>416</c:v>
                </c:pt>
                <c:pt idx="17">
                  <c:v>446</c:v>
                </c:pt>
                <c:pt idx="18">
                  <c:v>450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CF-4F77-9DD4-EF8C1D16E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Blad1!$NN$1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Blad1!$NN$2:$NN$26</c:f>
              <c:numCache>
                <c:formatCode>General</c:formatCode>
                <c:ptCount val="25"/>
                <c:pt idx="0">
                  <c:v>0</c:v>
                </c:pt>
                <c:pt idx="1">
                  <c:v>10</c:v>
                </c:pt>
                <c:pt idx="2">
                  <c:v>35</c:v>
                </c:pt>
                <c:pt idx="3">
                  <c:v>62</c:v>
                </c:pt>
                <c:pt idx="4">
                  <c:v>96</c:v>
                </c:pt>
                <c:pt idx="5">
                  <c:v>120</c:v>
                </c:pt>
                <c:pt idx="6">
                  <c:v>143</c:v>
                </c:pt>
                <c:pt idx="7">
                  <c:v>178</c:v>
                </c:pt>
                <c:pt idx="8">
                  <c:v>210</c:v>
                </c:pt>
                <c:pt idx="9">
                  <c:v>229</c:v>
                </c:pt>
                <c:pt idx="10">
                  <c:v>247</c:v>
                </c:pt>
                <c:pt idx="11">
                  <c:v>286</c:v>
                </c:pt>
                <c:pt idx="12">
                  <c:v>326</c:v>
                </c:pt>
                <c:pt idx="13">
                  <c:v>366</c:v>
                </c:pt>
                <c:pt idx="14">
                  <c:v>376</c:v>
                </c:pt>
                <c:pt idx="15">
                  <c:v>373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E3-4A37-84A9-5455C8EC304F}"/>
            </c:ext>
          </c:extLst>
        </c:ser>
        <c:ser>
          <c:idx val="1"/>
          <c:order val="1"/>
          <c:tx>
            <c:strRef>
              <c:f>Blad1!$NT$1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Blad1!$NT$2:$NT$26</c:f>
              <c:numCache>
                <c:formatCode>General</c:formatCode>
                <c:ptCount val="25"/>
                <c:pt idx="0">
                  <c:v>0</c:v>
                </c:pt>
                <c:pt idx="1">
                  <c:v>18</c:v>
                </c:pt>
                <c:pt idx="2">
                  <c:v>84</c:v>
                </c:pt>
                <c:pt idx="3">
                  <c:v>112</c:v>
                </c:pt>
                <c:pt idx="4">
                  <c:v>142</c:v>
                </c:pt>
                <c:pt idx="5">
                  <c:v>179</c:v>
                </c:pt>
                <c:pt idx="6">
                  <c:v>224</c:v>
                </c:pt>
                <c:pt idx="7">
                  <c:v>297</c:v>
                </c:pt>
                <c:pt idx="8">
                  <c:v>321</c:v>
                </c:pt>
                <c:pt idx="9">
                  <c:v>349</c:v>
                </c:pt>
                <c:pt idx="10">
                  <c:v>451</c:v>
                </c:pt>
                <c:pt idx="11">
                  <c:v>485</c:v>
                </c:pt>
                <c:pt idx="12">
                  <c:v>513</c:v>
                </c:pt>
                <c:pt idx="13">
                  <c:v>555</c:v>
                </c:pt>
                <c:pt idx="14">
                  <c:v>565</c:v>
                </c:pt>
                <c:pt idx="15">
                  <c:v>568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E3-4A37-84A9-5455C8EC3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Blad1!$NZ$1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Blad1!$NZ$2:$NZ$26</c:f>
              <c:numCache>
                <c:formatCode>General</c:formatCode>
                <c:ptCount val="25"/>
                <c:pt idx="0">
                  <c:v>0</c:v>
                </c:pt>
                <c:pt idx="1">
                  <c:v>18</c:v>
                </c:pt>
                <c:pt idx="2">
                  <c:v>78</c:v>
                </c:pt>
                <c:pt idx="3">
                  <c:v>103</c:v>
                </c:pt>
                <c:pt idx="4">
                  <c:v>143</c:v>
                </c:pt>
                <c:pt idx="5">
                  <c:v>206</c:v>
                </c:pt>
                <c:pt idx="6">
                  <c:v>237</c:v>
                </c:pt>
                <c:pt idx="7">
                  <c:v>325</c:v>
                </c:pt>
                <c:pt idx="8">
                  <c:v>355</c:v>
                </c:pt>
                <c:pt idx="9">
                  <c:v>381</c:v>
                </c:pt>
                <c:pt idx="10">
                  <c:v>409</c:v>
                </c:pt>
                <c:pt idx="11">
                  <c:v>443</c:v>
                </c:pt>
                <c:pt idx="12">
                  <c:v>475</c:v>
                </c:pt>
                <c:pt idx="13">
                  <c:v>494</c:v>
                </c:pt>
                <c:pt idx="14">
                  <c:v>511</c:v>
                </c:pt>
                <c:pt idx="15">
                  <c:v>521</c:v>
                </c:pt>
                <c:pt idx="16">
                  <c:v>508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51F-4C32-B1C5-BE91CACED334}"/>
            </c:ext>
          </c:extLst>
        </c:ser>
        <c:ser>
          <c:idx val="1"/>
          <c:order val="1"/>
          <c:tx>
            <c:strRef>
              <c:f>Blad1!$OF$1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Blad1!$OF$2:$OF$26</c:f>
              <c:numCache>
                <c:formatCode>General</c:formatCode>
                <c:ptCount val="25"/>
                <c:pt idx="0">
                  <c:v>0</c:v>
                </c:pt>
                <c:pt idx="1">
                  <c:v>24</c:v>
                </c:pt>
                <c:pt idx="2">
                  <c:v>52</c:v>
                </c:pt>
                <c:pt idx="3">
                  <c:v>60</c:v>
                </c:pt>
                <c:pt idx="4">
                  <c:v>68</c:v>
                </c:pt>
                <c:pt idx="5">
                  <c:v>73</c:v>
                </c:pt>
                <c:pt idx="6">
                  <c:v>194</c:v>
                </c:pt>
                <c:pt idx="7">
                  <c:v>279</c:v>
                </c:pt>
                <c:pt idx="8">
                  <c:v>301</c:v>
                </c:pt>
                <c:pt idx="9">
                  <c:v>306</c:v>
                </c:pt>
                <c:pt idx="10">
                  <c:v>323</c:v>
                </c:pt>
                <c:pt idx="11">
                  <c:v>365</c:v>
                </c:pt>
                <c:pt idx="12">
                  <c:v>388</c:v>
                </c:pt>
                <c:pt idx="13">
                  <c:v>409</c:v>
                </c:pt>
                <c:pt idx="14">
                  <c:v>427</c:v>
                </c:pt>
                <c:pt idx="15">
                  <c:v>438</c:v>
                </c:pt>
                <c:pt idx="16">
                  <c:v>451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51F-4C32-B1C5-BE91CACED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Blad1!$OL$2:$OL$26</c:f>
              <c:numCache>
                <c:formatCode>General</c:formatCode>
                <c:ptCount val="25"/>
                <c:pt idx="0">
                  <c:v>0</c:v>
                </c:pt>
                <c:pt idx="1">
                  <c:v>66</c:v>
                </c:pt>
                <c:pt idx="2">
                  <c:v>92</c:v>
                </c:pt>
                <c:pt idx="3">
                  <c:v>126</c:v>
                </c:pt>
                <c:pt idx="4">
                  <c:v>168</c:v>
                </c:pt>
                <c:pt idx="5">
                  <c:v>206</c:v>
                </c:pt>
                <c:pt idx="6">
                  <c:v>267</c:v>
                </c:pt>
                <c:pt idx="7">
                  <c:v>335</c:v>
                </c:pt>
                <c:pt idx="8">
                  <c:v>368</c:v>
                </c:pt>
                <c:pt idx="9">
                  <c:v>396</c:v>
                </c:pt>
                <c:pt idx="10">
                  <c:v>426</c:v>
                </c:pt>
                <c:pt idx="11">
                  <c:v>456</c:v>
                </c:pt>
                <c:pt idx="12">
                  <c:v>477</c:v>
                </c:pt>
                <c:pt idx="13">
                  <c:v>492</c:v>
                </c:pt>
                <c:pt idx="14">
                  <c:v>499</c:v>
                </c:pt>
                <c:pt idx="15">
                  <c:v>499</c:v>
                </c:pt>
                <c:pt idx="16">
                  <c:v>489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897-48F3-AF16-E33DC2A8ABFC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Blad1!$OR$2:$OR$26</c:f>
              <c:numCache>
                <c:formatCode>General</c:formatCode>
                <c:ptCount val="25"/>
                <c:pt idx="0">
                  <c:v>0</c:v>
                </c:pt>
                <c:pt idx="1">
                  <c:v>24</c:v>
                </c:pt>
                <c:pt idx="2">
                  <c:v>55</c:v>
                </c:pt>
                <c:pt idx="3">
                  <c:v>107</c:v>
                </c:pt>
                <c:pt idx="4">
                  <c:v>135</c:v>
                </c:pt>
                <c:pt idx="5">
                  <c:v>177</c:v>
                </c:pt>
                <c:pt idx="6">
                  <c:v>213</c:v>
                </c:pt>
                <c:pt idx="7">
                  <c:v>274</c:v>
                </c:pt>
                <c:pt idx="8">
                  <c:v>296</c:v>
                </c:pt>
                <c:pt idx="9">
                  <c:v>341</c:v>
                </c:pt>
                <c:pt idx="10">
                  <c:v>370</c:v>
                </c:pt>
                <c:pt idx="11">
                  <c:v>395</c:v>
                </c:pt>
                <c:pt idx="12">
                  <c:v>408</c:v>
                </c:pt>
                <c:pt idx="13">
                  <c:v>425</c:v>
                </c:pt>
                <c:pt idx="14">
                  <c:v>438</c:v>
                </c:pt>
                <c:pt idx="15">
                  <c:v>447</c:v>
                </c:pt>
                <c:pt idx="16">
                  <c:v>457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897-48F3-AF16-E33DC2A8A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Blad1!$OX$1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Blad1!$OX$2:$OX$26</c:f>
              <c:numCache>
                <c:formatCode>General</c:formatCode>
                <c:ptCount val="25"/>
                <c:pt idx="0">
                  <c:v>0</c:v>
                </c:pt>
                <c:pt idx="1">
                  <c:v>28</c:v>
                </c:pt>
                <c:pt idx="2">
                  <c:v>65</c:v>
                </c:pt>
                <c:pt idx="3">
                  <c:v>90</c:v>
                </c:pt>
                <c:pt idx="4">
                  <c:v>118</c:v>
                </c:pt>
                <c:pt idx="5">
                  <c:v>170</c:v>
                </c:pt>
                <c:pt idx="6">
                  <c:v>215</c:v>
                </c:pt>
                <c:pt idx="7">
                  <c:v>249</c:v>
                </c:pt>
                <c:pt idx="8">
                  <c:v>276</c:v>
                </c:pt>
                <c:pt idx="9">
                  <c:v>318</c:v>
                </c:pt>
                <c:pt idx="10">
                  <c:v>351</c:v>
                </c:pt>
                <c:pt idx="11">
                  <c:v>399</c:v>
                </c:pt>
                <c:pt idx="12">
                  <c:v>429</c:v>
                </c:pt>
                <c:pt idx="13">
                  <c:v>464</c:v>
                </c:pt>
                <c:pt idx="14">
                  <c:v>482</c:v>
                </c:pt>
                <c:pt idx="15">
                  <c:v>516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32D-4D0C-83F8-1F95751C72FB}"/>
            </c:ext>
          </c:extLst>
        </c:ser>
        <c:ser>
          <c:idx val="1"/>
          <c:order val="1"/>
          <c:tx>
            <c:strRef>
              <c:f>Blad1!$PD$1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Blad1!$PD$2:$PD$26</c:f>
              <c:numCache>
                <c:formatCode>General</c:formatCode>
                <c:ptCount val="25"/>
                <c:pt idx="0">
                  <c:v>0</c:v>
                </c:pt>
                <c:pt idx="1">
                  <c:v>28</c:v>
                </c:pt>
                <c:pt idx="2">
                  <c:v>63</c:v>
                </c:pt>
                <c:pt idx="3">
                  <c:v>89</c:v>
                </c:pt>
                <c:pt idx="4">
                  <c:v>108</c:v>
                </c:pt>
                <c:pt idx="5">
                  <c:v>198</c:v>
                </c:pt>
                <c:pt idx="6">
                  <c:v>224</c:v>
                </c:pt>
                <c:pt idx="7">
                  <c:v>224</c:v>
                </c:pt>
                <c:pt idx="8">
                  <c:v>255</c:v>
                </c:pt>
                <c:pt idx="9">
                  <c:v>260</c:v>
                </c:pt>
                <c:pt idx="10">
                  <c:v>323</c:v>
                </c:pt>
                <c:pt idx="11">
                  <c:v>360</c:v>
                </c:pt>
                <c:pt idx="12">
                  <c:v>406</c:v>
                </c:pt>
                <c:pt idx="13">
                  <c:v>418</c:v>
                </c:pt>
                <c:pt idx="14">
                  <c:v>426</c:v>
                </c:pt>
                <c:pt idx="15">
                  <c:v>416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32D-4D0C-83F8-1F95751C7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Blad1!$PJ$1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Blad1!$PJ$2:$PJ$26</c:f>
              <c:numCache>
                <c:formatCode>General</c:formatCode>
                <c:ptCount val="25"/>
                <c:pt idx="0">
                  <c:v>0</c:v>
                </c:pt>
                <c:pt idx="1">
                  <c:v>22</c:v>
                </c:pt>
                <c:pt idx="2">
                  <c:v>55</c:v>
                </c:pt>
                <c:pt idx="3">
                  <c:v>95</c:v>
                </c:pt>
                <c:pt idx="4">
                  <c:v>128</c:v>
                </c:pt>
                <c:pt idx="5">
                  <c:v>158</c:v>
                </c:pt>
                <c:pt idx="6">
                  <c:v>232</c:v>
                </c:pt>
                <c:pt idx="7">
                  <c:v>260</c:v>
                </c:pt>
                <c:pt idx="8">
                  <c:v>289</c:v>
                </c:pt>
                <c:pt idx="9">
                  <c:v>315</c:v>
                </c:pt>
                <c:pt idx="10">
                  <c:v>343</c:v>
                </c:pt>
                <c:pt idx="11">
                  <c:v>367</c:v>
                </c:pt>
                <c:pt idx="12">
                  <c:v>387</c:v>
                </c:pt>
                <c:pt idx="13">
                  <c:v>396</c:v>
                </c:pt>
                <c:pt idx="14">
                  <c:v>385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86-410D-B618-2D99F1DCEE55}"/>
            </c:ext>
          </c:extLst>
        </c:ser>
        <c:ser>
          <c:idx val="1"/>
          <c:order val="1"/>
          <c:tx>
            <c:strRef>
              <c:f>Blad1!$PP$1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Blad1!$PP$2:$PP$26</c:f>
              <c:numCache>
                <c:formatCode>General</c:formatCode>
                <c:ptCount val="25"/>
                <c:pt idx="0">
                  <c:v>0</c:v>
                </c:pt>
                <c:pt idx="1">
                  <c:v>34</c:v>
                </c:pt>
                <c:pt idx="2">
                  <c:v>62</c:v>
                </c:pt>
                <c:pt idx="3">
                  <c:v>90</c:v>
                </c:pt>
                <c:pt idx="4">
                  <c:v>120</c:v>
                </c:pt>
                <c:pt idx="5">
                  <c:v>181</c:v>
                </c:pt>
                <c:pt idx="6">
                  <c:v>211</c:v>
                </c:pt>
                <c:pt idx="7">
                  <c:v>265</c:v>
                </c:pt>
                <c:pt idx="8">
                  <c:v>316</c:v>
                </c:pt>
                <c:pt idx="9">
                  <c:v>347</c:v>
                </c:pt>
                <c:pt idx="10">
                  <c:v>379</c:v>
                </c:pt>
                <c:pt idx="11">
                  <c:v>421</c:v>
                </c:pt>
                <c:pt idx="12">
                  <c:v>478</c:v>
                </c:pt>
                <c:pt idx="13">
                  <c:v>500</c:v>
                </c:pt>
                <c:pt idx="14">
                  <c:v>511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E86-410D-B618-2D99F1DCE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Blad1!$PV$1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Blad1!$PV$2:$PV$26</c:f>
              <c:numCache>
                <c:formatCode>General</c:formatCode>
                <c:ptCount val="25"/>
                <c:pt idx="0">
                  <c:v>0</c:v>
                </c:pt>
                <c:pt idx="1">
                  <c:v>22</c:v>
                </c:pt>
                <c:pt idx="2">
                  <c:v>100</c:v>
                </c:pt>
                <c:pt idx="3">
                  <c:v>145</c:v>
                </c:pt>
                <c:pt idx="4">
                  <c:v>177</c:v>
                </c:pt>
                <c:pt idx="5">
                  <c:v>213</c:v>
                </c:pt>
                <c:pt idx="6">
                  <c:v>249</c:v>
                </c:pt>
                <c:pt idx="7">
                  <c:v>281</c:v>
                </c:pt>
                <c:pt idx="8">
                  <c:v>321</c:v>
                </c:pt>
                <c:pt idx="9">
                  <c:v>357</c:v>
                </c:pt>
                <c:pt idx="10">
                  <c:v>405</c:v>
                </c:pt>
                <c:pt idx="11">
                  <c:v>438</c:v>
                </c:pt>
                <c:pt idx="12">
                  <c:v>480</c:v>
                </c:pt>
                <c:pt idx="13">
                  <c:v>507</c:v>
                </c:pt>
                <c:pt idx="14">
                  <c:v>530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82-4A3A-94A8-42B7388B5B62}"/>
            </c:ext>
          </c:extLst>
        </c:ser>
        <c:ser>
          <c:idx val="1"/>
          <c:order val="1"/>
          <c:tx>
            <c:strRef>
              <c:f>Blad1!$QB$1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Blad1!$QB$2:$QB$26</c:f>
              <c:numCache>
                <c:formatCode>General</c:formatCode>
                <c:ptCount val="25"/>
                <c:pt idx="0">
                  <c:v>0</c:v>
                </c:pt>
                <c:pt idx="1">
                  <c:v>36</c:v>
                </c:pt>
                <c:pt idx="2">
                  <c:v>114</c:v>
                </c:pt>
                <c:pt idx="3">
                  <c:v>141</c:v>
                </c:pt>
                <c:pt idx="4">
                  <c:v>157</c:v>
                </c:pt>
                <c:pt idx="5">
                  <c:v>175</c:v>
                </c:pt>
                <c:pt idx="6">
                  <c:v>231</c:v>
                </c:pt>
                <c:pt idx="7">
                  <c:v>264</c:v>
                </c:pt>
                <c:pt idx="8">
                  <c:v>345</c:v>
                </c:pt>
                <c:pt idx="9">
                  <c:v>404</c:v>
                </c:pt>
                <c:pt idx="10">
                  <c:v>443</c:v>
                </c:pt>
                <c:pt idx="11">
                  <c:v>467</c:v>
                </c:pt>
                <c:pt idx="12">
                  <c:v>489</c:v>
                </c:pt>
                <c:pt idx="13">
                  <c:v>508</c:v>
                </c:pt>
                <c:pt idx="14">
                  <c:v>498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182-4A3A-94A8-42B7388B5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Blad1!$QH$1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Blad1!$QH$2:$QH$26</c:f>
              <c:numCache>
                <c:formatCode>General</c:formatCode>
                <c:ptCount val="25"/>
                <c:pt idx="0">
                  <c:v>0</c:v>
                </c:pt>
                <c:pt idx="1">
                  <c:v>28</c:v>
                </c:pt>
                <c:pt idx="2">
                  <c:v>85</c:v>
                </c:pt>
                <c:pt idx="3">
                  <c:v>124</c:v>
                </c:pt>
                <c:pt idx="4">
                  <c:v>166</c:v>
                </c:pt>
                <c:pt idx="5">
                  <c:v>201</c:v>
                </c:pt>
                <c:pt idx="6">
                  <c:v>235</c:v>
                </c:pt>
                <c:pt idx="7">
                  <c:v>271</c:v>
                </c:pt>
                <c:pt idx="8">
                  <c:v>322</c:v>
                </c:pt>
                <c:pt idx="9">
                  <c:v>348</c:v>
                </c:pt>
                <c:pt idx="10">
                  <c:v>378</c:v>
                </c:pt>
                <c:pt idx="11">
                  <c:v>474</c:v>
                </c:pt>
                <c:pt idx="12">
                  <c:v>500</c:v>
                </c:pt>
                <c:pt idx="13">
                  <c:v>513</c:v>
                </c:pt>
                <c:pt idx="14">
                  <c:v>512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4-444F-9984-6FB4292D0F52}"/>
            </c:ext>
          </c:extLst>
        </c:ser>
        <c:ser>
          <c:idx val="1"/>
          <c:order val="1"/>
          <c:tx>
            <c:strRef>
              <c:f>Blad1!$QN$1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Blad1!$QN$2:$QN$26</c:f>
              <c:numCache>
                <c:formatCode>General</c:formatCode>
                <c:ptCount val="25"/>
                <c:pt idx="0">
                  <c:v>0</c:v>
                </c:pt>
                <c:pt idx="1">
                  <c:v>48</c:v>
                </c:pt>
                <c:pt idx="2">
                  <c:v>76</c:v>
                </c:pt>
                <c:pt idx="3">
                  <c:v>100</c:v>
                </c:pt>
                <c:pt idx="4">
                  <c:v>130</c:v>
                </c:pt>
                <c:pt idx="5">
                  <c:v>143</c:v>
                </c:pt>
                <c:pt idx="6">
                  <c:v>182</c:v>
                </c:pt>
                <c:pt idx="7">
                  <c:v>194</c:v>
                </c:pt>
                <c:pt idx="8">
                  <c:v>265</c:v>
                </c:pt>
                <c:pt idx="9">
                  <c:v>300</c:v>
                </c:pt>
                <c:pt idx="10">
                  <c:v>397</c:v>
                </c:pt>
                <c:pt idx="11">
                  <c:v>421</c:v>
                </c:pt>
                <c:pt idx="12">
                  <c:v>438</c:v>
                </c:pt>
                <c:pt idx="13">
                  <c:v>452</c:v>
                </c:pt>
                <c:pt idx="14">
                  <c:v>453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7F4-444F-9984-6FB4292D0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Blad1!$QT$1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Blad1!$QT$2:$QT$26</c:f>
              <c:numCache>
                <c:formatCode>General</c:formatCode>
                <c:ptCount val="25"/>
                <c:pt idx="0">
                  <c:v>0</c:v>
                </c:pt>
                <c:pt idx="1">
                  <c:v>14</c:v>
                </c:pt>
                <c:pt idx="2">
                  <c:v>48</c:v>
                </c:pt>
                <c:pt idx="3">
                  <c:v>88</c:v>
                </c:pt>
                <c:pt idx="4">
                  <c:v>109</c:v>
                </c:pt>
                <c:pt idx="5">
                  <c:v>137</c:v>
                </c:pt>
                <c:pt idx="6">
                  <c:v>161</c:v>
                </c:pt>
                <c:pt idx="7">
                  <c:v>181</c:v>
                </c:pt>
                <c:pt idx="8">
                  <c:v>217</c:v>
                </c:pt>
                <c:pt idx="9">
                  <c:v>242</c:v>
                </c:pt>
                <c:pt idx="10">
                  <c:v>293</c:v>
                </c:pt>
                <c:pt idx="11">
                  <c:v>310</c:v>
                </c:pt>
                <c:pt idx="12">
                  <c:v>343</c:v>
                </c:pt>
                <c:pt idx="13">
                  <c:v>432</c:v>
                </c:pt>
                <c:pt idx="14">
                  <c:v>494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79-4F45-BB3A-DF2A1060680E}"/>
            </c:ext>
          </c:extLst>
        </c:ser>
        <c:ser>
          <c:idx val="1"/>
          <c:order val="1"/>
          <c:tx>
            <c:strRef>
              <c:f>Blad1!$QZ$1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Blad1!$QZ$2:$QZ$26</c:f>
              <c:numCache>
                <c:formatCode>General</c:formatCode>
                <c:ptCount val="25"/>
                <c:pt idx="0">
                  <c:v>0</c:v>
                </c:pt>
                <c:pt idx="1">
                  <c:v>26</c:v>
                </c:pt>
                <c:pt idx="2">
                  <c:v>100</c:v>
                </c:pt>
                <c:pt idx="3">
                  <c:v>151</c:v>
                </c:pt>
                <c:pt idx="4">
                  <c:v>173</c:v>
                </c:pt>
                <c:pt idx="5">
                  <c:v>200</c:v>
                </c:pt>
                <c:pt idx="6">
                  <c:v>234</c:v>
                </c:pt>
                <c:pt idx="7">
                  <c:v>264</c:v>
                </c:pt>
                <c:pt idx="8">
                  <c:v>292</c:v>
                </c:pt>
                <c:pt idx="9">
                  <c:v>306</c:v>
                </c:pt>
                <c:pt idx="10">
                  <c:v>331</c:v>
                </c:pt>
                <c:pt idx="11">
                  <c:v>361</c:v>
                </c:pt>
                <c:pt idx="12">
                  <c:v>389</c:v>
                </c:pt>
                <c:pt idx="13">
                  <c:v>445</c:v>
                </c:pt>
                <c:pt idx="14">
                  <c:v>440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79-4F45-BB3A-DF2A10606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Blad1!$RF$1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Blad1!$RF$2:$RF$26</c:f>
              <c:numCache>
                <c:formatCode>General</c:formatCode>
                <c:ptCount val="25"/>
                <c:pt idx="0">
                  <c:v>0</c:v>
                </c:pt>
                <c:pt idx="1">
                  <c:v>22</c:v>
                </c:pt>
                <c:pt idx="2">
                  <c:v>70</c:v>
                </c:pt>
                <c:pt idx="3">
                  <c:v>149</c:v>
                </c:pt>
                <c:pt idx="4">
                  <c:v>179</c:v>
                </c:pt>
                <c:pt idx="5">
                  <c:v>205</c:v>
                </c:pt>
                <c:pt idx="6">
                  <c:v>241</c:v>
                </c:pt>
                <c:pt idx="7">
                  <c:v>279</c:v>
                </c:pt>
                <c:pt idx="8">
                  <c:v>364</c:v>
                </c:pt>
                <c:pt idx="9">
                  <c:v>424</c:v>
                </c:pt>
                <c:pt idx="10">
                  <c:v>468</c:v>
                </c:pt>
                <c:pt idx="11">
                  <c:v>502</c:v>
                </c:pt>
                <c:pt idx="12">
                  <c:v>528</c:v>
                </c:pt>
                <c:pt idx="13">
                  <c:v>555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8F3-4E4C-955C-0C81FCAF374F}"/>
            </c:ext>
          </c:extLst>
        </c:ser>
        <c:ser>
          <c:idx val="1"/>
          <c:order val="1"/>
          <c:tx>
            <c:strRef>
              <c:f>Blad1!$RL$1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Blad1!$RL$2:$RL$26</c:f>
              <c:numCache>
                <c:formatCode>General</c:formatCode>
                <c:ptCount val="25"/>
                <c:pt idx="0">
                  <c:v>0</c:v>
                </c:pt>
                <c:pt idx="1">
                  <c:v>26</c:v>
                </c:pt>
                <c:pt idx="2">
                  <c:v>43</c:v>
                </c:pt>
                <c:pt idx="3">
                  <c:v>122</c:v>
                </c:pt>
                <c:pt idx="4">
                  <c:v>194</c:v>
                </c:pt>
                <c:pt idx="5">
                  <c:v>217</c:v>
                </c:pt>
                <c:pt idx="6">
                  <c:v>239</c:v>
                </c:pt>
                <c:pt idx="7">
                  <c:v>279</c:v>
                </c:pt>
                <c:pt idx="8">
                  <c:v>345</c:v>
                </c:pt>
                <c:pt idx="9">
                  <c:v>373</c:v>
                </c:pt>
                <c:pt idx="10">
                  <c:v>405</c:v>
                </c:pt>
                <c:pt idx="11">
                  <c:v>432</c:v>
                </c:pt>
                <c:pt idx="12">
                  <c:v>448</c:v>
                </c:pt>
                <c:pt idx="13">
                  <c:v>432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8F3-4E4C-955C-0C81FCAF3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Blad1!$RR$1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Blad1!$RR$2:$RR$26</c:f>
              <c:numCache>
                <c:formatCode>General</c:formatCode>
                <c:ptCount val="25"/>
                <c:pt idx="0">
                  <c:v>0</c:v>
                </c:pt>
                <c:pt idx="1">
                  <c:v>26</c:v>
                </c:pt>
                <c:pt idx="2">
                  <c:v>88</c:v>
                </c:pt>
                <c:pt idx="3">
                  <c:v>208</c:v>
                </c:pt>
                <c:pt idx="4">
                  <c:v>248</c:v>
                </c:pt>
                <c:pt idx="5">
                  <c:v>289</c:v>
                </c:pt>
                <c:pt idx="6">
                  <c:v>375</c:v>
                </c:pt>
                <c:pt idx="7">
                  <c:v>405</c:v>
                </c:pt>
                <c:pt idx="8">
                  <c:v>438</c:v>
                </c:pt>
                <c:pt idx="9">
                  <c:v>480</c:v>
                </c:pt>
                <c:pt idx="10">
                  <c:v>513</c:v>
                </c:pt>
                <c:pt idx="11">
                  <c:v>545</c:v>
                </c:pt>
                <c:pt idx="12">
                  <c:v>559</c:v>
                </c:pt>
                <c:pt idx="13">
                  <c:v>572</c:v>
                </c:pt>
                <c:pt idx="14">
                  <c:v>581</c:v>
                </c:pt>
                <c:pt idx="15">
                  <c:v>589</c:v>
                </c:pt>
                <c:pt idx="16">
                  <c:v>589</c:v>
                </c:pt>
                <c:pt idx="17">
                  <c:v>579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970-419D-A603-CF231F0BF0EB}"/>
            </c:ext>
          </c:extLst>
        </c:ser>
        <c:ser>
          <c:idx val="1"/>
          <c:order val="1"/>
          <c:tx>
            <c:strRef>
              <c:f>Blad1!$RX$1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Blad1!$RX$2:$RX$26</c:f>
              <c:numCache>
                <c:formatCode>General</c:formatCode>
                <c:ptCount val="25"/>
                <c:pt idx="0">
                  <c:v>0</c:v>
                </c:pt>
                <c:pt idx="1">
                  <c:v>56</c:v>
                </c:pt>
                <c:pt idx="2">
                  <c:v>112</c:v>
                </c:pt>
                <c:pt idx="3">
                  <c:v>168</c:v>
                </c:pt>
                <c:pt idx="4">
                  <c:v>196</c:v>
                </c:pt>
                <c:pt idx="5">
                  <c:v>228</c:v>
                </c:pt>
                <c:pt idx="6">
                  <c:v>250</c:v>
                </c:pt>
                <c:pt idx="7">
                  <c:v>282</c:v>
                </c:pt>
                <c:pt idx="8">
                  <c:v>341</c:v>
                </c:pt>
                <c:pt idx="9">
                  <c:v>375</c:v>
                </c:pt>
                <c:pt idx="10">
                  <c:v>400</c:v>
                </c:pt>
                <c:pt idx="11">
                  <c:v>411</c:v>
                </c:pt>
                <c:pt idx="12">
                  <c:v>419</c:v>
                </c:pt>
                <c:pt idx="13">
                  <c:v>426</c:v>
                </c:pt>
                <c:pt idx="14">
                  <c:v>426</c:v>
                </c:pt>
                <c:pt idx="15">
                  <c:v>426</c:v>
                </c:pt>
                <c:pt idx="16">
                  <c:v>426</c:v>
                </c:pt>
                <c:pt idx="17">
                  <c:v>421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970-419D-A603-CF231F0BF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Blad1!$SD$1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Blad1!$SD$2:$SD$26</c:f>
              <c:numCache>
                <c:formatCode>General</c:formatCode>
                <c:ptCount val="25"/>
                <c:pt idx="0">
                  <c:v>0</c:v>
                </c:pt>
                <c:pt idx="1">
                  <c:v>30</c:v>
                </c:pt>
                <c:pt idx="2">
                  <c:v>109</c:v>
                </c:pt>
                <c:pt idx="3">
                  <c:v>132</c:v>
                </c:pt>
                <c:pt idx="4">
                  <c:v>202</c:v>
                </c:pt>
                <c:pt idx="5">
                  <c:v>235</c:v>
                </c:pt>
                <c:pt idx="6">
                  <c:v>262</c:v>
                </c:pt>
                <c:pt idx="7">
                  <c:v>292</c:v>
                </c:pt>
                <c:pt idx="8">
                  <c:v>324</c:v>
                </c:pt>
                <c:pt idx="9">
                  <c:v>370</c:v>
                </c:pt>
                <c:pt idx="10">
                  <c:v>397</c:v>
                </c:pt>
                <c:pt idx="11">
                  <c:v>419</c:v>
                </c:pt>
                <c:pt idx="12">
                  <c:v>444</c:v>
                </c:pt>
                <c:pt idx="13">
                  <c:v>478</c:v>
                </c:pt>
                <c:pt idx="14">
                  <c:v>470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D9D-4E1A-9E18-7DD904B75459}"/>
            </c:ext>
          </c:extLst>
        </c:ser>
        <c:ser>
          <c:idx val="1"/>
          <c:order val="1"/>
          <c:tx>
            <c:strRef>
              <c:f>Blad1!$SJ$1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Blad1!$SJ$2:$SJ$26</c:f>
              <c:numCache>
                <c:formatCode>General</c:formatCode>
                <c:ptCount val="25"/>
                <c:pt idx="0">
                  <c:v>0</c:v>
                </c:pt>
                <c:pt idx="1">
                  <c:v>44</c:v>
                </c:pt>
                <c:pt idx="2">
                  <c:v>65</c:v>
                </c:pt>
                <c:pt idx="3">
                  <c:v>101</c:v>
                </c:pt>
                <c:pt idx="4">
                  <c:v>200</c:v>
                </c:pt>
                <c:pt idx="5">
                  <c:v>206</c:v>
                </c:pt>
                <c:pt idx="6">
                  <c:v>212</c:v>
                </c:pt>
                <c:pt idx="7">
                  <c:v>217</c:v>
                </c:pt>
                <c:pt idx="8">
                  <c:v>271</c:v>
                </c:pt>
                <c:pt idx="9">
                  <c:v>310</c:v>
                </c:pt>
                <c:pt idx="10">
                  <c:v>340</c:v>
                </c:pt>
                <c:pt idx="11">
                  <c:v>366</c:v>
                </c:pt>
                <c:pt idx="12">
                  <c:v>387</c:v>
                </c:pt>
                <c:pt idx="13">
                  <c:v>454</c:v>
                </c:pt>
                <c:pt idx="14">
                  <c:v>462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D9D-4E1A-9E18-7DD904B75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Blad1!$SP$1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Blad1!$SP$2:$SP$26</c:f>
              <c:numCache>
                <c:formatCode>General</c:formatCode>
                <c:ptCount val="25"/>
                <c:pt idx="0">
                  <c:v>0</c:v>
                </c:pt>
                <c:pt idx="1">
                  <c:v>18</c:v>
                </c:pt>
                <c:pt idx="2">
                  <c:v>48</c:v>
                </c:pt>
                <c:pt idx="3">
                  <c:v>94</c:v>
                </c:pt>
                <c:pt idx="4">
                  <c:v>127</c:v>
                </c:pt>
                <c:pt idx="5">
                  <c:v>145</c:v>
                </c:pt>
                <c:pt idx="6">
                  <c:v>208</c:v>
                </c:pt>
                <c:pt idx="7">
                  <c:v>236</c:v>
                </c:pt>
                <c:pt idx="8">
                  <c:v>274</c:v>
                </c:pt>
                <c:pt idx="9">
                  <c:v>304</c:v>
                </c:pt>
                <c:pt idx="10">
                  <c:v>337</c:v>
                </c:pt>
                <c:pt idx="11">
                  <c:v>361</c:v>
                </c:pt>
                <c:pt idx="12">
                  <c:v>391</c:v>
                </c:pt>
                <c:pt idx="13">
                  <c:v>386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4CD-49E9-88D6-95474769A9CA}"/>
            </c:ext>
          </c:extLst>
        </c:ser>
        <c:ser>
          <c:idx val="1"/>
          <c:order val="1"/>
          <c:tx>
            <c:strRef>
              <c:f>Blad1!$SV$1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Blad1!$SV$2:$SV$26</c:f>
              <c:numCache>
                <c:formatCode>General</c:formatCode>
                <c:ptCount val="25"/>
                <c:pt idx="0">
                  <c:v>0</c:v>
                </c:pt>
                <c:pt idx="1">
                  <c:v>34</c:v>
                </c:pt>
                <c:pt idx="2">
                  <c:v>96</c:v>
                </c:pt>
                <c:pt idx="3">
                  <c:v>176</c:v>
                </c:pt>
                <c:pt idx="4">
                  <c:v>213</c:v>
                </c:pt>
                <c:pt idx="5">
                  <c:v>273</c:v>
                </c:pt>
                <c:pt idx="6">
                  <c:v>311</c:v>
                </c:pt>
                <c:pt idx="7">
                  <c:v>351</c:v>
                </c:pt>
                <c:pt idx="8">
                  <c:v>385</c:v>
                </c:pt>
                <c:pt idx="9">
                  <c:v>412</c:v>
                </c:pt>
                <c:pt idx="10">
                  <c:v>427</c:v>
                </c:pt>
                <c:pt idx="11">
                  <c:v>457</c:v>
                </c:pt>
                <c:pt idx="12">
                  <c:v>470</c:v>
                </c:pt>
                <c:pt idx="13">
                  <c:v>475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4CD-49E9-88D6-95474769A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Blad1!$TB$1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Blad1!$TB$2:$TB$26</c:f>
              <c:numCache>
                <c:formatCode>General</c:formatCode>
                <c:ptCount val="25"/>
                <c:pt idx="0">
                  <c:v>0</c:v>
                </c:pt>
                <c:pt idx="1">
                  <c:v>20</c:v>
                </c:pt>
                <c:pt idx="2">
                  <c:v>48</c:v>
                </c:pt>
                <c:pt idx="3">
                  <c:v>69</c:v>
                </c:pt>
                <c:pt idx="4">
                  <c:v>104</c:v>
                </c:pt>
                <c:pt idx="5">
                  <c:v>132</c:v>
                </c:pt>
                <c:pt idx="6">
                  <c:v>149</c:v>
                </c:pt>
                <c:pt idx="7">
                  <c:v>178</c:v>
                </c:pt>
                <c:pt idx="8">
                  <c:v>205</c:v>
                </c:pt>
                <c:pt idx="9">
                  <c:v>241</c:v>
                </c:pt>
                <c:pt idx="10">
                  <c:v>268</c:v>
                </c:pt>
                <c:pt idx="11">
                  <c:v>347</c:v>
                </c:pt>
                <c:pt idx="12">
                  <c:v>386</c:v>
                </c:pt>
                <c:pt idx="13">
                  <c:v>374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F98-4F66-81F4-A9B00361783F}"/>
            </c:ext>
          </c:extLst>
        </c:ser>
        <c:ser>
          <c:idx val="1"/>
          <c:order val="1"/>
          <c:tx>
            <c:strRef>
              <c:f>Blad1!$TH$1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Blad1!$TH$2:$TH$26</c:f>
              <c:numCache>
                <c:formatCode>General</c:formatCode>
                <c:ptCount val="25"/>
                <c:pt idx="0">
                  <c:v>0</c:v>
                </c:pt>
                <c:pt idx="1">
                  <c:v>23</c:v>
                </c:pt>
                <c:pt idx="2">
                  <c:v>50</c:v>
                </c:pt>
                <c:pt idx="3">
                  <c:v>94</c:v>
                </c:pt>
                <c:pt idx="4">
                  <c:v>178</c:v>
                </c:pt>
                <c:pt idx="5">
                  <c:v>202</c:v>
                </c:pt>
                <c:pt idx="6">
                  <c:v>284</c:v>
                </c:pt>
                <c:pt idx="7">
                  <c:v>314</c:v>
                </c:pt>
                <c:pt idx="8">
                  <c:v>352</c:v>
                </c:pt>
                <c:pt idx="9">
                  <c:v>368</c:v>
                </c:pt>
                <c:pt idx="10">
                  <c:v>473</c:v>
                </c:pt>
                <c:pt idx="11">
                  <c:v>515</c:v>
                </c:pt>
                <c:pt idx="12">
                  <c:v>529</c:v>
                </c:pt>
                <c:pt idx="13">
                  <c:v>541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F98-4F66-81F4-A9B003617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Blad1!$TN$1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Blad1!$TN$2:$TN$26</c:f>
              <c:numCache>
                <c:formatCode>General</c:formatCode>
                <c:ptCount val="25"/>
                <c:pt idx="0">
                  <c:v>0</c:v>
                </c:pt>
                <c:pt idx="1">
                  <c:v>70</c:v>
                </c:pt>
                <c:pt idx="2">
                  <c:v>137</c:v>
                </c:pt>
                <c:pt idx="3">
                  <c:v>175</c:v>
                </c:pt>
                <c:pt idx="4">
                  <c:v>221</c:v>
                </c:pt>
                <c:pt idx="5">
                  <c:v>276</c:v>
                </c:pt>
                <c:pt idx="6">
                  <c:v>318</c:v>
                </c:pt>
                <c:pt idx="7">
                  <c:v>365</c:v>
                </c:pt>
                <c:pt idx="8">
                  <c:v>401</c:v>
                </c:pt>
                <c:pt idx="9">
                  <c:v>482</c:v>
                </c:pt>
                <c:pt idx="10">
                  <c:v>517</c:v>
                </c:pt>
                <c:pt idx="11">
                  <c:v>559</c:v>
                </c:pt>
                <c:pt idx="12">
                  <c:v>582</c:v>
                </c:pt>
                <c:pt idx="13">
                  <c:v>605</c:v>
                </c:pt>
                <c:pt idx="14">
                  <c:v>595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D0-4BB5-B601-461A8A7AACFF}"/>
            </c:ext>
          </c:extLst>
        </c:ser>
        <c:ser>
          <c:idx val="1"/>
          <c:order val="1"/>
          <c:tx>
            <c:strRef>
              <c:f>Blad1!$TT$1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Blad1!$TT$2:$TT$26</c:f>
              <c:numCache>
                <c:formatCode>General</c:formatCode>
                <c:ptCount val="25"/>
                <c:pt idx="0">
                  <c:v>0</c:v>
                </c:pt>
                <c:pt idx="1">
                  <c:v>11</c:v>
                </c:pt>
                <c:pt idx="2">
                  <c:v>32</c:v>
                </c:pt>
                <c:pt idx="3">
                  <c:v>58</c:v>
                </c:pt>
                <c:pt idx="4">
                  <c:v>107</c:v>
                </c:pt>
                <c:pt idx="5">
                  <c:v>149</c:v>
                </c:pt>
                <c:pt idx="6">
                  <c:v>187</c:v>
                </c:pt>
                <c:pt idx="7">
                  <c:v>220</c:v>
                </c:pt>
                <c:pt idx="8">
                  <c:v>262</c:v>
                </c:pt>
                <c:pt idx="9">
                  <c:v>262</c:v>
                </c:pt>
                <c:pt idx="10">
                  <c:v>322</c:v>
                </c:pt>
                <c:pt idx="11">
                  <c:v>364</c:v>
                </c:pt>
                <c:pt idx="12">
                  <c:v>385</c:v>
                </c:pt>
                <c:pt idx="13">
                  <c:v>398</c:v>
                </c:pt>
                <c:pt idx="14">
                  <c:v>408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FD0-4BB5-B601-461A8A7AA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Blad1!$TZ$1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Blad1!$TZ$2:$TZ$26</c:f>
              <c:numCache>
                <c:formatCode>General</c:formatCode>
                <c:ptCount val="25"/>
                <c:pt idx="0">
                  <c:v>0</c:v>
                </c:pt>
                <c:pt idx="1">
                  <c:v>28</c:v>
                </c:pt>
                <c:pt idx="2">
                  <c:v>87</c:v>
                </c:pt>
                <c:pt idx="3">
                  <c:v>129</c:v>
                </c:pt>
                <c:pt idx="4">
                  <c:v>165</c:v>
                </c:pt>
                <c:pt idx="5">
                  <c:v>182</c:v>
                </c:pt>
                <c:pt idx="6">
                  <c:v>214</c:v>
                </c:pt>
                <c:pt idx="7">
                  <c:v>247</c:v>
                </c:pt>
                <c:pt idx="8">
                  <c:v>269</c:v>
                </c:pt>
                <c:pt idx="9">
                  <c:v>326</c:v>
                </c:pt>
                <c:pt idx="10">
                  <c:v>365</c:v>
                </c:pt>
                <c:pt idx="11">
                  <c:v>398</c:v>
                </c:pt>
                <c:pt idx="12">
                  <c:v>432</c:v>
                </c:pt>
                <c:pt idx="13">
                  <c:v>445</c:v>
                </c:pt>
                <c:pt idx="14">
                  <c:v>460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4E-4299-B2E3-D58B87988A39}"/>
            </c:ext>
          </c:extLst>
        </c:ser>
        <c:ser>
          <c:idx val="1"/>
          <c:order val="1"/>
          <c:tx>
            <c:strRef>
              <c:f>Blad1!$UF$1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Blad1!$UF$2:$UF$26</c:f>
              <c:numCache>
                <c:formatCode>General</c:formatCode>
                <c:ptCount val="25"/>
                <c:pt idx="0">
                  <c:v>0</c:v>
                </c:pt>
                <c:pt idx="1">
                  <c:v>23</c:v>
                </c:pt>
                <c:pt idx="2">
                  <c:v>89</c:v>
                </c:pt>
                <c:pt idx="3">
                  <c:v>107</c:v>
                </c:pt>
                <c:pt idx="4">
                  <c:v>140</c:v>
                </c:pt>
                <c:pt idx="5">
                  <c:v>161</c:v>
                </c:pt>
                <c:pt idx="6">
                  <c:v>296</c:v>
                </c:pt>
                <c:pt idx="7">
                  <c:v>330</c:v>
                </c:pt>
                <c:pt idx="8">
                  <c:v>432</c:v>
                </c:pt>
                <c:pt idx="9">
                  <c:v>466</c:v>
                </c:pt>
                <c:pt idx="10">
                  <c:v>523</c:v>
                </c:pt>
                <c:pt idx="11">
                  <c:v>566</c:v>
                </c:pt>
                <c:pt idx="12">
                  <c:v>615</c:v>
                </c:pt>
                <c:pt idx="13">
                  <c:v>636</c:v>
                </c:pt>
                <c:pt idx="14">
                  <c:v>633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64E-4299-B2E3-D58B87988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Blad1!$UL$1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Blad1!$UL$2:$UL$26</c:f>
              <c:numCache>
                <c:formatCode>General</c:formatCode>
                <c:ptCount val="2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66</c:v>
                </c:pt>
                <c:pt idx="4">
                  <c:v>88</c:v>
                </c:pt>
                <c:pt idx="5">
                  <c:v>105</c:v>
                </c:pt>
                <c:pt idx="6">
                  <c:v>120</c:v>
                </c:pt>
                <c:pt idx="7">
                  <c:v>135</c:v>
                </c:pt>
                <c:pt idx="8">
                  <c:v>150</c:v>
                </c:pt>
                <c:pt idx="9">
                  <c:v>171</c:v>
                </c:pt>
                <c:pt idx="10">
                  <c:v>190</c:v>
                </c:pt>
                <c:pt idx="11">
                  <c:v>215</c:v>
                </c:pt>
                <c:pt idx="12">
                  <c:v>245</c:v>
                </c:pt>
                <c:pt idx="13">
                  <c:v>271</c:v>
                </c:pt>
                <c:pt idx="14">
                  <c:v>300</c:v>
                </c:pt>
                <c:pt idx="15">
                  <c:v>318</c:v>
                </c:pt>
                <c:pt idx="16">
                  <c:v>331</c:v>
                </c:pt>
                <c:pt idx="17">
                  <c:v>354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90E-44A8-8281-B1AEA86ABF41}"/>
            </c:ext>
          </c:extLst>
        </c:ser>
        <c:ser>
          <c:idx val="1"/>
          <c:order val="1"/>
          <c:tx>
            <c:strRef>
              <c:f>Blad1!$UR$1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Blad1!$UR$2:$UR$26</c:f>
              <c:numCache>
                <c:formatCode>General</c:formatCode>
                <c:ptCount val="25"/>
                <c:pt idx="0">
                  <c:v>0</c:v>
                </c:pt>
                <c:pt idx="1">
                  <c:v>62</c:v>
                </c:pt>
                <c:pt idx="2">
                  <c:v>104</c:v>
                </c:pt>
                <c:pt idx="3">
                  <c:v>128</c:v>
                </c:pt>
                <c:pt idx="4">
                  <c:v>189</c:v>
                </c:pt>
                <c:pt idx="5">
                  <c:v>209</c:v>
                </c:pt>
                <c:pt idx="6">
                  <c:v>282</c:v>
                </c:pt>
                <c:pt idx="7">
                  <c:v>298</c:v>
                </c:pt>
                <c:pt idx="8">
                  <c:v>417</c:v>
                </c:pt>
                <c:pt idx="9">
                  <c:v>453</c:v>
                </c:pt>
                <c:pt idx="10">
                  <c:v>480</c:v>
                </c:pt>
                <c:pt idx="11">
                  <c:v>522</c:v>
                </c:pt>
                <c:pt idx="12">
                  <c:v>546</c:v>
                </c:pt>
                <c:pt idx="13">
                  <c:v>567</c:v>
                </c:pt>
                <c:pt idx="14">
                  <c:v>586</c:v>
                </c:pt>
                <c:pt idx="15">
                  <c:v>597</c:v>
                </c:pt>
                <c:pt idx="16">
                  <c:v>597</c:v>
                </c:pt>
                <c:pt idx="17">
                  <c:v>587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90E-44A8-8281-B1AEA86AB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Blad1!$UX$1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Blad1!$UX$2:$UX$26</c:f>
              <c:numCache>
                <c:formatCode>General</c:formatCode>
                <c:ptCount val="25"/>
                <c:pt idx="0">
                  <c:v>0</c:v>
                </c:pt>
                <c:pt idx="1">
                  <c:v>4</c:v>
                </c:pt>
                <c:pt idx="2">
                  <c:v>20</c:v>
                </c:pt>
                <c:pt idx="3">
                  <c:v>56</c:v>
                </c:pt>
                <c:pt idx="4">
                  <c:v>93</c:v>
                </c:pt>
                <c:pt idx="5">
                  <c:v>154</c:v>
                </c:pt>
                <c:pt idx="6">
                  <c:v>193</c:v>
                </c:pt>
                <c:pt idx="7">
                  <c:v>243</c:v>
                </c:pt>
                <c:pt idx="8">
                  <c:v>277</c:v>
                </c:pt>
                <c:pt idx="9">
                  <c:v>316</c:v>
                </c:pt>
                <c:pt idx="10">
                  <c:v>370</c:v>
                </c:pt>
                <c:pt idx="11">
                  <c:v>404</c:v>
                </c:pt>
                <c:pt idx="12">
                  <c:v>434</c:v>
                </c:pt>
                <c:pt idx="13">
                  <c:v>494</c:v>
                </c:pt>
                <c:pt idx="14">
                  <c:v>518</c:v>
                </c:pt>
                <c:pt idx="15">
                  <c:v>539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3F-46D4-ADD8-AE469FC00467}"/>
            </c:ext>
          </c:extLst>
        </c:ser>
        <c:ser>
          <c:idx val="1"/>
          <c:order val="1"/>
          <c:tx>
            <c:strRef>
              <c:f>Blad1!$VD$1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Blad1!$VD$2:$VD$26</c:f>
              <c:numCache>
                <c:formatCode>General</c:formatCode>
                <c:ptCount val="25"/>
                <c:pt idx="0">
                  <c:v>0</c:v>
                </c:pt>
                <c:pt idx="1">
                  <c:v>8</c:v>
                </c:pt>
                <c:pt idx="2">
                  <c:v>68</c:v>
                </c:pt>
                <c:pt idx="3">
                  <c:v>95</c:v>
                </c:pt>
                <c:pt idx="4">
                  <c:v>128</c:v>
                </c:pt>
                <c:pt idx="5">
                  <c:v>141</c:v>
                </c:pt>
                <c:pt idx="6">
                  <c:v>219</c:v>
                </c:pt>
                <c:pt idx="7">
                  <c:v>261</c:v>
                </c:pt>
                <c:pt idx="8">
                  <c:v>291</c:v>
                </c:pt>
                <c:pt idx="9">
                  <c:v>311</c:v>
                </c:pt>
                <c:pt idx="10">
                  <c:v>340</c:v>
                </c:pt>
                <c:pt idx="11">
                  <c:v>373</c:v>
                </c:pt>
                <c:pt idx="12">
                  <c:v>402</c:v>
                </c:pt>
                <c:pt idx="13">
                  <c:v>428</c:v>
                </c:pt>
                <c:pt idx="14">
                  <c:v>446</c:v>
                </c:pt>
                <c:pt idx="15">
                  <c:v>440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43F-46D4-ADD8-AE469FC00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Blad1!$VJ$1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Blad1!$VJ$2:$VJ$26</c:f>
              <c:numCache>
                <c:formatCode>General</c:formatCode>
                <c:ptCount val="25"/>
                <c:pt idx="0">
                  <c:v>0</c:v>
                </c:pt>
                <c:pt idx="1">
                  <c:v>26</c:v>
                </c:pt>
                <c:pt idx="2">
                  <c:v>114</c:v>
                </c:pt>
                <c:pt idx="3">
                  <c:v>137</c:v>
                </c:pt>
                <c:pt idx="4">
                  <c:v>172</c:v>
                </c:pt>
                <c:pt idx="5">
                  <c:v>192</c:v>
                </c:pt>
                <c:pt idx="6">
                  <c:v>208</c:v>
                </c:pt>
                <c:pt idx="7">
                  <c:v>241</c:v>
                </c:pt>
                <c:pt idx="8">
                  <c:v>270</c:v>
                </c:pt>
                <c:pt idx="9">
                  <c:v>339</c:v>
                </c:pt>
                <c:pt idx="10">
                  <c:v>399</c:v>
                </c:pt>
                <c:pt idx="11">
                  <c:v>425</c:v>
                </c:pt>
                <c:pt idx="12">
                  <c:v>459</c:v>
                </c:pt>
                <c:pt idx="13">
                  <c:v>443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953-4BD4-BCF1-5E69D75F9109}"/>
            </c:ext>
          </c:extLst>
        </c:ser>
        <c:ser>
          <c:idx val="1"/>
          <c:order val="1"/>
          <c:tx>
            <c:strRef>
              <c:f>Blad1!$VP$1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Blad1!$VP$2:$VP$26</c:f>
              <c:numCache>
                <c:formatCode>General</c:formatCode>
                <c:ptCount val="25"/>
                <c:pt idx="0">
                  <c:v>0</c:v>
                </c:pt>
                <c:pt idx="1">
                  <c:v>38</c:v>
                </c:pt>
                <c:pt idx="2">
                  <c:v>78</c:v>
                </c:pt>
                <c:pt idx="3">
                  <c:v>115</c:v>
                </c:pt>
                <c:pt idx="4">
                  <c:v>200</c:v>
                </c:pt>
                <c:pt idx="5">
                  <c:v>240</c:v>
                </c:pt>
                <c:pt idx="6">
                  <c:v>279</c:v>
                </c:pt>
                <c:pt idx="7">
                  <c:v>299</c:v>
                </c:pt>
                <c:pt idx="8">
                  <c:v>323</c:v>
                </c:pt>
                <c:pt idx="9">
                  <c:v>389</c:v>
                </c:pt>
                <c:pt idx="10">
                  <c:v>429</c:v>
                </c:pt>
                <c:pt idx="11">
                  <c:v>447</c:v>
                </c:pt>
                <c:pt idx="12">
                  <c:v>510</c:v>
                </c:pt>
                <c:pt idx="13">
                  <c:v>526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953-4BD4-BCF1-5E69D75F9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Blad1!$VV$1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Blad1!$VV$2:$VV$26</c:f>
              <c:numCache>
                <c:formatCode>General</c:formatCode>
                <c:ptCount val="25"/>
                <c:pt idx="0">
                  <c:v>0</c:v>
                </c:pt>
                <c:pt idx="1">
                  <c:v>6</c:v>
                </c:pt>
                <c:pt idx="2">
                  <c:v>33</c:v>
                </c:pt>
                <c:pt idx="3">
                  <c:v>56</c:v>
                </c:pt>
                <c:pt idx="4">
                  <c:v>89</c:v>
                </c:pt>
                <c:pt idx="5">
                  <c:v>116</c:v>
                </c:pt>
                <c:pt idx="6">
                  <c:v>138</c:v>
                </c:pt>
                <c:pt idx="7">
                  <c:v>162</c:v>
                </c:pt>
                <c:pt idx="8">
                  <c:v>184</c:v>
                </c:pt>
                <c:pt idx="9">
                  <c:v>206</c:v>
                </c:pt>
                <c:pt idx="10">
                  <c:v>224</c:v>
                </c:pt>
                <c:pt idx="11">
                  <c:v>262</c:v>
                </c:pt>
                <c:pt idx="12">
                  <c:v>302</c:v>
                </c:pt>
                <c:pt idx="13">
                  <c:v>350</c:v>
                </c:pt>
                <c:pt idx="14">
                  <c:v>373</c:v>
                </c:pt>
                <c:pt idx="15">
                  <c:v>371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25-4C0E-96EF-51D0E9FD2B07}"/>
            </c:ext>
          </c:extLst>
        </c:ser>
        <c:ser>
          <c:idx val="1"/>
          <c:order val="1"/>
          <c:tx>
            <c:strRef>
              <c:f>Blad1!$WB$1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Blad1!$WB$2:$WB$26</c:f>
              <c:numCache>
                <c:formatCode>General</c:formatCode>
                <c:ptCount val="25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135</c:v>
                </c:pt>
                <c:pt idx="4">
                  <c:v>216</c:v>
                </c:pt>
                <c:pt idx="5">
                  <c:v>251</c:v>
                </c:pt>
                <c:pt idx="6">
                  <c:v>274</c:v>
                </c:pt>
                <c:pt idx="7">
                  <c:v>310</c:v>
                </c:pt>
                <c:pt idx="8">
                  <c:v>350</c:v>
                </c:pt>
                <c:pt idx="9">
                  <c:v>374</c:v>
                </c:pt>
                <c:pt idx="10">
                  <c:v>422</c:v>
                </c:pt>
                <c:pt idx="11">
                  <c:v>455</c:v>
                </c:pt>
                <c:pt idx="12">
                  <c:v>539</c:v>
                </c:pt>
                <c:pt idx="13">
                  <c:v>565</c:v>
                </c:pt>
                <c:pt idx="14">
                  <c:v>581</c:v>
                </c:pt>
                <c:pt idx="15">
                  <c:v>583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C25-4C0E-96EF-51D0E9FD2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Blad1!$WH$1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Blad1!$WH$2:$WH$26</c:f>
              <c:numCache>
                <c:formatCode>General</c:formatCode>
                <c:ptCount val="25"/>
                <c:pt idx="0">
                  <c:v>0</c:v>
                </c:pt>
                <c:pt idx="1">
                  <c:v>30</c:v>
                </c:pt>
                <c:pt idx="2">
                  <c:v>154</c:v>
                </c:pt>
                <c:pt idx="3">
                  <c:v>190</c:v>
                </c:pt>
                <c:pt idx="4">
                  <c:v>264</c:v>
                </c:pt>
                <c:pt idx="5">
                  <c:v>300</c:v>
                </c:pt>
                <c:pt idx="6">
                  <c:v>333</c:v>
                </c:pt>
                <c:pt idx="7">
                  <c:v>375</c:v>
                </c:pt>
                <c:pt idx="8">
                  <c:v>412</c:v>
                </c:pt>
                <c:pt idx="9">
                  <c:v>439</c:v>
                </c:pt>
                <c:pt idx="10">
                  <c:v>471</c:v>
                </c:pt>
                <c:pt idx="11">
                  <c:v>476</c:v>
                </c:pt>
                <c:pt idx="12">
                  <c:v>481</c:v>
                </c:pt>
                <c:pt idx="13">
                  <c:v>471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263-4412-B5F8-0B3BB77BF568}"/>
            </c:ext>
          </c:extLst>
        </c:ser>
        <c:ser>
          <c:idx val="1"/>
          <c:order val="1"/>
          <c:tx>
            <c:strRef>
              <c:f>Blad1!$WN$1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Blad1!$WN$2:$WN$26</c:f>
              <c:numCache>
                <c:formatCode>General</c:formatCode>
                <c:ptCount val="25"/>
                <c:pt idx="0">
                  <c:v>0</c:v>
                </c:pt>
                <c:pt idx="1">
                  <c:v>58</c:v>
                </c:pt>
                <c:pt idx="2">
                  <c:v>94</c:v>
                </c:pt>
                <c:pt idx="3">
                  <c:v>135</c:v>
                </c:pt>
                <c:pt idx="4">
                  <c:v>204</c:v>
                </c:pt>
                <c:pt idx="5">
                  <c:v>241</c:v>
                </c:pt>
                <c:pt idx="6">
                  <c:v>301</c:v>
                </c:pt>
                <c:pt idx="7">
                  <c:v>335</c:v>
                </c:pt>
                <c:pt idx="8">
                  <c:v>395</c:v>
                </c:pt>
                <c:pt idx="9">
                  <c:v>422</c:v>
                </c:pt>
                <c:pt idx="10">
                  <c:v>471</c:v>
                </c:pt>
                <c:pt idx="11">
                  <c:v>492</c:v>
                </c:pt>
                <c:pt idx="12">
                  <c:v>499</c:v>
                </c:pt>
                <c:pt idx="13">
                  <c:v>509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263-4412-B5F8-0B3BB77BF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Blad1!$WT$1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Blad1!$WT$2:$WT$26</c:f>
              <c:numCache>
                <c:formatCode>General</c:formatCode>
                <c:ptCount val="25"/>
                <c:pt idx="0">
                  <c:v>0</c:v>
                </c:pt>
                <c:pt idx="1">
                  <c:v>18</c:v>
                </c:pt>
                <c:pt idx="2">
                  <c:v>102</c:v>
                </c:pt>
                <c:pt idx="3">
                  <c:v>183</c:v>
                </c:pt>
                <c:pt idx="4">
                  <c:v>212</c:v>
                </c:pt>
                <c:pt idx="5">
                  <c:v>292</c:v>
                </c:pt>
                <c:pt idx="6">
                  <c:v>310</c:v>
                </c:pt>
                <c:pt idx="7">
                  <c:v>335</c:v>
                </c:pt>
                <c:pt idx="8">
                  <c:v>380</c:v>
                </c:pt>
                <c:pt idx="9">
                  <c:v>413</c:v>
                </c:pt>
                <c:pt idx="10">
                  <c:v>439</c:v>
                </c:pt>
                <c:pt idx="11">
                  <c:v>456</c:v>
                </c:pt>
                <c:pt idx="12">
                  <c:v>485</c:v>
                </c:pt>
                <c:pt idx="13">
                  <c:v>527</c:v>
                </c:pt>
                <c:pt idx="14">
                  <c:v>545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8D-4ED4-9DEE-8F20743996A9}"/>
            </c:ext>
          </c:extLst>
        </c:ser>
        <c:ser>
          <c:idx val="1"/>
          <c:order val="1"/>
          <c:tx>
            <c:strRef>
              <c:f>Blad1!$WZ$1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Blad1!$WZ$2:$WZ$26</c:f>
              <c:numCache>
                <c:formatCode>General</c:formatCode>
                <c:ptCount val="25"/>
                <c:pt idx="0">
                  <c:v>0</c:v>
                </c:pt>
                <c:pt idx="1">
                  <c:v>55</c:v>
                </c:pt>
                <c:pt idx="2">
                  <c:v>95</c:v>
                </c:pt>
                <c:pt idx="3">
                  <c:v>169</c:v>
                </c:pt>
                <c:pt idx="4">
                  <c:v>235</c:v>
                </c:pt>
                <c:pt idx="5">
                  <c:v>278</c:v>
                </c:pt>
                <c:pt idx="6">
                  <c:v>310</c:v>
                </c:pt>
                <c:pt idx="7">
                  <c:v>351</c:v>
                </c:pt>
                <c:pt idx="8">
                  <c:v>373</c:v>
                </c:pt>
                <c:pt idx="9">
                  <c:v>400</c:v>
                </c:pt>
                <c:pt idx="10">
                  <c:v>418</c:v>
                </c:pt>
                <c:pt idx="11">
                  <c:v>431</c:v>
                </c:pt>
                <c:pt idx="12">
                  <c:v>441</c:v>
                </c:pt>
                <c:pt idx="13">
                  <c:v>465</c:v>
                </c:pt>
                <c:pt idx="14">
                  <c:v>456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E8D-4ED4-9DEE-8F2074399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Blad1!$XF$1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Blad1!$XF$2:$XF$26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48</c:v>
                </c:pt>
                <c:pt idx="3">
                  <c:v>118</c:v>
                </c:pt>
                <c:pt idx="4">
                  <c:v>152</c:v>
                </c:pt>
                <c:pt idx="5">
                  <c:v>191</c:v>
                </c:pt>
                <c:pt idx="6">
                  <c:v>251</c:v>
                </c:pt>
                <c:pt idx="7">
                  <c:v>280</c:v>
                </c:pt>
                <c:pt idx="8">
                  <c:v>308</c:v>
                </c:pt>
                <c:pt idx="9">
                  <c:v>347</c:v>
                </c:pt>
                <c:pt idx="10">
                  <c:v>374</c:v>
                </c:pt>
                <c:pt idx="11">
                  <c:v>416</c:v>
                </c:pt>
                <c:pt idx="12">
                  <c:v>444</c:v>
                </c:pt>
                <c:pt idx="13">
                  <c:v>439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891-4EC4-B15C-D807BA5723F1}"/>
            </c:ext>
          </c:extLst>
        </c:ser>
        <c:ser>
          <c:idx val="1"/>
          <c:order val="1"/>
          <c:tx>
            <c:strRef>
              <c:f>Blad1!$XL$1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Blad1!$XL$2:$XL$26</c:f>
              <c:numCache>
                <c:formatCode>General</c:formatCode>
                <c:ptCount val="25"/>
                <c:pt idx="0">
                  <c:v>0</c:v>
                </c:pt>
                <c:pt idx="1">
                  <c:v>32</c:v>
                </c:pt>
                <c:pt idx="2">
                  <c:v>74</c:v>
                </c:pt>
                <c:pt idx="3">
                  <c:v>107</c:v>
                </c:pt>
                <c:pt idx="4">
                  <c:v>129</c:v>
                </c:pt>
                <c:pt idx="5">
                  <c:v>177</c:v>
                </c:pt>
                <c:pt idx="6">
                  <c:v>238</c:v>
                </c:pt>
                <c:pt idx="7">
                  <c:v>291</c:v>
                </c:pt>
                <c:pt idx="8">
                  <c:v>331</c:v>
                </c:pt>
                <c:pt idx="9">
                  <c:v>363</c:v>
                </c:pt>
                <c:pt idx="10">
                  <c:v>388</c:v>
                </c:pt>
                <c:pt idx="11">
                  <c:v>476</c:v>
                </c:pt>
                <c:pt idx="12">
                  <c:v>496</c:v>
                </c:pt>
                <c:pt idx="13">
                  <c:v>501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891-4EC4-B15C-D807BA572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Blad1!$XR$1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Blad1!$XR$2:$XR$26</c:f>
              <c:numCache>
                <c:formatCode>General</c:formatCode>
                <c:ptCount val="25"/>
                <c:pt idx="0">
                  <c:v>0</c:v>
                </c:pt>
                <c:pt idx="1">
                  <c:v>9</c:v>
                </c:pt>
                <c:pt idx="2">
                  <c:v>43</c:v>
                </c:pt>
                <c:pt idx="3">
                  <c:v>109</c:v>
                </c:pt>
                <c:pt idx="4">
                  <c:v>190</c:v>
                </c:pt>
                <c:pt idx="5">
                  <c:v>236</c:v>
                </c:pt>
                <c:pt idx="6">
                  <c:v>305</c:v>
                </c:pt>
                <c:pt idx="7">
                  <c:v>347</c:v>
                </c:pt>
                <c:pt idx="8">
                  <c:v>383</c:v>
                </c:pt>
                <c:pt idx="9">
                  <c:v>416</c:v>
                </c:pt>
                <c:pt idx="10">
                  <c:v>456</c:v>
                </c:pt>
                <c:pt idx="11">
                  <c:v>480</c:v>
                </c:pt>
                <c:pt idx="12">
                  <c:v>500</c:v>
                </c:pt>
                <c:pt idx="13">
                  <c:v>507</c:v>
                </c:pt>
                <c:pt idx="14">
                  <c:v>493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DF-4F6F-8F7A-87C6DAB26357}"/>
            </c:ext>
          </c:extLst>
        </c:ser>
        <c:ser>
          <c:idx val="1"/>
          <c:order val="1"/>
          <c:tx>
            <c:strRef>
              <c:f>Blad1!$XX$1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Blad1!$XX$2:$XX$26</c:f>
              <c:numCache>
                <c:formatCode>General</c:formatCode>
                <c:ptCount val="25"/>
                <c:pt idx="0">
                  <c:v>0</c:v>
                </c:pt>
                <c:pt idx="1">
                  <c:v>26</c:v>
                </c:pt>
                <c:pt idx="2">
                  <c:v>66</c:v>
                </c:pt>
                <c:pt idx="3">
                  <c:v>96</c:v>
                </c:pt>
                <c:pt idx="4">
                  <c:v>137</c:v>
                </c:pt>
                <c:pt idx="5">
                  <c:v>187</c:v>
                </c:pt>
                <c:pt idx="6">
                  <c:v>227</c:v>
                </c:pt>
                <c:pt idx="7">
                  <c:v>266</c:v>
                </c:pt>
                <c:pt idx="8">
                  <c:v>317</c:v>
                </c:pt>
                <c:pt idx="9">
                  <c:v>351</c:v>
                </c:pt>
                <c:pt idx="10">
                  <c:v>383</c:v>
                </c:pt>
                <c:pt idx="11">
                  <c:v>404</c:v>
                </c:pt>
                <c:pt idx="12">
                  <c:v>417</c:v>
                </c:pt>
                <c:pt idx="13">
                  <c:v>422</c:v>
                </c:pt>
                <c:pt idx="14">
                  <c:v>436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7DF-4F6F-8F7A-87C6DAB26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Blad1!$YD$1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Blad1!$YD$2:$YD$26</c:f>
              <c:numCache>
                <c:formatCode>General</c:formatCode>
                <c:ptCount val="25"/>
                <c:pt idx="0">
                  <c:v>0</c:v>
                </c:pt>
                <c:pt idx="1">
                  <c:v>7</c:v>
                </c:pt>
                <c:pt idx="2">
                  <c:v>79</c:v>
                </c:pt>
                <c:pt idx="3">
                  <c:v>79</c:v>
                </c:pt>
                <c:pt idx="4">
                  <c:v>124</c:v>
                </c:pt>
                <c:pt idx="5">
                  <c:v>157</c:v>
                </c:pt>
                <c:pt idx="6">
                  <c:v>226</c:v>
                </c:pt>
                <c:pt idx="7">
                  <c:v>226</c:v>
                </c:pt>
                <c:pt idx="8">
                  <c:v>297</c:v>
                </c:pt>
                <c:pt idx="9">
                  <c:v>323</c:v>
                </c:pt>
                <c:pt idx="10">
                  <c:v>347</c:v>
                </c:pt>
                <c:pt idx="11">
                  <c:v>382</c:v>
                </c:pt>
                <c:pt idx="12">
                  <c:v>438</c:v>
                </c:pt>
                <c:pt idx="13">
                  <c:v>486</c:v>
                </c:pt>
                <c:pt idx="14">
                  <c:v>508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A2C-489C-8A03-348C0EA784FD}"/>
            </c:ext>
          </c:extLst>
        </c:ser>
        <c:ser>
          <c:idx val="1"/>
          <c:order val="1"/>
          <c:tx>
            <c:strRef>
              <c:f>Blad1!$YJ$1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Blad1!$YJ$2:$YJ$26</c:f>
              <c:numCache>
                <c:formatCode>General</c:formatCode>
                <c:ptCount val="25"/>
                <c:pt idx="0">
                  <c:v>0</c:v>
                </c:pt>
                <c:pt idx="1">
                  <c:v>20</c:v>
                </c:pt>
                <c:pt idx="2">
                  <c:v>44</c:v>
                </c:pt>
                <c:pt idx="3">
                  <c:v>76</c:v>
                </c:pt>
                <c:pt idx="4">
                  <c:v>116</c:v>
                </c:pt>
                <c:pt idx="5">
                  <c:v>152</c:v>
                </c:pt>
                <c:pt idx="6">
                  <c:v>184</c:v>
                </c:pt>
                <c:pt idx="7">
                  <c:v>208</c:v>
                </c:pt>
                <c:pt idx="8">
                  <c:v>242</c:v>
                </c:pt>
                <c:pt idx="9">
                  <c:v>267</c:v>
                </c:pt>
                <c:pt idx="10">
                  <c:v>301</c:v>
                </c:pt>
                <c:pt idx="11">
                  <c:v>322</c:v>
                </c:pt>
                <c:pt idx="12">
                  <c:v>348</c:v>
                </c:pt>
                <c:pt idx="13">
                  <c:v>367</c:v>
                </c:pt>
                <c:pt idx="14">
                  <c:v>355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A2C-489C-8A03-348C0EA78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Blad1!$YP$1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Blad1!$YP$2:$YP$26</c:f>
              <c:numCache>
                <c:formatCode>General</c:formatCode>
                <c:ptCount val="25"/>
                <c:pt idx="0">
                  <c:v>0</c:v>
                </c:pt>
                <c:pt idx="1">
                  <c:v>9</c:v>
                </c:pt>
                <c:pt idx="2">
                  <c:v>41</c:v>
                </c:pt>
                <c:pt idx="3">
                  <c:v>76</c:v>
                </c:pt>
                <c:pt idx="4">
                  <c:v>100</c:v>
                </c:pt>
                <c:pt idx="5">
                  <c:v>132</c:v>
                </c:pt>
                <c:pt idx="6">
                  <c:v>178</c:v>
                </c:pt>
                <c:pt idx="7">
                  <c:v>209</c:v>
                </c:pt>
                <c:pt idx="8">
                  <c:v>255</c:v>
                </c:pt>
                <c:pt idx="9">
                  <c:v>319</c:v>
                </c:pt>
                <c:pt idx="10">
                  <c:v>344</c:v>
                </c:pt>
                <c:pt idx="11">
                  <c:v>366</c:v>
                </c:pt>
                <c:pt idx="12">
                  <c:v>393</c:v>
                </c:pt>
                <c:pt idx="13">
                  <c:v>458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1C-443A-9D61-01A23EEF0366}"/>
            </c:ext>
          </c:extLst>
        </c:ser>
        <c:ser>
          <c:idx val="1"/>
          <c:order val="1"/>
          <c:tx>
            <c:strRef>
              <c:f>Blad1!$YV$1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Blad1!$YV$2:$YV$26</c:f>
              <c:numCache>
                <c:formatCode>General</c:formatCode>
                <c:ptCount val="25"/>
                <c:pt idx="0">
                  <c:v>0</c:v>
                </c:pt>
                <c:pt idx="1">
                  <c:v>84</c:v>
                </c:pt>
                <c:pt idx="2">
                  <c:v>135</c:v>
                </c:pt>
                <c:pt idx="3">
                  <c:v>164</c:v>
                </c:pt>
                <c:pt idx="4">
                  <c:v>191</c:v>
                </c:pt>
                <c:pt idx="5">
                  <c:v>218</c:v>
                </c:pt>
                <c:pt idx="6">
                  <c:v>257</c:v>
                </c:pt>
                <c:pt idx="7">
                  <c:v>294</c:v>
                </c:pt>
                <c:pt idx="8">
                  <c:v>316</c:v>
                </c:pt>
                <c:pt idx="9">
                  <c:v>348</c:v>
                </c:pt>
                <c:pt idx="10">
                  <c:v>385</c:v>
                </c:pt>
                <c:pt idx="11">
                  <c:v>408</c:v>
                </c:pt>
                <c:pt idx="12">
                  <c:v>438</c:v>
                </c:pt>
                <c:pt idx="13">
                  <c:v>433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31C-443A-9D61-01A23EEF0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Blad1!$ZB$1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Blad1!$ZB$2:$ZB$26</c:f>
              <c:numCache>
                <c:formatCode>General</c:formatCode>
                <c:ptCount val="25"/>
                <c:pt idx="0">
                  <c:v>0</c:v>
                </c:pt>
                <c:pt idx="1">
                  <c:v>8</c:v>
                </c:pt>
                <c:pt idx="2">
                  <c:v>25</c:v>
                </c:pt>
                <c:pt idx="3">
                  <c:v>67</c:v>
                </c:pt>
                <c:pt idx="4">
                  <c:v>103</c:v>
                </c:pt>
                <c:pt idx="5">
                  <c:v>124</c:v>
                </c:pt>
                <c:pt idx="6">
                  <c:v>161</c:v>
                </c:pt>
                <c:pt idx="7">
                  <c:v>191</c:v>
                </c:pt>
                <c:pt idx="8">
                  <c:v>223</c:v>
                </c:pt>
                <c:pt idx="9">
                  <c:v>295</c:v>
                </c:pt>
                <c:pt idx="10">
                  <c:v>347</c:v>
                </c:pt>
                <c:pt idx="11">
                  <c:v>387</c:v>
                </c:pt>
                <c:pt idx="12">
                  <c:v>429</c:v>
                </c:pt>
                <c:pt idx="13">
                  <c:v>461</c:v>
                </c:pt>
                <c:pt idx="14">
                  <c:v>473</c:v>
                </c:pt>
                <c:pt idx="15">
                  <c:v>490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D1C-41FD-B7C3-4F01D3521F6B}"/>
            </c:ext>
          </c:extLst>
        </c:ser>
        <c:ser>
          <c:idx val="1"/>
          <c:order val="1"/>
          <c:tx>
            <c:strRef>
              <c:f>Blad1!$ZH$1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Blad1!$ZH$2:$ZH$26</c:f>
              <c:numCache>
                <c:formatCode>General</c:formatCode>
                <c:ptCount val="25"/>
                <c:pt idx="0">
                  <c:v>0</c:v>
                </c:pt>
                <c:pt idx="1">
                  <c:v>28</c:v>
                </c:pt>
                <c:pt idx="2">
                  <c:v>76</c:v>
                </c:pt>
                <c:pt idx="3">
                  <c:v>111</c:v>
                </c:pt>
                <c:pt idx="4">
                  <c:v>126</c:v>
                </c:pt>
                <c:pt idx="5">
                  <c:v>151</c:v>
                </c:pt>
                <c:pt idx="6">
                  <c:v>196</c:v>
                </c:pt>
                <c:pt idx="7">
                  <c:v>236</c:v>
                </c:pt>
                <c:pt idx="8">
                  <c:v>265</c:v>
                </c:pt>
                <c:pt idx="9">
                  <c:v>299</c:v>
                </c:pt>
                <c:pt idx="10">
                  <c:v>332</c:v>
                </c:pt>
                <c:pt idx="11">
                  <c:v>355</c:v>
                </c:pt>
                <c:pt idx="12">
                  <c:v>401</c:v>
                </c:pt>
                <c:pt idx="13">
                  <c:v>417</c:v>
                </c:pt>
                <c:pt idx="14">
                  <c:v>429</c:v>
                </c:pt>
                <c:pt idx="15">
                  <c:v>419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D1C-41FD-B7C3-4F01D3521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Blad1!$ZN$1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Blad1!$ZN$2:$ZN$26</c:f>
              <c:numCache>
                <c:formatCode>General</c:formatCode>
                <c:ptCount val="25"/>
                <c:pt idx="0">
                  <c:v>0</c:v>
                </c:pt>
                <c:pt idx="1">
                  <c:v>34</c:v>
                </c:pt>
                <c:pt idx="2">
                  <c:v>114</c:v>
                </c:pt>
                <c:pt idx="3">
                  <c:v>140</c:v>
                </c:pt>
                <c:pt idx="4">
                  <c:v>166</c:v>
                </c:pt>
                <c:pt idx="5">
                  <c:v>181</c:v>
                </c:pt>
                <c:pt idx="6">
                  <c:v>215</c:v>
                </c:pt>
                <c:pt idx="7">
                  <c:v>242</c:v>
                </c:pt>
                <c:pt idx="8">
                  <c:v>256</c:v>
                </c:pt>
                <c:pt idx="9">
                  <c:v>292</c:v>
                </c:pt>
                <c:pt idx="10">
                  <c:v>299</c:v>
                </c:pt>
                <c:pt idx="11">
                  <c:v>311</c:v>
                </c:pt>
                <c:pt idx="12">
                  <c:v>415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724-4C70-8C81-E25A8208B542}"/>
            </c:ext>
          </c:extLst>
        </c:ser>
        <c:ser>
          <c:idx val="1"/>
          <c:order val="1"/>
          <c:tx>
            <c:strRef>
              <c:f>Blad1!$ZT$1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Blad1!$ZT$2:$ZT$26</c:f>
              <c:numCache>
                <c:formatCode>General</c:formatCode>
                <c:ptCount val="25"/>
                <c:pt idx="0">
                  <c:v>0</c:v>
                </c:pt>
                <c:pt idx="1">
                  <c:v>32</c:v>
                </c:pt>
                <c:pt idx="2">
                  <c:v>72</c:v>
                </c:pt>
                <c:pt idx="3">
                  <c:v>179</c:v>
                </c:pt>
                <c:pt idx="4">
                  <c:v>221</c:v>
                </c:pt>
                <c:pt idx="5">
                  <c:v>244</c:v>
                </c:pt>
                <c:pt idx="6">
                  <c:v>295</c:v>
                </c:pt>
                <c:pt idx="7">
                  <c:v>329</c:v>
                </c:pt>
                <c:pt idx="8">
                  <c:v>368</c:v>
                </c:pt>
                <c:pt idx="9">
                  <c:v>408</c:v>
                </c:pt>
                <c:pt idx="10">
                  <c:v>453</c:v>
                </c:pt>
                <c:pt idx="11">
                  <c:v>507</c:v>
                </c:pt>
                <c:pt idx="12">
                  <c:v>485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724-4C70-8C81-E25A8208B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Blad1!$ZZ$1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Blad1!$ZZ$2:$ZZ$26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38</c:v>
                </c:pt>
                <c:pt idx="3">
                  <c:v>69</c:v>
                </c:pt>
                <c:pt idx="4">
                  <c:v>104</c:v>
                </c:pt>
                <c:pt idx="5">
                  <c:v>111</c:v>
                </c:pt>
                <c:pt idx="6">
                  <c:v>116</c:v>
                </c:pt>
                <c:pt idx="7">
                  <c:v>123</c:v>
                </c:pt>
                <c:pt idx="8">
                  <c:v>171</c:v>
                </c:pt>
                <c:pt idx="9">
                  <c:v>184</c:v>
                </c:pt>
                <c:pt idx="10">
                  <c:v>256</c:v>
                </c:pt>
                <c:pt idx="11">
                  <c:v>277</c:v>
                </c:pt>
                <c:pt idx="12">
                  <c:v>289</c:v>
                </c:pt>
                <c:pt idx="13">
                  <c:v>337</c:v>
                </c:pt>
                <c:pt idx="14">
                  <c:v>341</c:v>
                </c:pt>
                <c:pt idx="15">
                  <c:v>369</c:v>
                </c:pt>
                <c:pt idx="16">
                  <c:v>383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74-4EDF-8176-9F17AC4DCD66}"/>
            </c:ext>
          </c:extLst>
        </c:ser>
        <c:ser>
          <c:idx val="1"/>
          <c:order val="1"/>
          <c:tx>
            <c:strRef>
              <c:f>Blad1!$AAF$1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Blad1!$AAF$2:$AAF$26</c:f>
              <c:numCache>
                <c:formatCode>General</c:formatCode>
                <c:ptCount val="25"/>
                <c:pt idx="0">
                  <c:v>0</c:v>
                </c:pt>
                <c:pt idx="1">
                  <c:v>28</c:v>
                </c:pt>
                <c:pt idx="2">
                  <c:v>61</c:v>
                </c:pt>
                <c:pt idx="3">
                  <c:v>101</c:v>
                </c:pt>
                <c:pt idx="4">
                  <c:v>169</c:v>
                </c:pt>
                <c:pt idx="5">
                  <c:v>215</c:v>
                </c:pt>
                <c:pt idx="6">
                  <c:v>251</c:v>
                </c:pt>
                <c:pt idx="7">
                  <c:v>275</c:v>
                </c:pt>
                <c:pt idx="8">
                  <c:v>311</c:v>
                </c:pt>
                <c:pt idx="9">
                  <c:v>339</c:v>
                </c:pt>
                <c:pt idx="10">
                  <c:v>373</c:v>
                </c:pt>
                <c:pt idx="11">
                  <c:v>403</c:v>
                </c:pt>
                <c:pt idx="12">
                  <c:v>446</c:v>
                </c:pt>
                <c:pt idx="13">
                  <c:v>485</c:v>
                </c:pt>
                <c:pt idx="14">
                  <c:v>504</c:v>
                </c:pt>
                <c:pt idx="15">
                  <c:v>521</c:v>
                </c:pt>
                <c:pt idx="16">
                  <c:v>513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74-4EDF-8176-9F17AC4DC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Blad1!$AAL$1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Blad1!$AAL$2:$AAL$26</c:f>
              <c:numCache>
                <c:formatCode>General</c:formatCode>
                <c:ptCount val="25"/>
                <c:pt idx="0">
                  <c:v>0</c:v>
                </c:pt>
                <c:pt idx="1">
                  <c:v>64</c:v>
                </c:pt>
                <c:pt idx="2">
                  <c:v>120</c:v>
                </c:pt>
                <c:pt idx="3">
                  <c:v>141</c:v>
                </c:pt>
                <c:pt idx="4">
                  <c:v>214</c:v>
                </c:pt>
                <c:pt idx="5">
                  <c:v>235</c:v>
                </c:pt>
                <c:pt idx="6">
                  <c:v>277</c:v>
                </c:pt>
                <c:pt idx="7">
                  <c:v>316</c:v>
                </c:pt>
                <c:pt idx="8">
                  <c:v>367</c:v>
                </c:pt>
                <c:pt idx="9">
                  <c:v>390</c:v>
                </c:pt>
                <c:pt idx="10">
                  <c:v>450</c:v>
                </c:pt>
                <c:pt idx="11">
                  <c:v>450</c:v>
                </c:pt>
                <c:pt idx="12">
                  <c:v>475</c:v>
                </c:pt>
                <c:pt idx="13">
                  <c:v>574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0C3-4C91-ADCE-FD670B4F0F4E}"/>
            </c:ext>
          </c:extLst>
        </c:ser>
        <c:ser>
          <c:idx val="1"/>
          <c:order val="1"/>
          <c:tx>
            <c:strRef>
              <c:f>Blad1!$AAR$1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Blad1!$AAR$2:$AAR$26</c:f>
              <c:numCache>
                <c:formatCode>General</c:formatCode>
                <c:ptCount val="25"/>
                <c:pt idx="0">
                  <c:v>0</c:v>
                </c:pt>
                <c:pt idx="1">
                  <c:v>42</c:v>
                </c:pt>
                <c:pt idx="2">
                  <c:v>81</c:v>
                </c:pt>
                <c:pt idx="3">
                  <c:v>117</c:v>
                </c:pt>
                <c:pt idx="4">
                  <c:v>143</c:v>
                </c:pt>
                <c:pt idx="5">
                  <c:v>166</c:v>
                </c:pt>
                <c:pt idx="6">
                  <c:v>179</c:v>
                </c:pt>
                <c:pt idx="7">
                  <c:v>199</c:v>
                </c:pt>
                <c:pt idx="8">
                  <c:v>220</c:v>
                </c:pt>
                <c:pt idx="9">
                  <c:v>250</c:v>
                </c:pt>
                <c:pt idx="10">
                  <c:v>286</c:v>
                </c:pt>
                <c:pt idx="11">
                  <c:v>318</c:v>
                </c:pt>
                <c:pt idx="12">
                  <c:v>352</c:v>
                </c:pt>
                <c:pt idx="13">
                  <c:v>325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0C3-4C91-ADCE-FD670B4F0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Blad1!$AAX$1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Blad1!$AAX$2:$AAX$26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92</c:v>
                </c:pt>
                <c:pt idx="3">
                  <c:v>136</c:v>
                </c:pt>
                <c:pt idx="4">
                  <c:v>156</c:v>
                </c:pt>
                <c:pt idx="5">
                  <c:v>196</c:v>
                </c:pt>
                <c:pt idx="6">
                  <c:v>224</c:v>
                </c:pt>
                <c:pt idx="7">
                  <c:v>252</c:v>
                </c:pt>
                <c:pt idx="8">
                  <c:v>280</c:v>
                </c:pt>
                <c:pt idx="9">
                  <c:v>314</c:v>
                </c:pt>
                <c:pt idx="10">
                  <c:v>340</c:v>
                </c:pt>
                <c:pt idx="11">
                  <c:v>373</c:v>
                </c:pt>
                <c:pt idx="12">
                  <c:v>401</c:v>
                </c:pt>
                <c:pt idx="13">
                  <c:v>411</c:v>
                </c:pt>
                <c:pt idx="14">
                  <c:v>389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27-409A-986B-538D080695D8}"/>
            </c:ext>
          </c:extLst>
        </c:ser>
        <c:ser>
          <c:idx val="1"/>
          <c:order val="1"/>
          <c:tx>
            <c:strRef>
              <c:f>Blad1!$ABD$1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Blad1!$ABD$2:$ABD$26</c:f>
              <c:numCache>
                <c:formatCode>General</c:formatCode>
                <c:ptCount val="25"/>
                <c:pt idx="0">
                  <c:v>0</c:v>
                </c:pt>
                <c:pt idx="1">
                  <c:v>20</c:v>
                </c:pt>
                <c:pt idx="2">
                  <c:v>63</c:v>
                </c:pt>
                <c:pt idx="3">
                  <c:v>123</c:v>
                </c:pt>
                <c:pt idx="4">
                  <c:v>154</c:v>
                </c:pt>
                <c:pt idx="5">
                  <c:v>193</c:v>
                </c:pt>
                <c:pt idx="6">
                  <c:v>218</c:v>
                </c:pt>
                <c:pt idx="7">
                  <c:v>250</c:v>
                </c:pt>
                <c:pt idx="8">
                  <c:v>309</c:v>
                </c:pt>
                <c:pt idx="9">
                  <c:v>340</c:v>
                </c:pt>
                <c:pt idx="10">
                  <c:v>380</c:v>
                </c:pt>
                <c:pt idx="11">
                  <c:v>423</c:v>
                </c:pt>
                <c:pt idx="12">
                  <c:v>451</c:v>
                </c:pt>
                <c:pt idx="13">
                  <c:v>470</c:v>
                </c:pt>
                <c:pt idx="14">
                  <c:v>492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27-409A-986B-538D08069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Blad1!$ABJ$1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Blad1!$ABJ$2:$ABJ$26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16</c:v>
                </c:pt>
                <c:pt idx="3">
                  <c:v>50</c:v>
                </c:pt>
                <c:pt idx="4">
                  <c:v>79</c:v>
                </c:pt>
                <c:pt idx="5">
                  <c:v>117</c:v>
                </c:pt>
                <c:pt idx="6">
                  <c:v>147</c:v>
                </c:pt>
                <c:pt idx="7">
                  <c:v>180</c:v>
                </c:pt>
                <c:pt idx="8">
                  <c:v>218</c:v>
                </c:pt>
                <c:pt idx="9">
                  <c:v>257</c:v>
                </c:pt>
                <c:pt idx="10">
                  <c:v>311</c:v>
                </c:pt>
                <c:pt idx="11">
                  <c:v>477</c:v>
                </c:pt>
                <c:pt idx="12">
                  <c:v>488</c:v>
                </c:pt>
                <c:pt idx="13">
                  <c:v>508</c:v>
                </c:pt>
                <c:pt idx="14">
                  <c:v>501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68-4CCD-8AE8-228E91EE969A}"/>
            </c:ext>
          </c:extLst>
        </c:ser>
        <c:ser>
          <c:idx val="1"/>
          <c:order val="1"/>
          <c:tx>
            <c:strRef>
              <c:f>Blad1!$ABP$1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Blad1!$ABP$2:$ABP$26</c:f>
              <c:numCache>
                <c:formatCode>General</c:formatCode>
                <c:ptCount val="25"/>
                <c:pt idx="0">
                  <c:v>0</c:v>
                </c:pt>
                <c:pt idx="1">
                  <c:v>24</c:v>
                </c:pt>
                <c:pt idx="2">
                  <c:v>85</c:v>
                </c:pt>
                <c:pt idx="3">
                  <c:v>183</c:v>
                </c:pt>
                <c:pt idx="4">
                  <c:v>240</c:v>
                </c:pt>
                <c:pt idx="5">
                  <c:v>317</c:v>
                </c:pt>
                <c:pt idx="6">
                  <c:v>394</c:v>
                </c:pt>
                <c:pt idx="7">
                  <c:v>426</c:v>
                </c:pt>
                <c:pt idx="8">
                  <c:v>464</c:v>
                </c:pt>
                <c:pt idx="9">
                  <c:v>478</c:v>
                </c:pt>
                <c:pt idx="10">
                  <c:v>508</c:v>
                </c:pt>
                <c:pt idx="11">
                  <c:v>546</c:v>
                </c:pt>
                <c:pt idx="12">
                  <c:v>577</c:v>
                </c:pt>
                <c:pt idx="13">
                  <c:v>583</c:v>
                </c:pt>
                <c:pt idx="14">
                  <c:v>590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68-4CCD-8AE8-228E91EE9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Blad1!$ABV$1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Blad1!$ABV$2:$ABV$26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64</c:v>
                </c:pt>
                <c:pt idx="3">
                  <c:v>148</c:v>
                </c:pt>
                <c:pt idx="4">
                  <c:v>175</c:v>
                </c:pt>
                <c:pt idx="5">
                  <c:v>247</c:v>
                </c:pt>
                <c:pt idx="6">
                  <c:v>313</c:v>
                </c:pt>
                <c:pt idx="7">
                  <c:v>348</c:v>
                </c:pt>
                <c:pt idx="8">
                  <c:v>388</c:v>
                </c:pt>
                <c:pt idx="9">
                  <c:v>460</c:v>
                </c:pt>
                <c:pt idx="10">
                  <c:v>491</c:v>
                </c:pt>
                <c:pt idx="11">
                  <c:v>505</c:v>
                </c:pt>
                <c:pt idx="12">
                  <c:v>529</c:v>
                </c:pt>
                <c:pt idx="13">
                  <c:v>540</c:v>
                </c:pt>
                <c:pt idx="14">
                  <c:v>583</c:v>
                </c:pt>
                <c:pt idx="15">
                  <c:v>596</c:v>
                </c:pt>
                <c:pt idx="16">
                  <c:v>606</c:v>
                </c:pt>
                <c:pt idx="17">
                  <c:v>613</c:v>
                </c:pt>
                <c:pt idx="18">
                  <c:v>612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DE-46F5-AAD4-7B7CD14EF424}"/>
            </c:ext>
          </c:extLst>
        </c:ser>
        <c:ser>
          <c:idx val="1"/>
          <c:order val="1"/>
          <c:tx>
            <c:strRef>
              <c:f>Blad1!$ACB$1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Blad1!$ACB$2:$ACB$26</c:f>
              <c:numCache>
                <c:formatCode>General</c:formatCode>
                <c:ptCount val="25"/>
                <c:pt idx="0">
                  <c:v>0</c:v>
                </c:pt>
                <c:pt idx="1">
                  <c:v>24</c:v>
                </c:pt>
                <c:pt idx="2">
                  <c:v>61</c:v>
                </c:pt>
                <c:pt idx="3">
                  <c:v>91</c:v>
                </c:pt>
                <c:pt idx="4">
                  <c:v>127</c:v>
                </c:pt>
                <c:pt idx="5">
                  <c:v>143</c:v>
                </c:pt>
                <c:pt idx="6">
                  <c:v>158</c:v>
                </c:pt>
                <c:pt idx="7">
                  <c:v>180</c:v>
                </c:pt>
                <c:pt idx="8">
                  <c:v>205</c:v>
                </c:pt>
                <c:pt idx="9">
                  <c:v>224</c:v>
                </c:pt>
                <c:pt idx="10">
                  <c:v>254</c:v>
                </c:pt>
                <c:pt idx="11">
                  <c:v>283</c:v>
                </c:pt>
                <c:pt idx="12">
                  <c:v>318</c:v>
                </c:pt>
                <c:pt idx="13">
                  <c:v>386</c:v>
                </c:pt>
                <c:pt idx="14">
                  <c:v>409</c:v>
                </c:pt>
                <c:pt idx="15">
                  <c:v>423</c:v>
                </c:pt>
                <c:pt idx="16">
                  <c:v>433</c:v>
                </c:pt>
                <c:pt idx="17">
                  <c:v>441</c:v>
                </c:pt>
                <c:pt idx="18">
                  <c:v>442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ADE-46F5-AAD4-7B7CD14EF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Blad1!$ACH$1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Blad1!$ACH$2:$ACH$26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69</c:v>
                </c:pt>
                <c:pt idx="4">
                  <c:v>100</c:v>
                </c:pt>
                <c:pt idx="5">
                  <c:v>133</c:v>
                </c:pt>
                <c:pt idx="6">
                  <c:v>163</c:v>
                </c:pt>
                <c:pt idx="7">
                  <c:v>191</c:v>
                </c:pt>
                <c:pt idx="8">
                  <c:v>231</c:v>
                </c:pt>
                <c:pt idx="9">
                  <c:v>251</c:v>
                </c:pt>
                <c:pt idx="10">
                  <c:v>283</c:v>
                </c:pt>
                <c:pt idx="11">
                  <c:v>308</c:v>
                </c:pt>
                <c:pt idx="12">
                  <c:v>386</c:v>
                </c:pt>
                <c:pt idx="13">
                  <c:v>452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03-48E8-97FA-8EA074549DF1}"/>
            </c:ext>
          </c:extLst>
        </c:ser>
        <c:ser>
          <c:idx val="1"/>
          <c:order val="1"/>
          <c:tx>
            <c:strRef>
              <c:f>Blad1!$ACN$1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Blad1!$ACN$2:$ACN$26</c:f>
              <c:numCache>
                <c:formatCode>General</c:formatCode>
                <c:ptCount val="25"/>
                <c:pt idx="0">
                  <c:v>0</c:v>
                </c:pt>
                <c:pt idx="1">
                  <c:v>26</c:v>
                </c:pt>
                <c:pt idx="2">
                  <c:v>150</c:v>
                </c:pt>
                <c:pt idx="3">
                  <c:v>200</c:v>
                </c:pt>
                <c:pt idx="4">
                  <c:v>238</c:v>
                </c:pt>
                <c:pt idx="5">
                  <c:v>268</c:v>
                </c:pt>
                <c:pt idx="6">
                  <c:v>308</c:v>
                </c:pt>
                <c:pt idx="7">
                  <c:v>335</c:v>
                </c:pt>
                <c:pt idx="8">
                  <c:v>374</c:v>
                </c:pt>
                <c:pt idx="9">
                  <c:v>408</c:v>
                </c:pt>
                <c:pt idx="10">
                  <c:v>447</c:v>
                </c:pt>
                <c:pt idx="11">
                  <c:v>470</c:v>
                </c:pt>
                <c:pt idx="12">
                  <c:v>497</c:v>
                </c:pt>
                <c:pt idx="13">
                  <c:v>484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03-48E8-97FA-8EA074549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Blad1!$ACT$1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Blad1!$ACT$2:$ACT$26</c:f>
              <c:numCache>
                <c:formatCode>General</c:formatCode>
                <c:ptCount val="25"/>
                <c:pt idx="0">
                  <c:v>0</c:v>
                </c:pt>
                <c:pt idx="1">
                  <c:v>14</c:v>
                </c:pt>
                <c:pt idx="2">
                  <c:v>96</c:v>
                </c:pt>
                <c:pt idx="3">
                  <c:v>162</c:v>
                </c:pt>
                <c:pt idx="4">
                  <c:v>216</c:v>
                </c:pt>
                <c:pt idx="5">
                  <c:v>270</c:v>
                </c:pt>
                <c:pt idx="6">
                  <c:v>297</c:v>
                </c:pt>
                <c:pt idx="7">
                  <c:v>323</c:v>
                </c:pt>
                <c:pt idx="8">
                  <c:v>353</c:v>
                </c:pt>
                <c:pt idx="9">
                  <c:v>375</c:v>
                </c:pt>
                <c:pt idx="10">
                  <c:v>375</c:v>
                </c:pt>
                <c:pt idx="11">
                  <c:v>453</c:v>
                </c:pt>
                <c:pt idx="12">
                  <c:v>464</c:v>
                </c:pt>
                <c:pt idx="13">
                  <c:v>510</c:v>
                </c:pt>
                <c:pt idx="14">
                  <c:v>560</c:v>
                </c:pt>
                <c:pt idx="15">
                  <c:v>592</c:v>
                </c:pt>
                <c:pt idx="16">
                  <c:v>604</c:v>
                </c:pt>
                <c:pt idx="17">
                  <c:v>623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ED9-4482-9065-918EE59D3621}"/>
            </c:ext>
          </c:extLst>
        </c:ser>
        <c:ser>
          <c:idx val="1"/>
          <c:order val="1"/>
          <c:tx>
            <c:strRef>
              <c:f>Blad1!$ACZ$1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Blad1!$ACZ$2:$ACZ$26</c:f>
              <c:numCache>
                <c:formatCode>General</c:formatCode>
                <c:ptCount val="25"/>
                <c:pt idx="0">
                  <c:v>0</c:v>
                </c:pt>
                <c:pt idx="1">
                  <c:v>86</c:v>
                </c:pt>
                <c:pt idx="2">
                  <c:v>137</c:v>
                </c:pt>
                <c:pt idx="3">
                  <c:v>174</c:v>
                </c:pt>
                <c:pt idx="4">
                  <c:v>198</c:v>
                </c:pt>
                <c:pt idx="5">
                  <c:v>234</c:v>
                </c:pt>
                <c:pt idx="6">
                  <c:v>284</c:v>
                </c:pt>
                <c:pt idx="7">
                  <c:v>308</c:v>
                </c:pt>
                <c:pt idx="8">
                  <c:v>331</c:v>
                </c:pt>
                <c:pt idx="9">
                  <c:v>356</c:v>
                </c:pt>
                <c:pt idx="10">
                  <c:v>388</c:v>
                </c:pt>
                <c:pt idx="11">
                  <c:v>412</c:v>
                </c:pt>
                <c:pt idx="12">
                  <c:v>434</c:v>
                </c:pt>
                <c:pt idx="13">
                  <c:v>462</c:v>
                </c:pt>
                <c:pt idx="14">
                  <c:v>479</c:v>
                </c:pt>
                <c:pt idx="15">
                  <c:v>492</c:v>
                </c:pt>
                <c:pt idx="16">
                  <c:v>492</c:v>
                </c:pt>
                <c:pt idx="17">
                  <c:v>482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ED9-4482-9065-918EE59D3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Blad1!$ADF$1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Blad1!$ADF$2:$ADF$26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56</c:v>
                </c:pt>
                <c:pt idx="3">
                  <c:v>86</c:v>
                </c:pt>
                <c:pt idx="4">
                  <c:v>128</c:v>
                </c:pt>
                <c:pt idx="5">
                  <c:v>156</c:v>
                </c:pt>
                <c:pt idx="6">
                  <c:v>225</c:v>
                </c:pt>
                <c:pt idx="7">
                  <c:v>288</c:v>
                </c:pt>
                <c:pt idx="8">
                  <c:v>348</c:v>
                </c:pt>
                <c:pt idx="9">
                  <c:v>412</c:v>
                </c:pt>
                <c:pt idx="10">
                  <c:v>459</c:v>
                </c:pt>
                <c:pt idx="11">
                  <c:v>483</c:v>
                </c:pt>
                <c:pt idx="12">
                  <c:v>503</c:v>
                </c:pt>
                <c:pt idx="13">
                  <c:v>518</c:v>
                </c:pt>
                <c:pt idx="14">
                  <c:v>530</c:v>
                </c:pt>
                <c:pt idx="15">
                  <c:v>541</c:v>
                </c:pt>
                <c:pt idx="16">
                  <c:v>556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D2A-4616-86A2-F4FE4F7B96F4}"/>
            </c:ext>
          </c:extLst>
        </c:ser>
        <c:ser>
          <c:idx val="1"/>
          <c:order val="1"/>
          <c:tx>
            <c:strRef>
              <c:f>Blad1!$ADL$1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Blad1!$ADL$2:$ADL$26</c:f>
              <c:numCache>
                <c:formatCode>General</c:formatCode>
                <c:ptCount val="25"/>
                <c:pt idx="0">
                  <c:v>0</c:v>
                </c:pt>
                <c:pt idx="1">
                  <c:v>9</c:v>
                </c:pt>
                <c:pt idx="2">
                  <c:v>42</c:v>
                </c:pt>
                <c:pt idx="3">
                  <c:v>75</c:v>
                </c:pt>
                <c:pt idx="4">
                  <c:v>124</c:v>
                </c:pt>
                <c:pt idx="5">
                  <c:v>172</c:v>
                </c:pt>
                <c:pt idx="6">
                  <c:v>222</c:v>
                </c:pt>
                <c:pt idx="7">
                  <c:v>265</c:v>
                </c:pt>
                <c:pt idx="8">
                  <c:v>303</c:v>
                </c:pt>
                <c:pt idx="9">
                  <c:v>338</c:v>
                </c:pt>
                <c:pt idx="10">
                  <c:v>365</c:v>
                </c:pt>
                <c:pt idx="11">
                  <c:v>395</c:v>
                </c:pt>
                <c:pt idx="12">
                  <c:v>439</c:v>
                </c:pt>
                <c:pt idx="13">
                  <c:v>464</c:v>
                </c:pt>
                <c:pt idx="14">
                  <c:v>464</c:v>
                </c:pt>
                <c:pt idx="15">
                  <c:v>464</c:v>
                </c:pt>
                <c:pt idx="16">
                  <c:v>454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D2A-4616-86A2-F4FE4F7B9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Blad1!$ADR$1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Blad1!$ADR$2:$ADR$26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90</c:v>
                </c:pt>
                <c:pt idx="4">
                  <c:v>155</c:v>
                </c:pt>
                <c:pt idx="5">
                  <c:v>202</c:v>
                </c:pt>
                <c:pt idx="6">
                  <c:v>233</c:v>
                </c:pt>
                <c:pt idx="7">
                  <c:v>266</c:v>
                </c:pt>
                <c:pt idx="8">
                  <c:v>320</c:v>
                </c:pt>
                <c:pt idx="9">
                  <c:v>352</c:v>
                </c:pt>
                <c:pt idx="10">
                  <c:v>369</c:v>
                </c:pt>
                <c:pt idx="11">
                  <c:v>454</c:v>
                </c:pt>
                <c:pt idx="12">
                  <c:v>527</c:v>
                </c:pt>
                <c:pt idx="13">
                  <c:v>548</c:v>
                </c:pt>
                <c:pt idx="14">
                  <c:v>562</c:v>
                </c:pt>
                <c:pt idx="15">
                  <c:v>628</c:v>
                </c:pt>
                <c:pt idx="16">
                  <c:v>635</c:v>
                </c:pt>
                <c:pt idx="17">
                  <c:v>644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087-4CD6-9863-1AB59D6A1A95}"/>
            </c:ext>
          </c:extLst>
        </c:ser>
        <c:ser>
          <c:idx val="1"/>
          <c:order val="1"/>
          <c:tx>
            <c:strRef>
              <c:f>Blad1!$ADX$1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Blad1!$ADX$2:$ADX$26</c:f>
              <c:numCache>
                <c:formatCode>General</c:formatCode>
                <c:ptCount val="25"/>
                <c:pt idx="0">
                  <c:v>0</c:v>
                </c:pt>
                <c:pt idx="1">
                  <c:v>24</c:v>
                </c:pt>
                <c:pt idx="2">
                  <c:v>70</c:v>
                </c:pt>
                <c:pt idx="3">
                  <c:v>103</c:v>
                </c:pt>
                <c:pt idx="4">
                  <c:v>128</c:v>
                </c:pt>
                <c:pt idx="5">
                  <c:v>158</c:v>
                </c:pt>
                <c:pt idx="6">
                  <c:v>194</c:v>
                </c:pt>
                <c:pt idx="7">
                  <c:v>229</c:v>
                </c:pt>
                <c:pt idx="8">
                  <c:v>255</c:v>
                </c:pt>
                <c:pt idx="9">
                  <c:v>278</c:v>
                </c:pt>
                <c:pt idx="10">
                  <c:v>297</c:v>
                </c:pt>
                <c:pt idx="11">
                  <c:v>324</c:v>
                </c:pt>
                <c:pt idx="12">
                  <c:v>341</c:v>
                </c:pt>
                <c:pt idx="13">
                  <c:v>373</c:v>
                </c:pt>
                <c:pt idx="14">
                  <c:v>395</c:v>
                </c:pt>
                <c:pt idx="15">
                  <c:v>403</c:v>
                </c:pt>
                <c:pt idx="16">
                  <c:v>409</c:v>
                </c:pt>
                <c:pt idx="17">
                  <c:v>407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087-4CD6-9863-1AB59D6A1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Blad1!$AED$1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Blad1!$AED$2:$AED$26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65</c:v>
                </c:pt>
                <c:pt idx="3">
                  <c:v>108</c:v>
                </c:pt>
                <c:pt idx="4">
                  <c:v>145</c:v>
                </c:pt>
                <c:pt idx="5">
                  <c:v>184</c:v>
                </c:pt>
                <c:pt idx="6">
                  <c:v>204</c:v>
                </c:pt>
                <c:pt idx="7">
                  <c:v>228</c:v>
                </c:pt>
                <c:pt idx="8">
                  <c:v>248</c:v>
                </c:pt>
                <c:pt idx="9">
                  <c:v>280</c:v>
                </c:pt>
                <c:pt idx="10">
                  <c:v>304</c:v>
                </c:pt>
                <c:pt idx="11">
                  <c:v>321</c:v>
                </c:pt>
                <c:pt idx="12">
                  <c:v>337</c:v>
                </c:pt>
                <c:pt idx="13">
                  <c:v>358</c:v>
                </c:pt>
                <c:pt idx="14">
                  <c:v>382</c:v>
                </c:pt>
                <c:pt idx="15">
                  <c:v>394</c:v>
                </c:pt>
                <c:pt idx="16">
                  <c:v>404</c:v>
                </c:pt>
                <c:pt idx="17">
                  <c:v>412</c:v>
                </c:pt>
                <c:pt idx="18">
                  <c:v>419</c:v>
                </c:pt>
                <c:pt idx="19">
                  <c:v>404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EF-497D-978B-2BDCD3FACA7C}"/>
            </c:ext>
          </c:extLst>
        </c:ser>
        <c:ser>
          <c:idx val="1"/>
          <c:order val="1"/>
          <c:tx>
            <c:strRef>
              <c:f>Blad1!$AEJ$1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Blad1!$AEJ$2:$AEJ$26</c:f>
              <c:numCache>
                <c:formatCode>General</c:formatCode>
                <c:ptCount val="25"/>
                <c:pt idx="0">
                  <c:v>0</c:v>
                </c:pt>
                <c:pt idx="1">
                  <c:v>9</c:v>
                </c:pt>
                <c:pt idx="2">
                  <c:v>36</c:v>
                </c:pt>
                <c:pt idx="3">
                  <c:v>84</c:v>
                </c:pt>
                <c:pt idx="4">
                  <c:v>121</c:v>
                </c:pt>
                <c:pt idx="5">
                  <c:v>163</c:v>
                </c:pt>
                <c:pt idx="6">
                  <c:v>200</c:v>
                </c:pt>
                <c:pt idx="7">
                  <c:v>221</c:v>
                </c:pt>
                <c:pt idx="8">
                  <c:v>290</c:v>
                </c:pt>
                <c:pt idx="9">
                  <c:v>314</c:v>
                </c:pt>
                <c:pt idx="10">
                  <c:v>324</c:v>
                </c:pt>
                <c:pt idx="11">
                  <c:v>344</c:v>
                </c:pt>
                <c:pt idx="12">
                  <c:v>380</c:v>
                </c:pt>
                <c:pt idx="13">
                  <c:v>403</c:v>
                </c:pt>
                <c:pt idx="14">
                  <c:v>421</c:v>
                </c:pt>
                <c:pt idx="15">
                  <c:v>438</c:v>
                </c:pt>
                <c:pt idx="16">
                  <c:v>454</c:v>
                </c:pt>
                <c:pt idx="17">
                  <c:v>460</c:v>
                </c:pt>
                <c:pt idx="18">
                  <c:v>465</c:v>
                </c:pt>
                <c:pt idx="19">
                  <c:v>480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EEF-497D-978B-2BDCD3FAC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Blad1!$AEP$1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Blad1!$AEP$2:$AEP$26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36</c:v>
                </c:pt>
                <c:pt idx="3">
                  <c:v>175</c:v>
                </c:pt>
                <c:pt idx="4">
                  <c:v>215</c:v>
                </c:pt>
                <c:pt idx="5">
                  <c:v>243</c:v>
                </c:pt>
                <c:pt idx="6">
                  <c:v>280</c:v>
                </c:pt>
                <c:pt idx="7">
                  <c:v>310</c:v>
                </c:pt>
                <c:pt idx="8">
                  <c:v>393</c:v>
                </c:pt>
                <c:pt idx="9">
                  <c:v>423</c:v>
                </c:pt>
                <c:pt idx="10">
                  <c:v>443</c:v>
                </c:pt>
                <c:pt idx="11">
                  <c:v>482</c:v>
                </c:pt>
                <c:pt idx="12">
                  <c:v>512</c:v>
                </c:pt>
                <c:pt idx="13">
                  <c:v>566</c:v>
                </c:pt>
                <c:pt idx="14">
                  <c:v>638</c:v>
                </c:pt>
                <c:pt idx="15">
                  <c:v>654</c:v>
                </c:pt>
                <c:pt idx="16">
                  <c:v>677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23F-4969-927A-951B828DD790}"/>
            </c:ext>
          </c:extLst>
        </c:ser>
        <c:ser>
          <c:idx val="1"/>
          <c:order val="1"/>
          <c:tx>
            <c:strRef>
              <c:f>Blad1!$AEV$1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Blad1!$AEV$2:$AEV$26</c:f>
              <c:numCache>
                <c:formatCode>General</c:formatCode>
                <c:ptCount val="25"/>
                <c:pt idx="0">
                  <c:v>0</c:v>
                </c:pt>
                <c:pt idx="1">
                  <c:v>9</c:v>
                </c:pt>
                <c:pt idx="2">
                  <c:v>30</c:v>
                </c:pt>
                <c:pt idx="3">
                  <c:v>66</c:v>
                </c:pt>
                <c:pt idx="4">
                  <c:v>102</c:v>
                </c:pt>
                <c:pt idx="5">
                  <c:v>189</c:v>
                </c:pt>
                <c:pt idx="6">
                  <c:v>239</c:v>
                </c:pt>
                <c:pt idx="7">
                  <c:v>267</c:v>
                </c:pt>
                <c:pt idx="8">
                  <c:v>302</c:v>
                </c:pt>
                <c:pt idx="9">
                  <c:v>330</c:v>
                </c:pt>
                <c:pt idx="10">
                  <c:v>357</c:v>
                </c:pt>
                <c:pt idx="11">
                  <c:v>393</c:v>
                </c:pt>
                <c:pt idx="12">
                  <c:v>424</c:v>
                </c:pt>
                <c:pt idx="13">
                  <c:v>448</c:v>
                </c:pt>
                <c:pt idx="14">
                  <c:v>474</c:v>
                </c:pt>
                <c:pt idx="15">
                  <c:v>474</c:v>
                </c:pt>
                <c:pt idx="16">
                  <c:v>464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23F-4969-927A-951B828DD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Blad1!$AFB$1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Blad1!$AFB$2:$AFB$26</c:f>
              <c:numCache>
                <c:formatCode>General</c:formatCode>
                <c:ptCount val="25"/>
                <c:pt idx="0">
                  <c:v>0</c:v>
                </c:pt>
                <c:pt idx="1">
                  <c:v>4</c:v>
                </c:pt>
                <c:pt idx="2">
                  <c:v>39</c:v>
                </c:pt>
                <c:pt idx="3">
                  <c:v>62</c:v>
                </c:pt>
                <c:pt idx="4">
                  <c:v>92</c:v>
                </c:pt>
                <c:pt idx="5">
                  <c:v>124</c:v>
                </c:pt>
                <c:pt idx="6">
                  <c:v>140</c:v>
                </c:pt>
                <c:pt idx="7">
                  <c:v>168</c:v>
                </c:pt>
                <c:pt idx="8">
                  <c:v>231</c:v>
                </c:pt>
                <c:pt idx="9">
                  <c:v>290</c:v>
                </c:pt>
                <c:pt idx="10">
                  <c:v>305</c:v>
                </c:pt>
                <c:pt idx="11">
                  <c:v>334</c:v>
                </c:pt>
                <c:pt idx="12">
                  <c:v>410</c:v>
                </c:pt>
                <c:pt idx="13">
                  <c:v>446</c:v>
                </c:pt>
                <c:pt idx="14">
                  <c:v>464</c:v>
                </c:pt>
                <c:pt idx="15">
                  <c:v>460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5B-4FE4-B80B-D52DEC49173A}"/>
            </c:ext>
          </c:extLst>
        </c:ser>
        <c:ser>
          <c:idx val="1"/>
          <c:order val="1"/>
          <c:tx>
            <c:strRef>
              <c:f>Blad1!$AFH$1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Blad1!$AFH$2:$AFH$26</c:f>
              <c:numCache>
                <c:formatCode>General</c:formatCode>
                <c:ptCount val="25"/>
                <c:pt idx="0">
                  <c:v>0</c:v>
                </c:pt>
                <c:pt idx="1">
                  <c:v>25</c:v>
                </c:pt>
                <c:pt idx="2">
                  <c:v>39</c:v>
                </c:pt>
                <c:pt idx="3">
                  <c:v>58</c:v>
                </c:pt>
                <c:pt idx="4">
                  <c:v>92</c:v>
                </c:pt>
                <c:pt idx="5">
                  <c:v>128</c:v>
                </c:pt>
                <c:pt idx="6">
                  <c:v>160</c:v>
                </c:pt>
                <c:pt idx="7">
                  <c:v>195</c:v>
                </c:pt>
                <c:pt idx="8">
                  <c:v>255</c:v>
                </c:pt>
                <c:pt idx="9">
                  <c:v>297</c:v>
                </c:pt>
                <c:pt idx="10">
                  <c:v>333</c:v>
                </c:pt>
                <c:pt idx="11">
                  <c:v>371</c:v>
                </c:pt>
                <c:pt idx="12">
                  <c:v>461</c:v>
                </c:pt>
                <c:pt idx="13">
                  <c:v>482</c:v>
                </c:pt>
                <c:pt idx="14">
                  <c:v>503</c:v>
                </c:pt>
                <c:pt idx="15">
                  <c:v>507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45B-4FE4-B80B-D52DEC491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Blad1!$AFN$1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Blad1!$AFN$2:$AFN$26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112</c:v>
                </c:pt>
                <c:pt idx="3">
                  <c:v>145</c:v>
                </c:pt>
                <c:pt idx="4">
                  <c:v>184</c:v>
                </c:pt>
                <c:pt idx="5">
                  <c:v>240</c:v>
                </c:pt>
                <c:pt idx="6">
                  <c:v>284</c:v>
                </c:pt>
                <c:pt idx="7">
                  <c:v>322</c:v>
                </c:pt>
                <c:pt idx="8">
                  <c:v>356</c:v>
                </c:pt>
                <c:pt idx="9">
                  <c:v>392</c:v>
                </c:pt>
                <c:pt idx="10">
                  <c:v>417</c:v>
                </c:pt>
                <c:pt idx="11">
                  <c:v>471</c:v>
                </c:pt>
                <c:pt idx="12">
                  <c:v>509</c:v>
                </c:pt>
                <c:pt idx="13">
                  <c:v>526</c:v>
                </c:pt>
                <c:pt idx="14">
                  <c:v>522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6C2-4884-B7BA-0D91003C7EFE}"/>
            </c:ext>
          </c:extLst>
        </c:ser>
        <c:ser>
          <c:idx val="1"/>
          <c:order val="1"/>
          <c:tx>
            <c:strRef>
              <c:f>Blad1!$AFT$1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Blad1!$AFT$2:$AFT$26</c:f>
              <c:numCache>
                <c:formatCode>General</c:formatCode>
                <c:ptCount val="25"/>
                <c:pt idx="0">
                  <c:v>0</c:v>
                </c:pt>
                <c:pt idx="1">
                  <c:v>10</c:v>
                </c:pt>
                <c:pt idx="2">
                  <c:v>46</c:v>
                </c:pt>
                <c:pt idx="3">
                  <c:v>97</c:v>
                </c:pt>
                <c:pt idx="4">
                  <c:v>138</c:v>
                </c:pt>
                <c:pt idx="5">
                  <c:v>213</c:v>
                </c:pt>
                <c:pt idx="6">
                  <c:v>278</c:v>
                </c:pt>
                <c:pt idx="7">
                  <c:v>332</c:v>
                </c:pt>
                <c:pt idx="8">
                  <c:v>380</c:v>
                </c:pt>
                <c:pt idx="9">
                  <c:v>410</c:v>
                </c:pt>
                <c:pt idx="10">
                  <c:v>430</c:v>
                </c:pt>
                <c:pt idx="11">
                  <c:v>464</c:v>
                </c:pt>
                <c:pt idx="12">
                  <c:v>486</c:v>
                </c:pt>
                <c:pt idx="13">
                  <c:v>492</c:v>
                </c:pt>
                <c:pt idx="14">
                  <c:v>496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6C2-4884-B7BA-0D91003C7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Blad1!$AFZ$1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Blad1!$AFZ$2:$AFZ$26</c:f>
              <c:numCache>
                <c:formatCode>General</c:formatCode>
                <c:ptCount val="25"/>
                <c:pt idx="0">
                  <c:v>0</c:v>
                </c:pt>
                <c:pt idx="1">
                  <c:v>9</c:v>
                </c:pt>
                <c:pt idx="2">
                  <c:v>36</c:v>
                </c:pt>
                <c:pt idx="3">
                  <c:v>108</c:v>
                </c:pt>
                <c:pt idx="4">
                  <c:v>178</c:v>
                </c:pt>
                <c:pt idx="5">
                  <c:v>226</c:v>
                </c:pt>
                <c:pt idx="6">
                  <c:v>275</c:v>
                </c:pt>
                <c:pt idx="7">
                  <c:v>309</c:v>
                </c:pt>
                <c:pt idx="8">
                  <c:v>337</c:v>
                </c:pt>
                <c:pt idx="9">
                  <c:v>365</c:v>
                </c:pt>
                <c:pt idx="10">
                  <c:v>424</c:v>
                </c:pt>
                <c:pt idx="11">
                  <c:v>463</c:v>
                </c:pt>
                <c:pt idx="12">
                  <c:v>500</c:v>
                </c:pt>
                <c:pt idx="13">
                  <c:v>507</c:v>
                </c:pt>
                <c:pt idx="14">
                  <c:v>507</c:v>
                </c:pt>
                <c:pt idx="15">
                  <c:v>507</c:v>
                </c:pt>
                <c:pt idx="16">
                  <c:v>503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56F-476B-AAA5-3FFCF9A92502}"/>
            </c:ext>
          </c:extLst>
        </c:ser>
        <c:ser>
          <c:idx val="1"/>
          <c:order val="1"/>
          <c:tx>
            <c:strRef>
              <c:f>Blad1!$AGF$1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Blad1!$AGF$2:$AGF$26</c:f>
              <c:numCache>
                <c:formatCode>General</c:formatCode>
                <c:ptCount val="25"/>
                <c:pt idx="0">
                  <c:v>0</c:v>
                </c:pt>
                <c:pt idx="1">
                  <c:v>32</c:v>
                </c:pt>
                <c:pt idx="2">
                  <c:v>68</c:v>
                </c:pt>
                <c:pt idx="3">
                  <c:v>121</c:v>
                </c:pt>
                <c:pt idx="4">
                  <c:v>163</c:v>
                </c:pt>
                <c:pt idx="5">
                  <c:v>194</c:v>
                </c:pt>
                <c:pt idx="6">
                  <c:v>233</c:v>
                </c:pt>
                <c:pt idx="7">
                  <c:v>272</c:v>
                </c:pt>
                <c:pt idx="8">
                  <c:v>335</c:v>
                </c:pt>
                <c:pt idx="9">
                  <c:v>375</c:v>
                </c:pt>
                <c:pt idx="10">
                  <c:v>407</c:v>
                </c:pt>
                <c:pt idx="11">
                  <c:v>432</c:v>
                </c:pt>
                <c:pt idx="12">
                  <c:v>465</c:v>
                </c:pt>
                <c:pt idx="13">
                  <c:v>484</c:v>
                </c:pt>
                <c:pt idx="14">
                  <c:v>492</c:v>
                </c:pt>
                <c:pt idx="15">
                  <c:v>492</c:v>
                </c:pt>
                <c:pt idx="16">
                  <c:v>482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56F-476B-AAA5-3FFCF9A9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Blad1!$AGL$1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Blad1!$AGL$2:$AGL$26</c:f>
              <c:numCache>
                <c:formatCode>General</c:formatCode>
                <c:ptCount val="25"/>
                <c:pt idx="0">
                  <c:v>0</c:v>
                </c:pt>
                <c:pt idx="1">
                  <c:v>12</c:v>
                </c:pt>
                <c:pt idx="2">
                  <c:v>38</c:v>
                </c:pt>
                <c:pt idx="3">
                  <c:v>80</c:v>
                </c:pt>
                <c:pt idx="4">
                  <c:v>115</c:v>
                </c:pt>
                <c:pt idx="5">
                  <c:v>140</c:v>
                </c:pt>
                <c:pt idx="6">
                  <c:v>177</c:v>
                </c:pt>
                <c:pt idx="7">
                  <c:v>208</c:v>
                </c:pt>
                <c:pt idx="8">
                  <c:v>244</c:v>
                </c:pt>
                <c:pt idx="9">
                  <c:v>258</c:v>
                </c:pt>
                <c:pt idx="10">
                  <c:v>322</c:v>
                </c:pt>
                <c:pt idx="11">
                  <c:v>355</c:v>
                </c:pt>
                <c:pt idx="12">
                  <c:v>381</c:v>
                </c:pt>
                <c:pt idx="13">
                  <c:v>397</c:v>
                </c:pt>
                <c:pt idx="14">
                  <c:v>415</c:v>
                </c:pt>
                <c:pt idx="15">
                  <c:v>426</c:v>
                </c:pt>
                <c:pt idx="16">
                  <c:v>433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FB3-483D-BE6B-9E21052C50E9}"/>
            </c:ext>
          </c:extLst>
        </c:ser>
        <c:ser>
          <c:idx val="1"/>
          <c:order val="1"/>
          <c:tx>
            <c:strRef>
              <c:f>Blad1!$AGR$1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Blad1!$AGR$2:$AGR$26</c:f>
              <c:numCache>
                <c:formatCode>General</c:formatCode>
                <c:ptCount val="25"/>
                <c:pt idx="0">
                  <c:v>0</c:v>
                </c:pt>
                <c:pt idx="1">
                  <c:v>31</c:v>
                </c:pt>
                <c:pt idx="2">
                  <c:v>102</c:v>
                </c:pt>
                <c:pt idx="3">
                  <c:v>138</c:v>
                </c:pt>
                <c:pt idx="4">
                  <c:v>216</c:v>
                </c:pt>
                <c:pt idx="5">
                  <c:v>252</c:v>
                </c:pt>
                <c:pt idx="6">
                  <c:v>270</c:v>
                </c:pt>
                <c:pt idx="7">
                  <c:v>295</c:v>
                </c:pt>
                <c:pt idx="8">
                  <c:v>320</c:v>
                </c:pt>
                <c:pt idx="9">
                  <c:v>359</c:v>
                </c:pt>
                <c:pt idx="10">
                  <c:v>411</c:v>
                </c:pt>
                <c:pt idx="11">
                  <c:v>442</c:v>
                </c:pt>
                <c:pt idx="12">
                  <c:v>458</c:v>
                </c:pt>
                <c:pt idx="13">
                  <c:v>472</c:v>
                </c:pt>
                <c:pt idx="14">
                  <c:v>482</c:v>
                </c:pt>
                <c:pt idx="15">
                  <c:v>495</c:v>
                </c:pt>
                <c:pt idx="16">
                  <c:v>490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FB3-483D-BE6B-9E21052C5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Blad1!$AGX$1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Blad1!$AGX$2:$AGX$26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51</c:v>
                </c:pt>
                <c:pt idx="3">
                  <c:v>68</c:v>
                </c:pt>
                <c:pt idx="4">
                  <c:v>121</c:v>
                </c:pt>
                <c:pt idx="5">
                  <c:v>221</c:v>
                </c:pt>
                <c:pt idx="6">
                  <c:v>239</c:v>
                </c:pt>
                <c:pt idx="7">
                  <c:v>265</c:v>
                </c:pt>
                <c:pt idx="8">
                  <c:v>289</c:v>
                </c:pt>
                <c:pt idx="9">
                  <c:v>295</c:v>
                </c:pt>
                <c:pt idx="10">
                  <c:v>301</c:v>
                </c:pt>
                <c:pt idx="11">
                  <c:v>309</c:v>
                </c:pt>
                <c:pt idx="12">
                  <c:v>318</c:v>
                </c:pt>
                <c:pt idx="13">
                  <c:v>328</c:v>
                </c:pt>
                <c:pt idx="14">
                  <c:v>336</c:v>
                </c:pt>
                <c:pt idx="15">
                  <c:v>343</c:v>
                </c:pt>
                <c:pt idx="16">
                  <c:v>366</c:v>
                </c:pt>
                <c:pt idx="17">
                  <c:v>385</c:v>
                </c:pt>
                <c:pt idx="18">
                  <c:v>390</c:v>
                </c:pt>
                <c:pt idx="19">
                  <c:v>407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E7A-4D35-8FDC-D329E1DEC29B}"/>
            </c:ext>
          </c:extLst>
        </c:ser>
        <c:ser>
          <c:idx val="1"/>
          <c:order val="1"/>
          <c:tx>
            <c:strRef>
              <c:f>Blad1!$AHD$1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Blad1!$AHD$2:$AHD$26</c:f>
              <c:numCache>
                <c:formatCode>General</c:formatCode>
                <c:ptCount val="25"/>
                <c:pt idx="0">
                  <c:v>0</c:v>
                </c:pt>
                <c:pt idx="1">
                  <c:v>26</c:v>
                </c:pt>
                <c:pt idx="2">
                  <c:v>70</c:v>
                </c:pt>
                <c:pt idx="3">
                  <c:v>99</c:v>
                </c:pt>
                <c:pt idx="4">
                  <c:v>156</c:v>
                </c:pt>
                <c:pt idx="5">
                  <c:v>188</c:v>
                </c:pt>
                <c:pt idx="6">
                  <c:v>219</c:v>
                </c:pt>
                <c:pt idx="7">
                  <c:v>244</c:v>
                </c:pt>
                <c:pt idx="8">
                  <c:v>278</c:v>
                </c:pt>
                <c:pt idx="9">
                  <c:v>311</c:v>
                </c:pt>
                <c:pt idx="10">
                  <c:v>343</c:v>
                </c:pt>
                <c:pt idx="11">
                  <c:v>376</c:v>
                </c:pt>
                <c:pt idx="12">
                  <c:v>405</c:v>
                </c:pt>
                <c:pt idx="13">
                  <c:v>426</c:v>
                </c:pt>
                <c:pt idx="14">
                  <c:v>446</c:v>
                </c:pt>
                <c:pt idx="15">
                  <c:v>470</c:v>
                </c:pt>
                <c:pt idx="16">
                  <c:v>489</c:v>
                </c:pt>
                <c:pt idx="17">
                  <c:v>501</c:v>
                </c:pt>
                <c:pt idx="18">
                  <c:v>508</c:v>
                </c:pt>
                <c:pt idx="19">
                  <c:v>498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E7A-4D35-8FDC-D329E1DEC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Blad1!$AHJ$1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Blad1!$AHJ$2:$AHJ$26</c:f>
              <c:numCache>
                <c:formatCode>General</c:formatCode>
                <c:ptCount val="25"/>
                <c:pt idx="0">
                  <c:v>0</c:v>
                </c:pt>
                <c:pt idx="1">
                  <c:v>11</c:v>
                </c:pt>
                <c:pt idx="2">
                  <c:v>43</c:v>
                </c:pt>
                <c:pt idx="3">
                  <c:v>64</c:v>
                </c:pt>
                <c:pt idx="4">
                  <c:v>82</c:v>
                </c:pt>
                <c:pt idx="5">
                  <c:v>132</c:v>
                </c:pt>
                <c:pt idx="6">
                  <c:v>173</c:v>
                </c:pt>
                <c:pt idx="7">
                  <c:v>200</c:v>
                </c:pt>
                <c:pt idx="8">
                  <c:v>224</c:v>
                </c:pt>
                <c:pt idx="9">
                  <c:v>257</c:v>
                </c:pt>
                <c:pt idx="10">
                  <c:v>283</c:v>
                </c:pt>
                <c:pt idx="11">
                  <c:v>317</c:v>
                </c:pt>
                <c:pt idx="12">
                  <c:v>357</c:v>
                </c:pt>
                <c:pt idx="13">
                  <c:v>388</c:v>
                </c:pt>
                <c:pt idx="14">
                  <c:v>409</c:v>
                </c:pt>
                <c:pt idx="15">
                  <c:v>419</c:v>
                </c:pt>
                <c:pt idx="16">
                  <c:v>409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549-49CD-BD2B-470EB45A0F33}"/>
            </c:ext>
          </c:extLst>
        </c:ser>
        <c:ser>
          <c:idx val="1"/>
          <c:order val="1"/>
          <c:tx>
            <c:strRef>
              <c:f>Blad1!$AHP$1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Blad1!$AHP$2:$AHP$26</c:f>
              <c:numCache>
                <c:formatCode>General</c:formatCode>
                <c:ptCount val="25"/>
                <c:pt idx="0">
                  <c:v>0</c:v>
                </c:pt>
                <c:pt idx="1">
                  <c:v>20</c:v>
                </c:pt>
                <c:pt idx="2">
                  <c:v>45</c:v>
                </c:pt>
                <c:pt idx="3">
                  <c:v>106</c:v>
                </c:pt>
                <c:pt idx="4">
                  <c:v>184</c:v>
                </c:pt>
                <c:pt idx="5">
                  <c:v>227</c:v>
                </c:pt>
                <c:pt idx="6">
                  <c:v>263</c:v>
                </c:pt>
                <c:pt idx="7">
                  <c:v>300</c:v>
                </c:pt>
                <c:pt idx="8">
                  <c:v>318</c:v>
                </c:pt>
                <c:pt idx="9">
                  <c:v>334</c:v>
                </c:pt>
                <c:pt idx="10">
                  <c:v>347</c:v>
                </c:pt>
                <c:pt idx="11">
                  <c:v>378</c:v>
                </c:pt>
                <c:pt idx="12">
                  <c:v>414</c:v>
                </c:pt>
                <c:pt idx="13">
                  <c:v>444</c:v>
                </c:pt>
                <c:pt idx="14">
                  <c:v>456</c:v>
                </c:pt>
                <c:pt idx="15">
                  <c:v>466</c:v>
                </c:pt>
                <c:pt idx="16">
                  <c:v>476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549-49CD-BD2B-470EB45A0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Blad1!$AHV$1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Blad1!$AHV$2:$AHV$26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68</c:v>
                </c:pt>
                <c:pt idx="3">
                  <c:v>98</c:v>
                </c:pt>
                <c:pt idx="4">
                  <c:v>130</c:v>
                </c:pt>
                <c:pt idx="5">
                  <c:v>162</c:v>
                </c:pt>
                <c:pt idx="6">
                  <c:v>188</c:v>
                </c:pt>
                <c:pt idx="7">
                  <c:v>219</c:v>
                </c:pt>
                <c:pt idx="8">
                  <c:v>291</c:v>
                </c:pt>
                <c:pt idx="9">
                  <c:v>320</c:v>
                </c:pt>
                <c:pt idx="10">
                  <c:v>359</c:v>
                </c:pt>
                <c:pt idx="11">
                  <c:v>387</c:v>
                </c:pt>
                <c:pt idx="12">
                  <c:v>403</c:v>
                </c:pt>
                <c:pt idx="13">
                  <c:v>480</c:v>
                </c:pt>
                <c:pt idx="14">
                  <c:v>507</c:v>
                </c:pt>
                <c:pt idx="15">
                  <c:v>516</c:v>
                </c:pt>
                <c:pt idx="16">
                  <c:v>515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F8-4C62-83F3-E8722A7D1B58}"/>
            </c:ext>
          </c:extLst>
        </c:ser>
        <c:ser>
          <c:idx val="1"/>
          <c:order val="1"/>
          <c:tx>
            <c:strRef>
              <c:f>Blad1!$AIB$1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Blad1!$AIB$2:$AIB$26</c:f>
              <c:numCache>
                <c:formatCode>General</c:formatCode>
                <c:ptCount val="25"/>
                <c:pt idx="0">
                  <c:v>0</c:v>
                </c:pt>
                <c:pt idx="1">
                  <c:v>30</c:v>
                </c:pt>
                <c:pt idx="2">
                  <c:v>75</c:v>
                </c:pt>
                <c:pt idx="3">
                  <c:v>93</c:v>
                </c:pt>
                <c:pt idx="4">
                  <c:v>121</c:v>
                </c:pt>
                <c:pt idx="5">
                  <c:v>148</c:v>
                </c:pt>
                <c:pt idx="6">
                  <c:v>186</c:v>
                </c:pt>
                <c:pt idx="7">
                  <c:v>201</c:v>
                </c:pt>
                <c:pt idx="8">
                  <c:v>219</c:v>
                </c:pt>
                <c:pt idx="9">
                  <c:v>240</c:v>
                </c:pt>
                <c:pt idx="10">
                  <c:v>265</c:v>
                </c:pt>
                <c:pt idx="11">
                  <c:v>289</c:v>
                </c:pt>
                <c:pt idx="12">
                  <c:v>312</c:v>
                </c:pt>
                <c:pt idx="13">
                  <c:v>384</c:v>
                </c:pt>
                <c:pt idx="14">
                  <c:v>422</c:v>
                </c:pt>
                <c:pt idx="15">
                  <c:v>455</c:v>
                </c:pt>
                <c:pt idx="16">
                  <c:v>456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CF8-4C62-83F3-E8722A7D1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Blad1!$AIH$1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Blad1!$AIH$2:$AIH$26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12</c:v>
                </c:pt>
                <c:pt idx="3">
                  <c:v>96</c:v>
                </c:pt>
                <c:pt idx="4">
                  <c:v>168</c:v>
                </c:pt>
                <c:pt idx="5">
                  <c:v>204</c:v>
                </c:pt>
                <c:pt idx="6">
                  <c:v>277</c:v>
                </c:pt>
                <c:pt idx="7">
                  <c:v>297</c:v>
                </c:pt>
                <c:pt idx="8">
                  <c:v>375</c:v>
                </c:pt>
                <c:pt idx="9">
                  <c:v>391</c:v>
                </c:pt>
                <c:pt idx="10">
                  <c:v>452</c:v>
                </c:pt>
                <c:pt idx="11">
                  <c:v>466</c:v>
                </c:pt>
                <c:pt idx="12">
                  <c:v>547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9C-4DA3-BEA9-EBA79E9A38EA}"/>
            </c:ext>
          </c:extLst>
        </c:ser>
        <c:ser>
          <c:idx val="1"/>
          <c:order val="1"/>
          <c:tx>
            <c:strRef>
              <c:f>Blad1!$AIN$1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Blad1!$AIN$2:$AIN$26</c:f>
              <c:numCache>
                <c:formatCode>General</c:formatCode>
                <c:ptCount val="25"/>
                <c:pt idx="0">
                  <c:v>0</c:v>
                </c:pt>
                <c:pt idx="1">
                  <c:v>11</c:v>
                </c:pt>
                <c:pt idx="2">
                  <c:v>45</c:v>
                </c:pt>
                <c:pt idx="3">
                  <c:v>74</c:v>
                </c:pt>
                <c:pt idx="4">
                  <c:v>115</c:v>
                </c:pt>
                <c:pt idx="5">
                  <c:v>160</c:v>
                </c:pt>
                <c:pt idx="6">
                  <c:v>199</c:v>
                </c:pt>
                <c:pt idx="7">
                  <c:v>247</c:v>
                </c:pt>
                <c:pt idx="8">
                  <c:v>283</c:v>
                </c:pt>
                <c:pt idx="9">
                  <c:v>319</c:v>
                </c:pt>
                <c:pt idx="10">
                  <c:v>358</c:v>
                </c:pt>
                <c:pt idx="11">
                  <c:v>419</c:v>
                </c:pt>
                <c:pt idx="12">
                  <c:v>397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89C-4DA3-BEA9-EBA79E9A3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Blad1!$AIT$1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Blad1!$AIT$2:$AIT$26</c:f>
              <c:numCache>
                <c:formatCode>General</c:formatCode>
                <c:ptCount val="25"/>
                <c:pt idx="0">
                  <c:v>0</c:v>
                </c:pt>
                <c:pt idx="1">
                  <c:v>14</c:v>
                </c:pt>
                <c:pt idx="2">
                  <c:v>48</c:v>
                </c:pt>
                <c:pt idx="3">
                  <c:v>105</c:v>
                </c:pt>
                <c:pt idx="4">
                  <c:v>222</c:v>
                </c:pt>
                <c:pt idx="5">
                  <c:v>252</c:v>
                </c:pt>
                <c:pt idx="6">
                  <c:v>275</c:v>
                </c:pt>
                <c:pt idx="7">
                  <c:v>307</c:v>
                </c:pt>
                <c:pt idx="8">
                  <c:v>392</c:v>
                </c:pt>
                <c:pt idx="9">
                  <c:v>424</c:v>
                </c:pt>
                <c:pt idx="10">
                  <c:v>448</c:v>
                </c:pt>
                <c:pt idx="11">
                  <c:v>469</c:v>
                </c:pt>
                <c:pt idx="12">
                  <c:v>541</c:v>
                </c:pt>
                <c:pt idx="13">
                  <c:v>559</c:v>
                </c:pt>
                <c:pt idx="14">
                  <c:v>549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E07-4DE1-ADC7-173F3F5A7CD0}"/>
            </c:ext>
          </c:extLst>
        </c:ser>
        <c:ser>
          <c:idx val="1"/>
          <c:order val="1"/>
          <c:tx>
            <c:strRef>
              <c:f>Blad1!$AIZ$1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Blad1!$AIZ$2:$AIZ$26</c:f>
              <c:numCache>
                <c:formatCode>General</c:formatCode>
                <c:ptCount val="25"/>
                <c:pt idx="0">
                  <c:v>0</c:v>
                </c:pt>
                <c:pt idx="1">
                  <c:v>25</c:v>
                </c:pt>
                <c:pt idx="2">
                  <c:v>79</c:v>
                </c:pt>
                <c:pt idx="3">
                  <c:v>116</c:v>
                </c:pt>
                <c:pt idx="4">
                  <c:v>142</c:v>
                </c:pt>
                <c:pt idx="5">
                  <c:v>183</c:v>
                </c:pt>
                <c:pt idx="6">
                  <c:v>219</c:v>
                </c:pt>
                <c:pt idx="7">
                  <c:v>239</c:v>
                </c:pt>
                <c:pt idx="8">
                  <c:v>261</c:v>
                </c:pt>
                <c:pt idx="9">
                  <c:v>315</c:v>
                </c:pt>
                <c:pt idx="10">
                  <c:v>341</c:v>
                </c:pt>
                <c:pt idx="11">
                  <c:v>371</c:v>
                </c:pt>
                <c:pt idx="12">
                  <c:v>399</c:v>
                </c:pt>
                <c:pt idx="13">
                  <c:v>420</c:v>
                </c:pt>
                <c:pt idx="14">
                  <c:v>430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E07-4DE1-ADC7-173F3F5A7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Blad1!$AJF$1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Blad1!$AJF$2:$AJF$26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24</c:v>
                </c:pt>
                <c:pt idx="3">
                  <c:v>39</c:v>
                </c:pt>
                <c:pt idx="4">
                  <c:v>108</c:v>
                </c:pt>
                <c:pt idx="5">
                  <c:v>147</c:v>
                </c:pt>
                <c:pt idx="6">
                  <c:v>192</c:v>
                </c:pt>
                <c:pt idx="7">
                  <c:v>214</c:v>
                </c:pt>
                <c:pt idx="8">
                  <c:v>236</c:v>
                </c:pt>
                <c:pt idx="9">
                  <c:v>266</c:v>
                </c:pt>
                <c:pt idx="10">
                  <c:v>287</c:v>
                </c:pt>
                <c:pt idx="11">
                  <c:v>310</c:v>
                </c:pt>
                <c:pt idx="12">
                  <c:v>325</c:v>
                </c:pt>
                <c:pt idx="13">
                  <c:v>341</c:v>
                </c:pt>
                <c:pt idx="14">
                  <c:v>381</c:v>
                </c:pt>
                <c:pt idx="15">
                  <c:v>397</c:v>
                </c:pt>
                <c:pt idx="16">
                  <c:v>415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DCE-44F5-B748-45335B31CD36}"/>
            </c:ext>
          </c:extLst>
        </c:ser>
        <c:ser>
          <c:idx val="1"/>
          <c:order val="1"/>
          <c:tx>
            <c:strRef>
              <c:f>Blad1!$AJL$1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Blad1!$AJL$2:$AJL$26</c:f>
              <c:numCache>
                <c:formatCode>General</c:formatCode>
                <c:ptCount val="25"/>
                <c:pt idx="0">
                  <c:v>0</c:v>
                </c:pt>
                <c:pt idx="1">
                  <c:v>28</c:v>
                </c:pt>
                <c:pt idx="2">
                  <c:v>68</c:v>
                </c:pt>
                <c:pt idx="3">
                  <c:v>92</c:v>
                </c:pt>
                <c:pt idx="4">
                  <c:v>111</c:v>
                </c:pt>
                <c:pt idx="5">
                  <c:v>138</c:v>
                </c:pt>
                <c:pt idx="6">
                  <c:v>157</c:v>
                </c:pt>
                <c:pt idx="7">
                  <c:v>197</c:v>
                </c:pt>
                <c:pt idx="8">
                  <c:v>232</c:v>
                </c:pt>
                <c:pt idx="9">
                  <c:v>292</c:v>
                </c:pt>
                <c:pt idx="10">
                  <c:v>334</c:v>
                </c:pt>
                <c:pt idx="11">
                  <c:v>374</c:v>
                </c:pt>
                <c:pt idx="12">
                  <c:v>408</c:v>
                </c:pt>
                <c:pt idx="13">
                  <c:v>427</c:v>
                </c:pt>
                <c:pt idx="14">
                  <c:v>441</c:v>
                </c:pt>
                <c:pt idx="15">
                  <c:v>455</c:v>
                </c:pt>
                <c:pt idx="16">
                  <c:v>449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DCE-44F5-B748-45335B3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Blad1!$AJR$1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Blad1!$AJR$2:$AJR$26</c:f>
              <c:numCache>
                <c:formatCode>General</c:formatCode>
                <c:ptCount val="25"/>
                <c:pt idx="0">
                  <c:v>0</c:v>
                </c:pt>
                <c:pt idx="1">
                  <c:v>72</c:v>
                </c:pt>
                <c:pt idx="2">
                  <c:v>99</c:v>
                </c:pt>
                <c:pt idx="3">
                  <c:v>183</c:v>
                </c:pt>
                <c:pt idx="4">
                  <c:v>265</c:v>
                </c:pt>
                <c:pt idx="5">
                  <c:v>320</c:v>
                </c:pt>
                <c:pt idx="6">
                  <c:v>356</c:v>
                </c:pt>
                <c:pt idx="7">
                  <c:v>391</c:v>
                </c:pt>
                <c:pt idx="8">
                  <c:v>425</c:v>
                </c:pt>
                <c:pt idx="9">
                  <c:v>449</c:v>
                </c:pt>
                <c:pt idx="10">
                  <c:v>469</c:v>
                </c:pt>
                <c:pt idx="11">
                  <c:v>479</c:v>
                </c:pt>
                <c:pt idx="12">
                  <c:v>512</c:v>
                </c:pt>
                <c:pt idx="13">
                  <c:v>506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AC4-47B5-B981-F6DD48FCE715}"/>
            </c:ext>
          </c:extLst>
        </c:ser>
        <c:ser>
          <c:idx val="1"/>
          <c:order val="1"/>
          <c:tx>
            <c:strRef>
              <c:f>Blad1!$AJX$1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Blad1!$AJX$2:$AJX$26</c:f>
              <c:numCache>
                <c:formatCode>General</c:formatCode>
                <c:ptCount val="25"/>
                <c:pt idx="0">
                  <c:v>0</c:v>
                </c:pt>
                <c:pt idx="1">
                  <c:v>100</c:v>
                </c:pt>
                <c:pt idx="2">
                  <c:v>168</c:v>
                </c:pt>
                <c:pt idx="3">
                  <c:v>216</c:v>
                </c:pt>
                <c:pt idx="4">
                  <c:v>245</c:v>
                </c:pt>
                <c:pt idx="5">
                  <c:v>297</c:v>
                </c:pt>
                <c:pt idx="6">
                  <c:v>329</c:v>
                </c:pt>
                <c:pt idx="7">
                  <c:v>354</c:v>
                </c:pt>
                <c:pt idx="8">
                  <c:v>375</c:v>
                </c:pt>
                <c:pt idx="9">
                  <c:v>403</c:v>
                </c:pt>
                <c:pt idx="10">
                  <c:v>483</c:v>
                </c:pt>
                <c:pt idx="11">
                  <c:v>573</c:v>
                </c:pt>
                <c:pt idx="12">
                  <c:v>583</c:v>
                </c:pt>
                <c:pt idx="13">
                  <c:v>589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AC4-47B5-B981-F6DD48FCE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Blad1!$AKD$1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Blad1!$AKD$2:$AKD$26</c:f>
              <c:numCache>
                <c:formatCode>General</c:formatCode>
                <c:ptCount val="25"/>
                <c:pt idx="0">
                  <c:v>0</c:v>
                </c:pt>
                <c:pt idx="1">
                  <c:v>10</c:v>
                </c:pt>
                <c:pt idx="2">
                  <c:v>46</c:v>
                </c:pt>
                <c:pt idx="3">
                  <c:v>199</c:v>
                </c:pt>
                <c:pt idx="4">
                  <c:v>222</c:v>
                </c:pt>
                <c:pt idx="5">
                  <c:v>233</c:v>
                </c:pt>
                <c:pt idx="6">
                  <c:v>305</c:v>
                </c:pt>
                <c:pt idx="7">
                  <c:v>344</c:v>
                </c:pt>
                <c:pt idx="8">
                  <c:v>375</c:v>
                </c:pt>
                <c:pt idx="9">
                  <c:v>417</c:v>
                </c:pt>
                <c:pt idx="10">
                  <c:v>435</c:v>
                </c:pt>
                <c:pt idx="11">
                  <c:v>448</c:v>
                </c:pt>
                <c:pt idx="12">
                  <c:v>474</c:v>
                </c:pt>
                <c:pt idx="13">
                  <c:v>509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9E-467F-AA7C-F3909FB1128D}"/>
            </c:ext>
          </c:extLst>
        </c:ser>
        <c:ser>
          <c:idx val="1"/>
          <c:order val="1"/>
          <c:tx>
            <c:strRef>
              <c:f>Blad1!$AKJ$1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Blad1!$AKJ$2:$AKJ$26</c:f>
              <c:numCache>
                <c:formatCode>General</c:formatCode>
                <c:ptCount val="25"/>
                <c:pt idx="0">
                  <c:v>0</c:v>
                </c:pt>
                <c:pt idx="1">
                  <c:v>27</c:v>
                </c:pt>
                <c:pt idx="2">
                  <c:v>91</c:v>
                </c:pt>
                <c:pt idx="3">
                  <c:v>125</c:v>
                </c:pt>
                <c:pt idx="4">
                  <c:v>158</c:v>
                </c:pt>
                <c:pt idx="5">
                  <c:v>202</c:v>
                </c:pt>
                <c:pt idx="6">
                  <c:v>272</c:v>
                </c:pt>
                <c:pt idx="7">
                  <c:v>349</c:v>
                </c:pt>
                <c:pt idx="8">
                  <c:v>404</c:v>
                </c:pt>
                <c:pt idx="9">
                  <c:v>465</c:v>
                </c:pt>
                <c:pt idx="10">
                  <c:v>537</c:v>
                </c:pt>
                <c:pt idx="11">
                  <c:v>565</c:v>
                </c:pt>
                <c:pt idx="12">
                  <c:v>589</c:v>
                </c:pt>
                <c:pt idx="13">
                  <c:v>579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9E-467F-AA7C-F3909FB11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Blad1!$AKP$1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Blad1!$AKP$2:$AKP$26</c:f>
              <c:numCache>
                <c:formatCode>General</c:formatCode>
                <c:ptCount val="25"/>
                <c:pt idx="0">
                  <c:v>0</c:v>
                </c:pt>
                <c:pt idx="1">
                  <c:v>11</c:v>
                </c:pt>
                <c:pt idx="2">
                  <c:v>83</c:v>
                </c:pt>
                <c:pt idx="3">
                  <c:v>146</c:v>
                </c:pt>
                <c:pt idx="4">
                  <c:v>180</c:v>
                </c:pt>
                <c:pt idx="5">
                  <c:v>209</c:v>
                </c:pt>
                <c:pt idx="6">
                  <c:v>244</c:v>
                </c:pt>
                <c:pt idx="7">
                  <c:v>263</c:v>
                </c:pt>
                <c:pt idx="8">
                  <c:v>303</c:v>
                </c:pt>
                <c:pt idx="9">
                  <c:v>339</c:v>
                </c:pt>
                <c:pt idx="10">
                  <c:v>373</c:v>
                </c:pt>
                <c:pt idx="11">
                  <c:v>421</c:v>
                </c:pt>
                <c:pt idx="12">
                  <c:v>437</c:v>
                </c:pt>
                <c:pt idx="13">
                  <c:v>426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9D7-421C-8879-1CBE29A10016}"/>
            </c:ext>
          </c:extLst>
        </c:ser>
        <c:ser>
          <c:idx val="1"/>
          <c:order val="1"/>
          <c:tx>
            <c:strRef>
              <c:f>Blad1!$AKV$1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Blad1!$AKV$2:$AKV$26</c:f>
              <c:numCache>
                <c:formatCode>General</c:formatCode>
                <c:ptCount val="25"/>
                <c:pt idx="0">
                  <c:v>0</c:v>
                </c:pt>
                <c:pt idx="1">
                  <c:v>28</c:v>
                </c:pt>
                <c:pt idx="2">
                  <c:v>68</c:v>
                </c:pt>
                <c:pt idx="3">
                  <c:v>122</c:v>
                </c:pt>
                <c:pt idx="4">
                  <c:v>156</c:v>
                </c:pt>
                <c:pt idx="5">
                  <c:v>191</c:v>
                </c:pt>
                <c:pt idx="6">
                  <c:v>216</c:v>
                </c:pt>
                <c:pt idx="7">
                  <c:v>245</c:v>
                </c:pt>
                <c:pt idx="8">
                  <c:v>291</c:v>
                </c:pt>
                <c:pt idx="9">
                  <c:v>330</c:v>
                </c:pt>
                <c:pt idx="10">
                  <c:v>418</c:v>
                </c:pt>
                <c:pt idx="11">
                  <c:v>457</c:v>
                </c:pt>
                <c:pt idx="12">
                  <c:v>466</c:v>
                </c:pt>
                <c:pt idx="13">
                  <c:v>477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9D7-421C-8879-1CBE29A10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Blad1!$ALB$1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Blad1!$ALB$2:$ALB$26</c:f>
              <c:numCache>
                <c:formatCode>General</c:formatCode>
                <c:ptCount val="25"/>
                <c:pt idx="0">
                  <c:v>0</c:v>
                </c:pt>
                <c:pt idx="1">
                  <c:v>7</c:v>
                </c:pt>
                <c:pt idx="2">
                  <c:v>91</c:v>
                </c:pt>
                <c:pt idx="3">
                  <c:v>162</c:v>
                </c:pt>
                <c:pt idx="4">
                  <c:v>203</c:v>
                </c:pt>
                <c:pt idx="5">
                  <c:v>231</c:v>
                </c:pt>
                <c:pt idx="6">
                  <c:v>284</c:v>
                </c:pt>
                <c:pt idx="7">
                  <c:v>368</c:v>
                </c:pt>
                <c:pt idx="8">
                  <c:v>401</c:v>
                </c:pt>
                <c:pt idx="9">
                  <c:v>432</c:v>
                </c:pt>
                <c:pt idx="10">
                  <c:v>459</c:v>
                </c:pt>
                <c:pt idx="11">
                  <c:v>474</c:v>
                </c:pt>
                <c:pt idx="12">
                  <c:v>499</c:v>
                </c:pt>
                <c:pt idx="13">
                  <c:v>521</c:v>
                </c:pt>
                <c:pt idx="14">
                  <c:v>531</c:v>
                </c:pt>
                <c:pt idx="15">
                  <c:v>537</c:v>
                </c:pt>
                <c:pt idx="16">
                  <c:v>543</c:v>
                </c:pt>
                <c:pt idx="17">
                  <c:v>543</c:v>
                </c:pt>
                <c:pt idx="18">
                  <c:v>539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AE7-4BD9-9EBC-1C3883A8F4E2}"/>
            </c:ext>
          </c:extLst>
        </c:ser>
        <c:ser>
          <c:idx val="1"/>
          <c:order val="1"/>
          <c:tx>
            <c:strRef>
              <c:f>Blad1!$ALH$1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Blad1!$ALH$2:$ALH$26</c:f>
              <c:numCache>
                <c:formatCode>General</c:formatCode>
                <c:ptCount val="25"/>
                <c:pt idx="0">
                  <c:v>0</c:v>
                </c:pt>
                <c:pt idx="1">
                  <c:v>37</c:v>
                </c:pt>
                <c:pt idx="2">
                  <c:v>106</c:v>
                </c:pt>
                <c:pt idx="3">
                  <c:v>136</c:v>
                </c:pt>
                <c:pt idx="4">
                  <c:v>168</c:v>
                </c:pt>
                <c:pt idx="5">
                  <c:v>209</c:v>
                </c:pt>
                <c:pt idx="6">
                  <c:v>241</c:v>
                </c:pt>
                <c:pt idx="7">
                  <c:v>274</c:v>
                </c:pt>
                <c:pt idx="8">
                  <c:v>304</c:v>
                </c:pt>
                <c:pt idx="9">
                  <c:v>330</c:v>
                </c:pt>
                <c:pt idx="10">
                  <c:v>345</c:v>
                </c:pt>
                <c:pt idx="11">
                  <c:v>357</c:v>
                </c:pt>
                <c:pt idx="12">
                  <c:v>380</c:v>
                </c:pt>
                <c:pt idx="13">
                  <c:v>406</c:v>
                </c:pt>
                <c:pt idx="14">
                  <c:v>426</c:v>
                </c:pt>
                <c:pt idx="15">
                  <c:v>439</c:v>
                </c:pt>
                <c:pt idx="16">
                  <c:v>439</c:v>
                </c:pt>
                <c:pt idx="17">
                  <c:v>439</c:v>
                </c:pt>
                <c:pt idx="18">
                  <c:v>429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AE7-4BD9-9EBC-1C3883A8F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Blad1!$ALN$1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Blad1!$ALN$2:$ALN$26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13</c:v>
                </c:pt>
                <c:pt idx="3">
                  <c:v>19</c:v>
                </c:pt>
                <c:pt idx="4">
                  <c:v>112</c:v>
                </c:pt>
                <c:pt idx="5">
                  <c:v>196</c:v>
                </c:pt>
                <c:pt idx="6">
                  <c:v>223</c:v>
                </c:pt>
                <c:pt idx="7">
                  <c:v>261</c:v>
                </c:pt>
                <c:pt idx="8">
                  <c:v>283</c:v>
                </c:pt>
                <c:pt idx="9">
                  <c:v>304</c:v>
                </c:pt>
                <c:pt idx="10">
                  <c:v>330</c:v>
                </c:pt>
                <c:pt idx="11">
                  <c:v>339</c:v>
                </c:pt>
                <c:pt idx="12">
                  <c:v>464</c:v>
                </c:pt>
                <c:pt idx="13">
                  <c:v>558</c:v>
                </c:pt>
                <c:pt idx="14">
                  <c:v>587</c:v>
                </c:pt>
                <c:pt idx="15">
                  <c:v>653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E5-4CC2-B98C-83E46313387B}"/>
            </c:ext>
          </c:extLst>
        </c:ser>
        <c:ser>
          <c:idx val="1"/>
          <c:order val="1"/>
          <c:tx>
            <c:strRef>
              <c:f>Blad1!$ALT$1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Blad1!$ALT$2:$ALT$26</c:f>
              <c:numCache>
                <c:formatCode>General</c:formatCode>
                <c:ptCount val="25"/>
                <c:pt idx="0">
                  <c:v>0</c:v>
                </c:pt>
                <c:pt idx="1">
                  <c:v>10</c:v>
                </c:pt>
                <c:pt idx="2">
                  <c:v>27</c:v>
                </c:pt>
                <c:pt idx="3">
                  <c:v>38</c:v>
                </c:pt>
                <c:pt idx="4">
                  <c:v>59</c:v>
                </c:pt>
                <c:pt idx="5">
                  <c:v>89</c:v>
                </c:pt>
                <c:pt idx="6">
                  <c:v>133</c:v>
                </c:pt>
                <c:pt idx="7">
                  <c:v>167</c:v>
                </c:pt>
                <c:pt idx="8">
                  <c:v>192</c:v>
                </c:pt>
                <c:pt idx="9">
                  <c:v>213</c:v>
                </c:pt>
                <c:pt idx="10">
                  <c:v>231</c:v>
                </c:pt>
                <c:pt idx="11">
                  <c:v>261</c:v>
                </c:pt>
                <c:pt idx="12">
                  <c:v>299</c:v>
                </c:pt>
                <c:pt idx="13">
                  <c:v>332</c:v>
                </c:pt>
                <c:pt idx="14">
                  <c:v>375</c:v>
                </c:pt>
                <c:pt idx="15">
                  <c:v>369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CE5-4CC2-B98C-83E463133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Blad1!$ALZ$1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Blad1!$ALZ$2:$ALZ$26</c:f>
              <c:numCache>
                <c:formatCode>General</c:formatCode>
                <c:ptCount val="25"/>
                <c:pt idx="0">
                  <c:v>0</c:v>
                </c:pt>
                <c:pt idx="1">
                  <c:v>13</c:v>
                </c:pt>
                <c:pt idx="2">
                  <c:v>45</c:v>
                </c:pt>
                <c:pt idx="3">
                  <c:v>124</c:v>
                </c:pt>
                <c:pt idx="4">
                  <c:v>175</c:v>
                </c:pt>
                <c:pt idx="5">
                  <c:v>208</c:v>
                </c:pt>
                <c:pt idx="6">
                  <c:v>240</c:v>
                </c:pt>
                <c:pt idx="7">
                  <c:v>264</c:v>
                </c:pt>
                <c:pt idx="8">
                  <c:v>290</c:v>
                </c:pt>
                <c:pt idx="9">
                  <c:v>350</c:v>
                </c:pt>
                <c:pt idx="10">
                  <c:v>363</c:v>
                </c:pt>
                <c:pt idx="11">
                  <c:v>372</c:v>
                </c:pt>
                <c:pt idx="12">
                  <c:v>385</c:v>
                </c:pt>
                <c:pt idx="13">
                  <c:v>396</c:v>
                </c:pt>
                <c:pt idx="14">
                  <c:v>416</c:v>
                </c:pt>
                <c:pt idx="15">
                  <c:v>438</c:v>
                </c:pt>
                <c:pt idx="16">
                  <c:v>449</c:v>
                </c:pt>
                <c:pt idx="17">
                  <c:v>456</c:v>
                </c:pt>
                <c:pt idx="18">
                  <c:v>456</c:v>
                </c:pt>
                <c:pt idx="19">
                  <c:v>453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45-4AFF-B179-05447762BB1B}"/>
            </c:ext>
          </c:extLst>
        </c:ser>
        <c:ser>
          <c:idx val="1"/>
          <c:order val="1"/>
          <c:tx>
            <c:strRef>
              <c:f>Blad1!$AMF$1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Blad1!$AMF$2:$AMF$26</c:f>
              <c:numCache>
                <c:formatCode>General</c:formatCode>
                <c:ptCount val="25"/>
                <c:pt idx="0">
                  <c:v>0</c:v>
                </c:pt>
                <c:pt idx="1">
                  <c:v>26</c:v>
                </c:pt>
                <c:pt idx="2">
                  <c:v>62</c:v>
                </c:pt>
                <c:pt idx="3">
                  <c:v>97</c:v>
                </c:pt>
                <c:pt idx="4">
                  <c:v>143</c:v>
                </c:pt>
                <c:pt idx="5">
                  <c:v>184</c:v>
                </c:pt>
                <c:pt idx="6">
                  <c:v>212</c:v>
                </c:pt>
                <c:pt idx="7">
                  <c:v>235</c:v>
                </c:pt>
                <c:pt idx="8">
                  <c:v>279</c:v>
                </c:pt>
                <c:pt idx="9">
                  <c:v>339</c:v>
                </c:pt>
                <c:pt idx="10">
                  <c:v>384</c:v>
                </c:pt>
                <c:pt idx="11">
                  <c:v>403</c:v>
                </c:pt>
                <c:pt idx="12">
                  <c:v>419</c:v>
                </c:pt>
                <c:pt idx="13">
                  <c:v>433</c:v>
                </c:pt>
                <c:pt idx="14">
                  <c:v>449</c:v>
                </c:pt>
                <c:pt idx="15">
                  <c:v>459</c:v>
                </c:pt>
                <c:pt idx="16">
                  <c:v>467</c:v>
                </c:pt>
                <c:pt idx="17">
                  <c:v>469</c:v>
                </c:pt>
                <c:pt idx="18">
                  <c:v>469</c:v>
                </c:pt>
                <c:pt idx="19">
                  <c:v>465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D45-4AFF-B179-05447762B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Blad1!$AML$1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Blad1!$AML$2:$AML$26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154</c:v>
                </c:pt>
                <c:pt idx="3">
                  <c:v>173</c:v>
                </c:pt>
                <c:pt idx="4">
                  <c:v>303</c:v>
                </c:pt>
                <c:pt idx="5">
                  <c:v>367</c:v>
                </c:pt>
                <c:pt idx="6">
                  <c:v>390</c:v>
                </c:pt>
                <c:pt idx="7">
                  <c:v>426</c:v>
                </c:pt>
                <c:pt idx="8">
                  <c:v>457</c:v>
                </c:pt>
                <c:pt idx="9">
                  <c:v>481</c:v>
                </c:pt>
                <c:pt idx="10">
                  <c:v>496</c:v>
                </c:pt>
                <c:pt idx="11">
                  <c:v>510</c:v>
                </c:pt>
                <c:pt idx="12">
                  <c:v>530</c:v>
                </c:pt>
                <c:pt idx="13">
                  <c:v>537</c:v>
                </c:pt>
                <c:pt idx="14">
                  <c:v>544</c:v>
                </c:pt>
                <c:pt idx="15">
                  <c:v>531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E75-4C07-8A56-BF205CAEE3A8}"/>
            </c:ext>
          </c:extLst>
        </c:ser>
        <c:ser>
          <c:idx val="1"/>
          <c:order val="1"/>
          <c:tx>
            <c:strRef>
              <c:f>Blad1!$AMR$1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Blad1!$AMR$2:$AMR$26</c:f>
              <c:numCache>
                <c:formatCode>General</c:formatCode>
                <c:ptCount val="25"/>
                <c:pt idx="0">
                  <c:v>0</c:v>
                </c:pt>
                <c:pt idx="1">
                  <c:v>70</c:v>
                </c:pt>
                <c:pt idx="2">
                  <c:v>124</c:v>
                </c:pt>
                <c:pt idx="3">
                  <c:v>156</c:v>
                </c:pt>
                <c:pt idx="4">
                  <c:v>194</c:v>
                </c:pt>
                <c:pt idx="5">
                  <c:v>239</c:v>
                </c:pt>
                <c:pt idx="6">
                  <c:v>287</c:v>
                </c:pt>
                <c:pt idx="7">
                  <c:v>320</c:v>
                </c:pt>
                <c:pt idx="8">
                  <c:v>357</c:v>
                </c:pt>
                <c:pt idx="9">
                  <c:v>389</c:v>
                </c:pt>
                <c:pt idx="10">
                  <c:v>419</c:v>
                </c:pt>
                <c:pt idx="11">
                  <c:v>495</c:v>
                </c:pt>
                <c:pt idx="12">
                  <c:v>523</c:v>
                </c:pt>
                <c:pt idx="13">
                  <c:v>542</c:v>
                </c:pt>
                <c:pt idx="14">
                  <c:v>549</c:v>
                </c:pt>
                <c:pt idx="15">
                  <c:v>562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E75-4C07-8A56-BF205CAEE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Blad1!$AMX$1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Blad1!$AMX$2:$AMX$26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124</c:v>
                </c:pt>
                <c:pt idx="3">
                  <c:v>166</c:v>
                </c:pt>
                <c:pt idx="4">
                  <c:v>234</c:v>
                </c:pt>
                <c:pt idx="5">
                  <c:v>279</c:v>
                </c:pt>
                <c:pt idx="6">
                  <c:v>300</c:v>
                </c:pt>
                <c:pt idx="7">
                  <c:v>360</c:v>
                </c:pt>
                <c:pt idx="8">
                  <c:v>430</c:v>
                </c:pt>
                <c:pt idx="9">
                  <c:v>452</c:v>
                </c:pt>
                <c:pt idx="10">
                  <c:v>528</c:v>
                </c:pt>
                <c:pt idx="11">
                  <c:v>564</c:v>
                </c:pt>
                <c:pt idx="12">
                  <c:v>590</c:v>
                </c:pt>
                <c:pt idx="13">
                  <c:v>604</c:v>
                </c:pt>
                <c:pt idx="14">
                  <c:v>617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88B-4A68-AFF5-9ABC8C6D44F6}"/>
            </c:ext>
          </c:extLst>
        </c:ser>
        <c:ser>
          <c:idx val="1"/>
          <c:order val="1"/>
          <c:tx>
            <c:strRef>
              <c:f>Blad1!$AND$1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Blad1!$AND$2:$AND$26</c:f>
              <c:numCache>
                <c:formatCode>General</c:formatCode>
                <c:ptCount val="25"/>
                <c:pt idx="0">
                  <c:v>0</c:v>
                </c:pt>
                <c:pt idx="1">
                  <c:v>26</c:v>
                </c:pt>
                <c:pt idx="2">
                  <c:v>68</c:v>
                </c:pt>
                <c:pt idx="3">
                  <c:v>109</c:v>
                </c:pt>
                <c:pt idx="4">
                  <c:v>141</c:v>
                </c:pt>
                <c:pt idx="5">
                  <c:v>174</c:v>
                </c:pt>
                <c:pt idx="6">
                  <c:v>202</c:v>
                </c:pt>
                <c:pt idx="7">
                  <c:v>254</c:v>
                </c:pt>
                <c:pt idx="8">
                  <c:v>311</c:v>
                </c:pt>
                <c:pt idx="9">
                  <c:v>342</c:v>
                </c:pt>
                <c:pt idx="10">
                  <c:v>366</c:v>
                </c:pt>
                <c:pt idx="11">
                  <c:v>396</c:v>
                </c:pt>
                <c:pt idx="12">
                  <c:v>441</c:v>
                </c:pt>
                <c:pt idx="13">
                  <c:v>453</c:v>
                </c:pt>
                <c:pt idx="14">
                  <c:v>451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88B-4A68-AFF5-9ABC8C6D4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Blad1!$ANJ$1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Blad1!$ANJ$2:$ANJ$26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30</c:v>
                </c:pt>
                <c:pt idx="3">
                  <c:v>54</c:v>
                </c:pt>
                <c:pt idx="4">
                  <c:v>77</c:v>
                </c:pt>
                <c:pt idx="5">
                  <c:v>161</c:v>
                </c:pt>
                <c:pt idx="6">
                  <c:v>264</c:v>
                </c:pt>
                <c:pt idx="7">
                  <c:v>351</c:v>
                </c:pt>
                <c:pt idx="8">
                  <c:v>390</c:v>
                </c:pt>
                <c:pt idx="9">
                  <c:v>451</c:v>
                </c:pt>
                <c:pt idx="10">
                  <c:v>484</c:v>
                </c:pt>
                <c:pt idx="11">
                  <c:v>514</c:v>
                </c:pt>
                <c:pt idx="12">
                  <c:v>534</c:v>
                </c:pt>
                <c:pt idx="13">
                  <c:v>552</c:v>
                </c:pt>
                <c:pt idx="14">
                  <c:v>565</c:v>
                </c:pt>
                <c:pt idx="15">
                  <c:v>548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9A-4C27-A3FB-8919AB25D28C}"/>
            </c:ext>
          </c:extLst>
        </c:ser>
        <c:ser>
          <c:idx val="1"/>
          <c:order val="1"/>
          <c:tx>
            <c:strRef>
              <c:f>Blad1!$ANP$1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Blad1!$ANP$2:$ANP$26</c:f>
              <c:numCache>
                <c:formatCode>General</c:formatCode>
                <c:ptCount val="25"/>
                <c:pt idx="0">
                  <c:v>0</c:v>
                </c:pt>
                <c:pt idx="1">
                  <c:v>22</c:v>
                </c:pt>
                <c:pt idx="2">
                  <c:v>47</c:v>
                </c:pt>
                <c:pt idx="3">
                  <c:v>71</c:v>
                </c:pt>
                <c:pt idx="4">
                  <c:v>131</c:v>
                </c:pt>
                <c:pt idx="5">
                  <c:v>169</c:v>
                </c:pt>
                <c:pt idx="6">
                  <c:v>198</c:v>
                </c:pt>
                <c:pt idx="7">
                  <c:v>230</c:v>
                </c:pt>
                <c:pt idx="8">
                  <c:v>262</c:v>
                </c:pt>
                <c:pt idx="9">
                  <c:v>298</c:v>
                </c:pt>
                <c:pt idx="10">
                  <c:v>316</c:v>
                </c:pt>
                <c:pt idx="11">
                  <c:v>339</c:v>
                </c:pt>
                <c:pt idx="12">
                  <c:v>364</c:v>
                </c:pt>
                <c:pt idx="13">
                  <c:v>390</c:v>
                </c:pt>
                <c:pt idx="14">
                  <c:v>407</c:v>
                </c:pt>
                <c:pt idx="15">
                  <c:v>424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9A-4C27-A3FB-8919AB25D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Blad1!$ANV$1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Blad1!$ANV$2:$ANV$26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32</c:v>
                </c:pt>
                <c:pt idx="3">
                  <c:v>69</c:v>
                </c:pt>
                <c:pt idx="4">
                  <c:v>147</c:v>
                </c:pt>
                <c:pt idx="5">
                  <c:v>177</c:v>
                </c:pt>
                <c:pt idx="6">
                  <c:v>229</c:v>
                </c:pt>
                <c:pt idx="7">
                  <c:v>284</c:v>
                </c:pt>
                <c:pt idx="8">
                  <c:v>312</c:v>
                </c:pt>
                <c:pt idx="9">
                  <c:v>343</c:v>
                </c:pt>
                <c:pt idx="10">
                  <c:v>374</c:v>
                </c:pt>
                <c:pt idx="11">
                  <c:v>384</c:v>
                </c:pt>
                <c:pt idx="12">
                  <c:v>399</c:v>
                </c:pt>
                <c:pt idx="13">
                  <c:v>421</c:v>
                </c:pt>
                <c:pt idx="14">
                  <c:v>428</c:v>
                </c:pt>
                <c:pt idx="15">
                  <c:v>442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3D-4BD0-8321-A9E2A21C899A}"/>
            </c:ext>
          </c:extLst>
        </c:ser>
        <c:ser>
          <c:idx val="1"/>
          <c:order val="1"/>
          <c:tx>
            <c:strRef>
              <c:f>Blad1!$AOB$1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Blad1!$AOB$2:$AOB$26</c:f>
              <c:numCache>
                <c:formatCode>General</c:formatCode>
                <c:ptCount val="25"/>
                <c:pt idx="0">
                  <c:v>0</c:v>
                </c:pt>
                <c:pt idx="1">
                  <c:v>28</c:v>
                </c:pt>
                <c:pt idx="2">
                  <c:v>74</c:v>
                </c:pt>
                <c:pt idx="3">
                  <c:v>103</c:v>
                </c:pt>
                <c:pt idx="4">
                  <c:v>139</c:v>
                </c:pt>
                <c:pt idx="5">
                  <c:v>197</c:v>
                </c:pt>
                <c:pt idx="6">
                  <c:v>229</c:v>
                </c:pt>
                <c:pt idx="7">
                  <c:v>261</c:v>
                </c:pt>
                <c:pt idx="8">
                  <c:v>296</c:v>
                </c:pt>
                <c:pt idx="9">
                  <c:v>326</c:v>
                </c:pt>
                <c:pt idx="10">
                  <c:v>401</c:v>
                </c:pt>
                <c:pt idx="11">
                  <c:v>423</c:v>
                </c:pt>
                <c:pt idx="12">
                  <c:v>440</c:v>
                </c:pt>
                <c:pt idx="13">
                  <c:v>456</c:v>
                </c:pt>
                <c:pt idx="14">
                  <c:v>466</c:v>
                </c:pt>
                <c:pt idx="15">
                  <c:v>456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3D-4BD0-8321-A9E2A21C8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Blad1!$AOH$1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Blad1!$AOH$2:$AOH$26</c:f>
              <c:numCache>
                <c:formatCode>General</c:formatCode>
                <c:ptCount val="25"/>
                <c:pt idx="0">
                  <c:v>0</c:v>
                </c:pt>
                <c:pt idx="1">
                  <c:v>11</c:v>
                </c:pt>
                <c:pt idx="2">
                  <c:v>53</c:v>
                </c:pt>
                <c:pt idx="3">
                  <c:v>115</c:v>
                </c:pt>
                <c:pt idx="4">
                  <c:v>158</c:v>
                </c:pt>
                <c:pt idx="5">
                  <c:v>192</c:v>
                </c:pt>
                <c:pt idx="6">
                  <c:v>240</c:v>
                </c:pt>
                <c:pt idx="7">
                  <c:v>288</c:v>
                </c:pt>
                <c:pt idx="8">
                  <c:v>376</c:v>
                </c:pt>
                <c:pt idx="9">
                  <c:v>401</c:v>
                </c:pt>
                <c:pt idx="10">
                  <c:v>428</c:v>
                </c:pt>
                <c:pt idx="11">
                  <c:v>485</c:v>
                </c:pt>
                <c:pt idx="12">
                  <c:v>518</c:v>
                </c:pt>
                <c:pt idx="13">
                  <c:v>538</c:v>
                </c:pt>
                <c:pt idx="14">
                  <c:v>533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AA-4438-8092-37D6BF925FCE}"/>
            </c:ext>
          </c:extLst>
        </c:ser>
        <c:ser>
          <c:idx val="1"/>
          <c:order val="1"/>
          <c:tx>
            <c:strRef>
              <c:f>Blad1!$AON$1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Blad1!$AON$2:$AON$26</c:f>
              <c:numCache>
                <c:formatCode>General</c:formatCode>
                <c:ptCount val="25"/>
                <c:pt idx="0">
                  <c:v>0</c:v>
                </c:pt>
                <c:pt idx="1">
                  <c:v>26</c:v>
                </c:pt>
                <c:pt idx="2">
                  <c:v>92</c:v>
                </c:pt>
                <c:pt idx="3">
                  <c:v>143</c:v>
                </c:pt>
                <c:pt idx="4">
                  <c:v>203</c:v>
                </c:pt>
                <c:pt idx="5">
                  <c:v>233</c:v>
                </c:pt>
                <c:pt idx="6">
                  <c:v>281</c:v>
                </c:pt>
                <c:pt idx="7">
                  <c:v>319</c:v>
                </c:pt>
                <c:pt idx="8">
                  <c:v>350</c:v>
                </c:pt>
                <c:pt idx="9">
                  <c:v>380</c:v>
                </c:pt>
                <c:pt idx="10">
                  <c:v>404</c:v>
                </c:pt>
                <c:pt idx="11">
                  <c:v>427</c:v>
                </c:pt>
                <c:pt idx="12">
                  <c:v>440</c:v>
                </c:pt>
                <c:pt idx="13">
                  <c:v>448</c:v>
                </c:pt>
                <c:pt idx="14">
                  <c:v>453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AA-4438-8092-37D6BF925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Blad1!$AOT$1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Blad1!$AOT$2:$AOT$26</c:f>
              <c:numCache>
                <c:formatCode>General</c:formatCode>
                <c:ptCount val="25"/>
                <c:pt idx="0">
                  <c:v>0</c:v>
                </c:pt>
                <c:pt idx="1">
                  <c:v>66</c:v>
                </c:pt>
                <c:pt idx="2">
                  <c:v>143</c:v>
                </c:pt>
                <c:pt idx="3">
                  <c:v>221</c:v>
                </c:pt>
                <c:pt idx="4">
                  <c:v>266</c:v>
                </c:pt>
                <c:pt idx="5">
                  <c:v>334</c:v>
                </c:pt>
                <c:pt idx="6">
                  <c:v>371</c:v>
                </c:pt>
                <c:pt idx="7">
                  <c:v>398</c:v>
                </c:pt>
                <c:pt idx="8">
                  <c:v>511</c:v>
                </c:pt>
                <c:pt idx="9">
                  <c:v>554</c:v>
                </c:pt>
                <c:pt idx="10">
                  <c:v>593</c:v>
                </c:pt>
                <c:pt idx="11">
                  <c:v>621</c:v>
                </c:pt>
                <c:pt idx="12">
                  <c:v>660</c:v>
                </c:pt>
                <c:pt idx="13">
                  <c:v>681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1E-43BE-ADD3-2CA135C846DE}"/>
            </c:ext>
          </c:extLst>
        </c:ser>
        <c:ser>
          <c:idx val="1"/>
          <c:order val="1"/>
          <c:tx>
            <c:strRef>
              <c:f>Blad1!$AOZ$1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Blad1!$AOZ$2:$AOZ$26</c:f>
              <c:numCache>
                <c:formatCode>General</c:formatCode>
                <c:ptCount val="25"/>
                <c:pt idx="0">
                  <c:v>0</c:v>
                </c:pt>
                <c:pt idx="1">
                  <c:v>23</c:v>
                </c:pt>
                <c:pt idx="2">
                  <c:v>49</c:v>
                </c:pt>
                <c:pt idx="3">
                  <c:v>96</c:v>
                </c:pt>
                <c:pt idx="4">
                  <c:v>128</c:v>
                </c:pt>
                <c:pt idx="5">
                  <c:v>165</c:v>
                </c:pt>
                <c:pt idx="6">
                  <c:v>225</c:v>
                </c:pt>
                <c:pt idx="7">
                  <c:v>249</c:v>
                </c:pt>
                <c:pt idx="8">
                  <c:v>283</c:v>
                </c:pt>
                <c:pt idx="9">
                  <c:v>322</c:v>
                </c:pt>
                <c:pt idx="10">
                  <c:v>348</c:v>
                </c:pt>
                <c:pt idx="11">
                  <c:v>373</c:v>
                </c:pt>
                <c:pt idx="12">
                  <c:v>386</c:v>
                </c:pt>
                <c:pt idx="13">
                  <c:v>384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81E-43BE-ADD3-2CA135C84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Blad1!$APF$1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Blad1!$APF$2:$APF$26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68</c:v>
                </c:pt>
                <c:pt idx="3">
                  <c:v>126</c:v>
                </c:pt>
                <c:pt idx="4">
                  <c:v>160</c:v>
                </c:pt>
                <c:pt idx="5">
                  <c:v>205</c:v>
                </c:pt>
                <c:pt idx="6">
                  <c:v>224</c:v>
                </c:pt>
                <c:pt idx="7">
                  <c:v>275</c:v>
                </c:pt>
                <c:pt idx="8">
                  <c:v>368</c:v>
                </c:pt>
                <c:pt idx="9">
                  <c:v>402</c:v>
                </c:pt>
                <c:pt idx="10">
                  <c:v>431</c:v>
                </c:pt>
                <c:pt idx="11">
                  <c:v>473</c:v>
                </c:pt>
                <c:pt idx="12">
                  <c:v>502</c:v>
                </c:pt>
                <c:pt idx="13">
                  <c:v>517</c:v>
                </c:pt>
                <c:pt idx="14">
                  <c:v>526</c:v>
                </c:pt>
                <c:pt idx="15">
                  <c:v>522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52-4053-BA7E-5B8574BACEB7}"/>
            </c:ext>
          </c:extLst>
        </c:ser>
        <c:ser>
          <c:idx val="1"/>
          <c:order val="1"/>
          <c:tx>
            <c:strRef>
              <c:f>Blad1!$APL$1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Blad1!$APL$2:$APL$26</c:f>
              <c:numCache>
                <c:formatCode>General</c:formatCode>
                <c:ptCount val="25"/>
                <c:pt idx="0">
                  <c:v>0</c:v>
                </c:pt>
                <c:pt idx="1">
                  <c:v>28</c:v>
                </c:pt>
                <c:pt idx="2">
                  <c:v>67</c:v>
                </c:pt>
                <c:pt idx="3">
                  <c:v>200</c:v>
                </c:pt>
                <c:pt idx="4">
                  <c:v>252</c:v>
                </c:pt>
                <c:pt idx="5">
                  <c:v>276</c:v>
                </c:pt>
                <c:pt idx="6">
                  <c:v>300</c:v>
                </c:pt>
                <c:pt idx="7">
                  <c:v>332</c:v>
                </c:pt>
                <c:pt idx="8">
                  <c:v>366</c:v>
                </c:pt>
                <c:pt idx="9">
                  <c:v>398</c:v>
                </c:pt>
                <c:pt idx="10">
                  <c:v>432</c:v>
                </c:pt>
                <c:pt idx="11">
                  <c:v>461</c:v>
                </c:pt>
                <c:pt idx="12">
                  <c:v>481</c:v>
                </c:pt>
                <c:pt idx="13">
                  <c:v>494</c:v>
                </c:pt>
                <c:pt idx="14">
                  <c:v>504</c:v>
                </c:pt>
                <c:pt idx="15">
                  <c:v>508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952-4053-BA7E-5B8574BAC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Blad1!$APR$1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Blad1!$APR$2:$APR$26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82</c:v>
                </c:pt>
                <c:pt idx="3">
                  <c:v>156</c:v>
                </c:pt>
                <c:pt idx="4">
                  <c:v>184</c:v>
                </c:pt>
                <c:pt idx="5">
                  <c:v>200</c:v>
                </c:pt>
                <c:pt idx="6">
                  <c:v>230</c:v>
                </c:pt>
                <c:pt idx="7">
                  <c:v>258</c:v>
                </c:pt>
                <c:pt idx="8">
                  <c:v>294</c:v>
                </c:pt>
                <c:pt idx="9">
                  <c:v>344</c:v>
                </c:pt>
                <c:pt idx="10">
                  <c:v>367</c:v>
                </c:pt>
                <c:pt idx="11">
                  <c:v>384</c:v>
                </c:pt>
                <c:pt idx="12">
                  <c:v>403</c:v>
                </c:pt>
                <c:pt idx="13">
                  <c:v>431</c:v>
                </c:pt>
                <c:pt idx="14">
                  <c:v>446</c:v>
                </c:pt>
                <c:pt idx="15">
                  <c:v>429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7E-4082-B350-95B82DBB253B}"/>
            </c:ext>
          </c:extLst>
        </c:ser>
        <c:ser>
          <c:idx val="1"/>
          <c:order val="1"/>
          <c:tx>
            <c:strRef>
              <c:f>Blad1!$APX$1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Blad1!$APX$2:$APX$26</c:f>
              <c:numCache>
                <c:formatCode>General</c:formatCode>
                <c:ptCount val="25"/>
                <c:pt idx="0">
                  <c:v>0</c:v>
                </c:pt>
                <c:pt idx="1">
                  <c:v>20</c:v>
                </c:pt>
                <c:pt idx="2">
                  <c:v>144</c:v>
                </c:pt>
                <c:pt idx="3">
                  <c:v>190</c:v>
                </c:pt>
                <c:pt idx="4">
                  <c:v>233</c:v>
                </c:pt>
                <c:pt idx="5">
                  <c:v>275</c:v>
                </c:pt>
                <c:pt idx="6">
                  <c:v>329</c:v>
                </c:pt>
                <c:pt idx="7">
                  <c:v>366</c:v>
                </c:pt>
                <c:pt idx="8">
                  <c:v>399</c:v>
                </c:pt>
                <c:pt idx="9">
                  <c:v>423</c:v>
                </c:pt>
                <c:pt idx="10">
                  <c:v>450</c:v>
                </c:pt>
                <c:pt idx="11">
                  <c:v>481</c:v>
                </c:pt>
                <c:pt idx="12">
                  <c:v>504</c:v>
                </c:pt>
                <c:pt idx="13">
                  <c:v>522</c:v>
                </c:pt>
                <c:pt idx="14">
                  <c:v>526</c:v>
                </c:pt>
                <c:pt idx="15">
                  <c:v>543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37E-4082-B350-95B82DBB2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Blad1!$AQD$1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Blad1!$AQD$2:$AQD$26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60</c:v>
                </c:pt>
                <c:pt idx="3">
                  <c:v>97</c:v>
                </c:pt>
                <c:pt idx="4">
                  <c:v>175</c:v>
                </c:pt>
                <c:pt idx="5">
                  <c:v>204</c:v>
                </c:pt>
                <c:pt idx="6">
                  <c:v>221</c:v>
                </c:pt>
                <c:pt idx="7">
                  <c:v>295</c:v>
                </c:pt>
                <c:pt idx="8">
                  <c:v>389</c:v>
                </c:pt>
                <c:pt idx="9">
                  <c:v>416</c:v>
                </c:pt>
                <c:pt idx="10">
                  <c:v>452</c:v>
                </c:pt>
                <c:pt idx="11">
                  <c:v>470</c:v>
                </c:pt>
                <c:pt idx="12">
                  <c:v>549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5B-4646-AAB6-D903E8A9F847}"/>
            </c:ext>
          </c:extLst>
        </c:ser>
        <c:ser>
          <c:idx val="1"/>
          <c:order val="1"/>
          <c:tx>
            <c:strRef>
              <c:f>Blad1!$AQJ$1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Blad1!$AQJ$2:$AQJ$26</c:f>
              <c:numCache>
                <c:formatCode>General</c:formatCode>
                <c:ptCount val="25"/>
                <c:pt idx="0">
                  <c:v>0</c:v>
                </c:pt>
                <c:pt idx="1">
                  <c:v>10</c:v>
                </c:pt>
                <c:pt idx="2">
                  <c:v>55</c:v>
                </c:pt>
                <c:pt idx="3">
                  <c:v>122</c:v>
                </c:pt>
                <c:pt idx="4">
                  <c:v>154</c:v>
                </c:pt>
                <c:pt idx="5">
                  <c:v>187</c:v>
                </c:pt>
                <c:pt idx="6">
                  <c:v>254</c:v>
                </c:pt>
                <c:pt idx="7">
                  <c:v>315</c:v>
                </c:pt>
                <c:pt idx="8">
                  <c:v>399</c:v>
                </c:pt>
                <c:pt idx="9">
                  <c:v>425</c:v>
                </c:pt>
                <c:pt idx="10">
                  <c:v>461</c:v>
                </c:pt>
                <c:pt idx="11">
                  <c:v>508</c:v>
                </c:pt>
                <c:pt idx="12">
                  <c:v>487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5B-4646-AAB6-D903E8A9F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Blad1!$AQP$1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Blad1!$AQP$2:$AQP$26</c:f>
              <c:numCache>
                <c:formatCode>General</c:formatCode>
                <c:ptCount val="25"/>
                <c:pt idx="0">
                  <c:v>0</c:v>
                </c:pt>
                <c:pt idx="1">
                  <c:v>9</c:v>
                </c:pt>
                <c:pt idx="2">
                  <c:v>47</c:v>
                </c:pt>
                <c:pt idx="3">
                  <c:v>73</c:v>
                </c:pt>
                <c:pt idx="4">
                  <c:v>145</c:v>
                </c:pt>
                <c:pt idx="5">
                  <c:v>176</c:v>
                </c:pt>
                <c:pt idx="6">
                  <c:v>248</c:v>
                </c:pt>
                <c:pt idx="7">
                  <c:v>320</c:v>
                </c:pt>
                <c:pt idx="8">
                  <c:v>341</c:v>
                </c:pt>
                <c:pt idx="9">
                  <c:v>356</c:v>
                </c:pt>
                <c:pt idx="10">
                  <c:v>435</c:v>
                </c:pt>
                <c:pt idx="11">
                  <c:v>464</c:v>
                </c:pt>
                <c:pt idx="12">
                  <c:v>492</c:v>
                </c:pt>
                <c:pt idx="13">
                  <c:v>479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2A-4BC5-BCC5-D0B0D6D7D436}"/>
            </c:ext>
          </c:extLst>
        </c:ser>
        <c:ser>
          <c:idx val="1"/>
          <c:order val="1"/>
          <c:tx>
            <c:strRef>
              <c:f>Blad1!$AQV$1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Blad1!$AQV$2:$AQV$26</c:f>
              <c:numCache>
                <c:formatCode>General</c:formatCode>
                <c:ptCount val="25"/>
                <c:pt idx="0">
                  <c:v>0</c:v>
                </c:pt>
                <c:pt idx="1">
                  <c:v>46</c:v>
                </c:pt>
                <c:pt idx="2">
                  <c:v>68</c:v>
                </c:pt>
                <c:pt idx="3">
                  <c:v>118</c:v>
                </c:pt>
                <c:pt idx="4">
                  <c:v>151</c:v>
                </c:pt>
                <c:pt idx="5">
                  <c:v>196</c:v>
                </c:pt>
                <c:pt idx="6">
                  <c:v>244</c:v>
                </c:pt>
                <c:pt idx="7">
                  <c:v>282</c:v>
                </c:pt>
                <c:pt idx="8">
                  <c:v>345</c:v>
                </c:pt>
                <c:pt idx="9">
                  <c:v>413</c:v>
                </c:pt>
                <c:pt idx="10">
                  <c:v>459</c:v>
                </c:pt>
                <c:pt idx="11">
                  <c:v>517</c:v>
                </c:pt>
                <c:pt idx="12">
                  <c:v>533</c:v>
                </c:pt>
                <c:pt idx="13">
                  <c:v>546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2A-4BC5-BCC5-D0B0D6D7D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Blad1!$ARB$1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Blad1!$ARB$2:$ARB$26</c:f>
              <c:numCache>
                <c:formatCode>General</c:formatCode>
                <c:ptCount val="25"/>
                <c:pt idx="0">
                  <c:v>0</c:v>
                </c:pt>
                <c:pt idx="1">
                  <c:v>13</c:v>
                </c:pt>
                <c:pt idx="2">
                  <c:v>79</c:v>
                </c:pt>
                <c:pt idx="3">
                  <c:v>107</c:v>
                </c:pt>
                <c:pt idx="4">
                  <c:v>146</c:v>
                </c:pt>
                <c:pt idx="5">
                  <c:v>172</c:v>
                </c:pt>
                <c:pt idx="6">
                  <c:v>191</c:v>
                </c:pt>
                <c:pt idx="7">
                  <c:v>251</c:v>
                </c:pt>
                <c:pt idx="8">
                  <c:v>329</c:v>
                </c:pt>
                <c:pt idx="9">
                  <c:v>360</c:v>
                </c:pt>
                <c:pt idx="10">
                  <c:v>383</c:v>
                </c:pt>
                <c:pt idx="11">
                  <c:v>403</c:v>
                </c:pt>
                <c:pt idx="12">
                  <c:v>454</c:v>
                </c:pt>
                <c:pt idx="13">
                  <c:v>453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1C-4C6C-A6E3-91FDBA34FC95}"/>
            </c:ext>
          </c:extLst>
        </c:ser>
        <c:ser>
          <c:idx val="1"/>
          <c:order val="1"/>
          <c:tx>
            <c:strRef>
              <c:f>Blad1!$ARH$1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Blad1!$ARH$2:$ARH$26</c:f>
              <c:numCache>
                <c:formatCode>General</c:formatCode>
                <c:ptCount val="25"/>
                <c:pt idx="0">
                  <c:v>0</c:v>
                </c:pt>
                <c:pt idx="1">
                  <c:v>75</c:v>
                </c:pt>
                <c:pt idx="2">
                  <c:v>132</c:v>
                </c:pt>
                <c:pt idx="3">
                  <c:v>167</c:v>
                </c:pt>
                <c:pt idx="4">
                  <c:v>193</c:v>
                </c:pt>
                <c:pt idx="5">
                  <c:v>225</c:v>
                </c:pt>
                <c:pt idx="6">
                  <c:v>249</c:v>
                </c:pt>
                <c:pt idx="7">
                  <c:v>307</c:v>
                </c:pt>
                <c:pt idx="8">
                  <c:v>341</c:v>
                </c:pt>
                <c:pt idx="9">
                  <c:v>369</c:v>
                </c:pt>
                <c:pt idx="10">
                  <c:v>402</c:v>
                </c:pt>
                <c:pt idx="11">
                  <c:v>432</c:v>
                </c:pt>
                <c:pt idx="12">
                  <c:v>480</c:v>
                </c:pt>
                <c:pt idx="13">
                  <c:v>481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D1C-4C6C-A6E3-91FDBA34F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Blad1!$ARN$1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Blad1!$ARN$2:$ARN$26</c:f>
              <c:numCache>
                <c:formatCode>General</c:formatCode>
                <c:ptCount val="25"/>
                <c:pt idx="0">
                  <c:v>0</c:v>
                </c:pt>
                <c:pt idx="1">
                  <c:v>7</c:v>
                </c:pt>
                <c:pt idx="2">
                  <c:v>37</c:v>
                </c:pt>
                <c:pt idx="3">
                  <c:v>64</c:v>
                </c:pt>
                <c:pt idx="4">
                  <c:v>95</c:v>
                </c:pt>
                <c:pt idx="5">
                  <c:v>113</c:v>
                </c:pt>
                <c:pt idx="6">
                  <c:v>138</c:v>
                </c:pt>
                <c:pt idx="7">
                  <c:v>162</c:v>
                </c:pt>
                <c:pt idx="8">
                  <c:v>194</c:v>
                </c:pt>
                <c:pt idx="9">
                  <c:v>272</c:v>
                </c:pt>
                <c:pt idx="10">
                  <c:v>309</c:v>
                </c:pt>
                <c:pt idx="11">
                  <c:v>335</c:v>
                </c:pt>
                <c:pt idx="12">
                  <c:v>357</c:v>
                </c:pt>
                <c:pt idx="13">
                  <c:v>378</c:v>
                </c:pt>
                <c:pt idx="14">
                  <c:v>495</c:v>
                </c:pt>
                <c:pt idx="15">
                  <c:v>510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164-49CC-90F6-E323ED698FC0}"/>
            </c:ext>
          </c:extLst>
        </c:ser>
        <c:ser>
          <c:idx val="1"/>
          <c:order val="1"/>
          <c:tx>
            <c:strRef>
              <c:f>Blad1!$ART$1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Blad1!$ART$2:$ART$26</c:f>
              <c:numCache>
                <c:formatCode>General</c:formatCode>
                <c:ptCount val="25"/>
                <c:pt idx="0">
                  <c:v>0</c:v>
                </c:pt>
                <c:pt idx="1">
                  <c:v>32</c:v>
                </c:pt>
                <c:pt idx="2">
                  <c:v>83</c:v>
                </c:pt>
                <c:pt idx="3">
                  <c:v>125</c:v>
                </c:pt>
                <c:pt idx="4">
                  <c:v>173</c:v>
                </c:pt>
                <c:pt idx="5">
                  <c:v>195</c:v>
                </c:pt>
                <c:pt idx="6">
                  <c:v>225</c:v>
                </c:pt>
                <c:pt idx="7">
                  <c:v>243</c:v>
                </c:pt>
                <c:pt idx="8">
                  <c:v>273</c:v>
                </c:pt>
                <c:pt idx="9">
                  <c:v>306</c:v>
                </c:pt>
                <c:pt idx="10">
                  <c:v>331</c:v>
                </c:pt>
                <c:pt idx="11">
                  <c:v>361</c:v>
                </c:pt>
                <c:pt idx="12">
                  <c:v>387</c:v>
                </c:pt>
                <c:pt idx="13">
                  <c:v>440</c:v>
                </c:pt>
                <c:pt idx="14">
                  <c:v>471</c:v>
                </c:pt>
                <c:pt idx="15">
                  <c:v>461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164-49CC-90F6-E323ED698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Blad1!$ARZ$1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Blad1!$ARZ$2:$ARZ$26</c:f>
              <c:numCache>
                <c:formatCode>General</c:formatCode>
                <c:ptCount val="25"/>
                <c:pt idx="0">
                  <c:v>0</c:v>
                </c:pt>
                <c:pt idx="1">
                  <c:v>66</c:v>
                </c:pt>
                <c:pt idx="2">
                  <c:v>114</c:v>
                </c:pt>
                <c:pt idx="3">
                  <c:v>208</c:v>
                </c:pt>
                <c:pt idx="4">
                  <c:v>240</c:v>
                </c:pt>
                <c:pt idx="5">
                  <c:v>271</c:v>
                </c:pt>
                <c:pt idx="6">
                  <c:v>285</c:v>
                </c:pt>
                <c:pt idx="7">
                  <c:v>353</c:v>
                </c:pt>
                <c:pt idx="8">
                  <c:v>369</c:v>
                </c:pt>
                <c:pt idx="9">
                  <c:v>515</c:v>
                </c:pt>
                <c:pt idx="10">
                  <c:v>540</c:v>
                </c:pt>
                <c:pt idx="11">
                  <c:v>575</c:v>
                </c:pt>
                <c:pt idx="12">
                  <c:v>589</c:v>
                </c:pt>
                <c:pt idx="13">
                  <c:v>601</c:v>
                </c:pt>
                <c:pt idx="14">
                  <c:v>600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0FA-4A2C-9DC2-161E66CC815B}"/>
            </c:ext>
          </c:extLst>
        </c:ser>
        <c:ser>
          <c:idx val="1"/>
          <c:order val="1"/>
          <c:tx>
            <c:strRef>
              <c:f>Blad1!$ASF$1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Blad1!$ASF$2:$ASF$26</c:f>
              <c:numCache>
                <c:formatCode>General</c:formatCode>
                <c:ptCount val="25"/>
                <c:pt idx="0">
                  <c:v>0</c:v>
                </c:pt>
                <c:pt idx="1">
                  <c:v>34</c:v>
                </c:pt>
                <c:pt idx="2">
                  <c:v>76</c:v>
                </c:pt>
                <c:pt idx="3">
                  <c:v>118</c:v>
                </c:pt>
                <c:pt idx="4">
                  <c:v>153</c:v>
                </c:pt>
                <c:pt idx="5">
                  <c:v>176</c:v>
                </c:pt>
                <c:pt idx="6">
                  <c:v>232</c:v>
                </c:pt>
                <c:pt idx="7">
                  <c:v>274</c:v>
                </c:pt>
                <c:pt idx="8">
                  <c:v>304</c:v>
                </c:pt>
                <c:pt idx="9">
                  <c:v>334</c:v>
                </c:pt>
                <c:pt idx="10">
                  <c:v>370</c:v>
                </c:pt>
                <c:pt idx="11">
                  <c:v>406</c:v>
                </c:pt>
                <c:pt idx="12">
                  <c:v>438</c:v>
                </c:pt>
                <c:pt idx="13">
                  <c:v>459</c:v>
                </c:pt>
                <c:pt idx="14">
                  <c:v>460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0FA-4A2C-9DC2-161E66CC8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Blad1!$ASL$1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Blad1!$ASL$2:$ASL$26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118</c:v>
                </c:pt>
                <c:pt idx="3">
                  <c:v>182</c:v>
                </c:pt>
                <c:pt idx="4">
                  <c:v>220</c:v>
                </c:pt>
                <c:pt idx="5">
                  <c:v>250</c:v>
                </c:pt>
                <c:pt idx="6">
                  <c:v>284</c:v>
                </c:pt>
                <c:pt idx="7">
                  <c:v>319</c:v>
                </c:pt>
                <c:pt idx="8">
                  <c:v>344</c:v>
                </c:pt>
                <c:pt idx="9">
                  <c:v>367</c:v>
                </c:pt>
                <c:pt idx="10">
                  <c:v>379</c:v>
                </c:pt>
                <c:pt idx="11">
                  <c:v>394</c:v>
                </c:pt>
                <c:pt idx="12">
                  <c:v>454</c:v>
                </c:pt>
                <c:pt idx="13">
                  <c:v>483</c:v>
                </c:pt>
                <c:pt idx="14">
                  <c:v>503</c:v>
                </c:pt>
                <c:pt idx="15">
                  <c:v>532</c:v>
                </c:pt>
                <c:pt idx="16">
                  <c:v>542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4C-49F1-8695-3463765D6CDE}"/>
            </c:ext>
          </c:extLst>
        </c:ser>
        <c:ser>
          <c:idx val="1"/>
          <c:order val="1"/>
          <c:tx>
            <c:strRef>
              <c:f>Blad1!$ASR$1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Blad1!$ASR$2:$ASR$26</c:f>
              <c:numCache>
                <c:formatCode>General</c:formatCode>
                <c:ptCount val="25"/>
                <c:pt idx="0">
                  <c:v>0</c:v>
                </c:pt>
                <c:pt idx="1">
                  <c:v>20</c:v>
                </c:pt>
                <c:pt idx="2">
                  <c:v>76</c:v>
                </c:pt>
                <c:pt idx="3">
                  <c:v>120</c:v>
                </c:pt>
                <c:pt idx="4">
                  <c:v>159</c:v>
                </c:pt>
                <c:pt idx="5">
                  <c:v>190</c:v>
                </c:pt>
                <c:pt idx="6">
                  <c:v>217</c:v>
                </c:pt>
                <c:pt idx="7">
                  <c:v>247</c:v>
                </c:pt>
                <c:pt idx="8">
                  <c:v>271</c:v>
                </c:pt>
                <c:pt idx="9">
                  <c:v>294</c:v>
                </c:pt>
                <c:pt idx="10">
                  <c:v>313</c:v>
                </c:pt>
                <c:pt idx="11">
                  <c:v>325</c:v>
                </c:pt>
                <c:pt idx="12">
                  <c:v>352</c:v>
                </c:pt>
                <c:pt idx="13">
                  <c:v>369</c:v>
                </c:pt>
                <c:pt idx="14">
                  <c:v>411</c:v>
                </c:pt>
                <c:pt idx="15">
                  <c:v>446</c:v>
                </c:pt>
                <c:pt idx="16">
                  <c:v>443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F4C-49F1-8695-3463765D6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Blad1!$ASX$1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Blad1!$ASX$2:$ASX$26</c:f>
              <c:numCache>
                <c:formatCode>General</c:formatCode>
                <c:ptCount val="25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76</c:v>
                </c:pt>
                <c:pt idx="4">
                  <c:v>92</c:v>
                </c:pt>
                <c:pt idx="5">
                  <c:v>108</c:v>
                </c:pt>
                <c:pt idx="6">
                  <c:v>172</c:v>
                </c:pt>
                <c:pt idx="7">
                  <c:v>206</c:v>
                </c:pt>
                <c:pt idx="8">
                  <c:v>219</c:v>
                </c:pt>
                <c:pt idx="9">
                  <c:v>241</c:v>
                </c:pt>
                <c:pt idx="10">
                  <c:v>263</c:v>
                </c:pt>
                <c:pt idx="11">
                  <c:v>323</c:v>
                </c:pt>
                <c:pt idx="12">
                  <c:v>359</c:v>
                </c:pt>
                <c:pt idx="13">
                  <c:v>413</c:v>
                </c:pt>
                <c:pt idx="14">
                  <c:v>427</c:v>
                </c:pt>
                <c:pt idx="15">
                  <c:v>441</c:v>
                </c:pt>
                <c:pt idx="16">
                  <c:v>434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49D-4F5D-91F9-3866C329A6F7}"/>
            </c:ext>
          </c:extLst>
        </c:ser>
        <c:ser>
          <c:idx val="1"/>
          <c:order val="1"/>
          <c:tx>
            <c:strRef>
              <c:f>Blad1!$ATD$1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Blad1!$ATD$2:$ATD$26</c:f>
              <c:numCache>
                <c:formatCode>General</c:formatCode>
                <c:ptCount val="25"/>
                <c:pt idx="0">
                  <c:v>0</c:v>
                </c:pt>
                <c:pt idx="1">
                  <c:v>23</c:v>
                </c:pt>
                <c:pt idx="2">
                  <c:v>49</c:v>
                </c:pt>
                <c:pt idx="3">
                  <c:v>67</c:v>
                </c:pt>
                <c:pt idx="4">
                  <c:v>96</c:v>
                </c:pt>
                <c:pt idx="5">
                  <c:v>133</c:v>
                </c:pt>
                <c:pt idx="6">
                  <c:v>149</c:v>
                </c:pt>
                <c:pt idx="7">
                  <c:v>161</c:v>
                </c:pt>
                <c:pt idx="8">
                  <c:v>191</c:v>
                </c:pt>
                <c:pt idx="9">
                  <c:v>221</c:v>
                </c:pt>
                <c:pt idx="10">
                  <c:v>247</c:v>
                </c:pt>
                <c:pt idx="11">
                  <c:v>289</c:v>
                </c:pt>
                <c:pt idx="12">
                  <c:v>321</c:v>
                </c:pt>
                <c:pt idx="13">
                  <c:v>349</c:v>
                </c:pt>
                <c:pt idx="14">
                  <c:v>370</c:v>
                </c:pt>
                <c:pt idx="15">
                  <c:v>382</c:v>
                </c:pt>
                <c:pt idx="16">
                  <c:v>389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49D-4F5D-91F9-3866C329A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Blad1!$ATJ$1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Blad1!$ATJ$2:$ATJ$26</c:f>
              <c:numCache>
                <c:formatCode>General</c:formatCode>
                <c:ptCount val="25"/>
                <c:pt idx="0">
                  <c:v>0</c:v>
                </c:pt>
                <c:pt idx="1">
                  <c:v>9</c:v>
                </c:pt>
                <c:pt idx="2">
                  <c:v>63</c:v>
                </c:pt>
                <c:pt idx="3">
                  <c:v>159</c:v>
                </c:pt>
                <c:pt idx="4">
                  <c:v>220</c:v>
                </c:pt>
                <c:pt idx="5">
                  <c:v>247</c:v>
                </c:pt>
                <c:pt idx="6">
                  <c:v>297</c:v>
                </c:pt>
                <c:pt idx="7">
                  <c:v>340</c:v>
                </c:pt>
                <c:pt idx="8">
                  <c:v>376</c:v>
                </c:pt>
                <c:pt idx="9">
                  <c:v>404</c:v>
                </c:pt>
                <c:pt idx="10">
                  <c:v>433</c:v>
                </c:pt>
                <c:pt idx="11">
                  <c:v>437</c:v>
                </c:pt>
                <c:pt idx="12">
                  <c:v>464</c:v>
                </c:pt>
                <c:pt idx="13">
                  <c:v>492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6DF-4F64-BF55-929008CF7F53}"/>
            </c:ext>
          </c:extLst>
        </c:ser>
        <c:ser>
          <c:idx val="1"/>
          <c:order val="1"/>
          <c:tx>
            <c:strRef>
              <c:f>Blad1!$ATP$1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Blad1!$ATP$2:$ATP$26</c:f>
              <c:numCache>
                <c:formatCode>General</c:formatCode>
                <c:ptCount val="25"/>
                <c:pt idx="0">
                  <c:v>0</c:v>
                </c:pt>
                <c:pt idx="1">
                  <c:v>26</c:v>
                </c:pt>
                <c:pt idx="2">
                  <c:v>98</c:v>
                </c:pt>
                <c:pt idx="3">
                  <c:v>154</c:v>
                </c:pt>
                <c:pt idx="4">
                  <c:v>187</c:v>
                </c:pt>
                <c:pt idx="5">
                  <c:v>253</c:v>
                </c:pt>
                <c:pt idx="6">
                  <c:v>287</c:v>
                </c:pt>
                <c:pt idx="7">
                  <c:v>347</c:v>
                </c:pt>
                <c:pt idx="8">
                  <c:v>392</c:v>
                </c:pt>
                <c:pt idx="9">
                  <c:v>428</c:v>
                </c:pt>
                <c:pt idx="10">
                  <c:v>479</c:v>
                </c:pt>
                <c:pt idx="11">
                  <c:v>486</c:v>
                </c:pt>
                <c:pt idx="12">
                  <c:v>486</c:v>
                </c:pt>
                <c:pt idx="13">
                  <c:v>476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6DF-4F64-BF55-929008CF7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Blad1!$ATV$1</c:f>
              <c:strCache>
                <c:ptCount val="1"/>
                <c:pt idx="0">
                  <c:v>Combi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Blad1!$ATV$2:$ATV$26</c:f>
              <c:numCache>
                <c:formatCode>General</c:formatCode>
                <c:ptCount val="25"/>
                <c:pt idx="0">
                  <c:v>0</c:v>
                </c:pt>
                <c:pt idx="1">
                  <c:v>14</c:v>
                </c:pt>
                <c:pt idx="2">
                  <c:v>96</c:v>
                </c:pt>
                <c:pt idx="3">
                  <c:v>126</c:v>
                </c:pt>
                <c:pt idx="4">
                  <c:v>183</c:v>
                </c:pt>
                <c:pt idx="5">
                  <c:v>207</c:v>
                </c:pt>
                <c:pt idx="6">
                  <c:v>231</c:v>
                </c:pt>
                <c:pt idx="7">
                  <c:v>275</c:v>
                </c:pt>
                <c:pt idx="8">
                  <c:v>309</c:v>
                </c:pt>
                <c:pt idx="9">
                  <c:v>334</c:v>
                </c:pt>
                <c:pt idx="10">
                  <c:v>360</c:v>
                </c:pt>
                <c:pt idx="11">
                  <c:v>377</c:v>
                </c:pt>
                <c:pt idx="12">
                  <c:v>383</c:v>
                </c:pt>
                <c:pt idx="13">
                  <c:v>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654-4B16-849A-DC0D4A5479AC}"/>
            </c:ext>
          </c:extLst>
        </c:ser>
        <c:ser>
          <c:idx val="1"/>
          <c:order val="1"/>
          <c:tx>
            <c:strRef>
              <c:f>Blad1!$AUB$1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</c:numCache>
            </c:numRef>
          </c:cat>
          <c:val>
            <c:numRef>
              <c:f>Blad1!$AUB$2:$AUB$26</c:f>
              <c:numCache>
                <c:formatCode>General</c:formatCode>
                <c:ptCount val="25"/>
                <c:pt idx="0">
                  <c:v>0</c:v>
                </c:pt>
                <c:pt idx="1">
                  <c:v>112</c:v>
                </c:pt>
                <c:pt idx="2">
                  <c:v>151</c:v>
                </c:pt>
                <c:pt idx="3">
                  <c:v>202</c:v>
                </c:pt>
                <c:pt idx="4">
                  <c:v>250</c:v>
                </c:pt>
                <c:pt idx="5">
                  <c:v>290</c:v>
                </c:pt>
                <c:pt idx="6">
                  <c:v>356</c:v>
                </c:pt>
                <c:pt idx="7">
                  <c:v>401</c:v>
                </c:pt>
                <c:pt idx="8">
                  <c:v>427</c:v>
                </c:pt>
                <c:pt idx="9">
                  <c:v>457</c:v>
                </c:pt>
                <c:pt idx="10">
                  <c:v>482</c:v>
                </c:pt>
                <c:pt idx="11">
                  <c:v>504</c:v>
                </c:pt>
                <c:pt idx="12">
                  <c:v>522</c:v>
                </c:pt>
                <c:pt idx="13">
                  <c:v>530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654-4B16-849A-DC0D4A547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6.xml"/><Relationship Id="rId21" Type="http://schemas.openxmlformats.org/officeDocument/2006/relationships/chart" Target="../charts/chart21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63" Type="http://schemas.openxmlformats.org/officeDocument/2006/relationships/chart" Target="../charts/chart63.xml"/><Relationship Id="rId68" Type="http://schemas.openxmlformats.org/officeDocument/2006/relationships/chart" Target="../charts/chart68.xml"/><Relationship Id="rId84" Type="http://schemas.openxmlformats.org/officeDocument/2006/relationships/chart" Target="../charts/chart84.xml"/><Relationship Id="rId89" Type="http://schemas.openxmlformats.org/officeDocument/2006/relationships/chart" Target="../charts/chart89.xml"/><Relationship Id="rId16" Type="http://schemas.openxmlformats.org/officeDocument/2006/relationships/chart" Target="../charts/chart16.xml"/><Relationship Id="rId11" Type="http://schemas.openxmlformats.org/officeDocument/2006/relationships/chart" Target="../charts/chart11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74" Type="http://schemas.openxmlformats.org/officeDocument/2006/relationships/chart" Target="../charts/chart74.xml"/><Relationship Id="rId79" Type="http://schemas.openxmlformats.org/officeDocument/2006/relationships/chart" Target="../charts/chart79.xml"/><Relationship Id="rId102" Type="http://schemas.openxmlformats.org/officeDocument/2006/relationships/chart" Target="../charts/chart102.xml"/><Relationship Id="rId5" Type="http://schemas.openxmlformats.org/officeDocument/2006/relationships/chart" Target="../charts/chart5.xml"/><Relationship Id="rId90" Type="http://schemas.openxmlformats.org/officeDocument/2006/relationships/chart" Target="../charts/chart90.xml"/><Relationship Id="rId95" Type="http://schemas.openxmlformats.org/officeDocument/2006/relationships/chart" Target="../charts/chart95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64" Type="http://schemas.openxmlformats.org/officeDocument/2006/relationships/chart" Target="../charts/chart64.xml"/><Relationship Id="rId69" Type="http://schemas.openxmlformats.org/officeDocument/2006/relationships/chart" Target="../charts/chart69.xml"/><Relationship Id="rId80" Type="http://schemas.openxmlformats.org/officeDocument/2006/relationships/chart" Target="../charts/chart80.xml"/><Relationship Id="rId85" Type="http://schemas.openxmlformats.org/officeDocument/2006/relationships/chart" Target="../charts/chart85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67" Type="http://schemas.openxmlformats.org/officeDocument/2006/relationships/chart" Target="../charts/chart67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70" Type="http://schemas.openxmlformats.org/officeDocument/2006/relationships/chart" Target="../charts/chart70.xml"/><Relationship Id="rId75" Type="http://schemas.openxmlformats.org/officeDocument/2006/relationships/chart" Target="../charts/chart75.xml"/><Relationship Id="rId83" Type="http://schemas.openxmlformats.org/officeDocument/2006/relationships/chart" Target="../charts/chart83.xml"/><Relationship Id="rId88" Type="http://schemas.openxmlformats.org/officeDocument/2006/relationships/chart" Target="../charts/chart88.xml"/><Relationship Id="rId91" Type="http://schemas.openxmlformats.org/officeDocument/2006/relationships/chart" Target="../charts/chart91.xml"/><Relationship Id="rId96" Type="http://schemas.openxmlformats.org/officeDocument/2006/relationships/chart" Target="../charts/chart9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73" Type="http://schemas.openxmlformats.org/officeDocument/2006/relationships/chart" Target="../charts/chart73.xml"/><Relationship Id="rId78" Type="http://schemas.openxmlformats.org/officeDocument/2006/relationships/chart" Target="../charts/chart78.xml"/><Relationship Id="rId81" Type="http://schemas.openxmlformats.org/officeDocument/2006/relationships/chart" Target="../charts/chart81.xml"/><Relationship Id="rId86" Type="http://schemas.openxmlformats.org/officeDocument/2006/relationships/chart" Target="../charts/chart86.xml"/><Relationship Id="rId94" Type="http://schemas.openxmlformats.org/officeDocument/2006/relationships/chart" Target="../charts/chart94.xml"/><Relationship Id="rId99" Type="http://schemas.openxmlformats.org/officeDocument/2006/relationships/chart" Target="../charts/chart99.xml"/><Relationship Id="rId101" Type="http://schemas.openxmlformats.org/officeDocument/2006/relationships/chart" Target="../charts/chart10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9" Type="http://schemas.openxmlformats.org/officeDocument/2006/relationships/chart" Target="../charts/chart39.xml"/><Relationship Id="rId34" Type="http://schemas.openxmlformats.org/officeDocument/2006/relationships/chart" Target="../charts/chart34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76" Type="http://schemas.openxmlformats.org/officeDocument/2006/relationships/chart" Target="../charts/chart76.xml"/><Relationship Id="rId97" Type="http://schemas.openxmlformats.org/officeDocument/2006/relationships/chart" Target="../charts/chart97.xml"/><Relationship Id="rId7" Type="http://schemas.openxmlformats.org/officeDocument/2006/relationships/chart" Target="../charts/chart7.xml"/><Relationship Id="rId71" Type="http://schemas.openxmlformats.org/officeDocument/2006/relationships/chart" Target="../charts/chart71.xml"/><Relationship Id="rId92" Type="http://schemas.openxmlformats.org/officeDocument/2006/relationships/chart" Target="../charts/chart92.xml"/><Relationship Id="rId2" Type="http://schemas.openxmlformats.org/officeDocument/2006/relationships/chart" Target="../charts/chart2.xml"/><Relationship Id="rId29" Type="http://schemas.openxmlformats.org/officeDocument/2006/relationships/chart" Target="../charts/chart29.xml"/><Relationship Id="rId24" Type="http://schemas.openxmlformats.org/officeDocument/2006/relationships/chart" Target="../charts/chart24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66" Type="http://schemas.openxmlformats.org/officeDocument/2006/relationships/chart" Target="../charts/chart66.xml"/><Relationship Id="rId87" Type="http://schemas.openxmlformats.org/officeDocument/2006/relationships/chart" Target="../charts/chart87.xml"/><Relationship Id="rId61" Type="http://schemas.openxmlformats.org/officeDocument/2006/relationships/chart" Target="../charts/chart61.xml"/><Relationship Id="rId82" Type="http://schemas.openxmlformats.org/officeDocument/2006/relationships/chart" Target="../charts/chart82.xml"/><Relationship Id="rId19" Type="http://schemas.openxmlformats.org/officeDocument/2006/relationships/chart" Target="../charts/chart19.xml"/><Relationship Id="rId14" Type="http://schemas.openxmlformats.org/officeDocument/2006/relationships/chart" Target="../charts/chart14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56" Type="http://schemas.openxmlformats.org/officeDocument/2006/relationships/chart" Target="../charts/chart56.xml"/><Relationship Id="rId77" Type="http://schemas.openxmlformats.org/officeDocument/2006/relationships/chart" Target="../charts/chart77.xml"/><Relationship Id="rId100" Type="http://schemas.openxmlformats.org/officeDocument/2006/relationships/chart" Target="../charts/chart100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72" Type="http://schemas.openxmlformats.org/officeDocument/2006/relationships/chart" Target="../charts/chart72.xml"/><Relationship Id="rId93" Type="http://schemas.openxmlformats.org/officeDocument/2006/relationships/chart" Target="../charts/chart93.xml"/><Relationship Id="rId98" Type="http://schemas.openxmlformats.org/officeDocument/2006/relationships/chart" Target="../charts/chart98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717517</xdr:colOff>
      <xdr:row>21</xdr:row>
      <xdr:rowOff>146411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108016</xdr:colOff>
      <xdr:row>24</xdr:row>
      <xdr:rowOff>19639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25</xdr:col>
      <xdr:colOff>0</xdr:colOff>
      <xdr:row>29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37</xdr:col>
      <xdr:colOff>0</xdr:colOff>
      <xdr:row>29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49</xdr:col>
      <xdr:colOff>0</xdr:colOff>
      <xdr:row>29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61</xdr:col>
      <xdr:colOff>0</xdr:colOff>
      <xdr:row>29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72</xdr:col>
      <xdr:colOff>108016</xdr:colOff>
      <xdr:row>25</xdr:row>
      <xdr:rowOff>98197</xdr:rowOff>
    </xdr:from>
    <xdr:ext cx="5400000" cy="27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85</xdr:col>
      <xdr:colOff>0</xdr:colOff>
      <xdr:row>29</xdr:row>
      <xdr:rowOff>0</xdr:rowOff>
    </xdr:from>
    <xdr:ext cx="5400000" cy="27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97</xdr:col>
      <xdr:colOff>0</xdr:colOff>
      <xdr:row>29</xdr:row>
      <xdr:rowOff>0</xdr:rowOff>
    </xdr:from>
    <xdr:ext cx="5400000" cy="27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109</xdr:col>
      <xdr:colOff>0</xdr:colOff>
      <xdr:row>29</xdr:row>
      <xdr:rowOff>0</xdr:rowOff>
    </xdr:from>
    <xdr:ext cx="5400000" cy="27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121</xdr:col>
      <xdr:colOff>0</xdr:colOff>
      <xdr:row>29</xdr:row>
      <xdr:rowOff>0</xdr:rowOff>
    </xdr:from>
    <xdr:ext cx="5400000" cy="27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133</xdr:col>
      <xdr:colOff>0</xdr:colOff>
      <xdr:row>29</xdr:row>
      <xdr:rowOff>0</xdr:rowOff>
    </xdr:from>
    <xdr:ext cx="5400000" cy="27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145</xdr:col>
      <xdr:colOff>0</xdr:colOff>
      <xdr:row>29</xdr:row>
      <xdr:rowOff>0</xdr:rowOff>
    </xdr:from>
    <xdr:ext cx="5400000" cy="27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157</xdr:col>
      <xdr:colOff>0</xdr:colOff>
      <xdr:row>29</xdr:row>
      <xdr:rowOff>0</xdr:rowOff>
    </xdr:from>
    <xdr:ext cx="5400000" cy="270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169</xdr:col>
      <xdr:colOff>0</xdr:colOff>
      <xdr:row>29</xdr:row>
      <xdr:rowOff>0</xdr:rowOff>
    </xdr:from>
    <xdr:ext cx="5400000" cy="2700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181</xdr:col>
      <xdr:colOff>0</xdr:colOff>
      <xdr:row>29</xdr:row>
      <xdr:rowOff>0</xdr:rowOff>
    </xdr:from>
    <xdr:ext cx="5400000" cy="2700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193</xdr:col>
      <xdr:colOff>0</xdr:colOff>
      <xdr:row>29</xdr:row>
      <xdr:rowOff>0</xdr:rowOff>
    </xdr:from>
    <xdr:ext cx="5400000" cy="270000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205</xdr:col>
      <xdr:colOff>0</xdr:colOff>
      <xdr:row>29</xdr:row>
      <xdr:rowOff>0</xdr:rowOff>
    </xdr:from>
    <xdr:ext cx="5400000" cy="270000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217</xdr:col>
      <xdr:colOff>0</xdr:colOff>
      <xdr:row>29</xdr:row>
      <xdr:rowOff>0</xdr:rowOff>
    </xdr:from>
    <xdr:ext cx="5400000" cy="270000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229</xdr:col>
      <xdr:colOff>0</xdr:colOff>
      <xdr:row>29</xdr:row>
      <xdr:rowOff>0</xdr:rowOff>
    </xdr:from>
    <xdr:ext cx="5400000" cy="270000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241</xdr:col>
      <xdr:colOff>0</xdr:colOff>
      <xdr:row>29</xdr:row>
      <xdr:rowOff>0</xdr:rowOff>
    </xdr:from>
    <xdr:ext cx="5400000" cy="2700000"/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253</xdr:col>
      <xdr:colOff>0</xdr:colOff>
      <xdr:row>29</xdr:row>
      <xdr:rowOff>0</xdr:rowOff>
    </xdr:from>
    <xdr:ext cx="5400000" cy="2700000"/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  <xdr:oneCellAnchor>
    <xdr:from>
      <xdr:col>265</xdr:col>
      <xdr:colOff>0</xdr:colOff>
      <xdr:row>29</xdr:row>
      <xdr:rowOff>0</xdr:rowOff>
    </xdr:from>
    <xdr:ext cx="5400000" cy="2700000"/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oneCellAnchor>
  <xdr:oneCellAnchor>
    <xdr:from>
      <xdr:col>277</xdr:col>
      <xdr:colOff>0</xdr:colOff>
      <xdr:row>29</xdr:row>
      <xdr:rowOff>0</xdr:rowOff>
    </xdr:from>
    <xdr:ext cx="5400000" cy="2700000"/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oneCellAnchor>
  <xdr:oneCellAnchor>
    <xdr:from>
      <xdr:col>289</xdr:col>
      <xdr:colOff>0</xdr:colOff>
      <xdr:row>29</xdr:row>
      <xdr:rowOff>0</xdr:rowOff>
    </xdr:from>
    <xdr:ext cx="5400000" cy="2700000"/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oneCellAnchor>
  <xdr:oneCellAnchor>
    <xdr:from>
      <xdr:col>301</xdr:col>
      <xdr:colOff>0</xdr:colOff>
      <xdr:row>29</xdr:row>
      <xdr:rowOff>0</xdr:rowOff>
    </xdr:from>
    <xdr:ext cx="5400000" cy="2700000"/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oneCellAnchor>
  <xdr:oneCellAnchor>
    <xdr:from>
      <xdr:col>313</xdr:col>
      <xdr:colOff>0</xdr:colOff>
      <xdr:row>29</xdr:row>
      <xdr:rowOff>0</xdr:rowOff>
    </xdr:from>
    <xdr:ext cx="5400000" cy="2700000"/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oneCellAnchor>
  <xdr:oneCellAnchor>
    <xdr:from>
      <xdr:col>325</xdr:col>
      <xdr:colOff>0</xdr:colOff>
      <xdr:row>29</xdr:row>
      <xdr:rowOff>0</xdr:rowOff>
    </xdr:from>
    <xdr:ext cx="5400000" cy="2700000"/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oneCellAnchor>
  <xdr:oneCellAnchor>
    <xdr:from>
      <xdr:col>337</xdr:col>
      <xdr:colOff>0</xdr:colOff>
      <xdr:row>29</xdr:row>
      <xdr:rowOff>0</xdr:rowOff>
    </xdr:from>
    <xdr:ext cx="5400000" cy="2700000"/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oneCellAnchor>
  <xdr:oneCellAnchor>
    <xdr:from>
      <xdr:col>349</xdr:col>
      <xdr:colOff>0</xdr:colOff>
      <xdr:row>29</xdr:row>
      <xdr:rowOff>0</xdr:rowOff>
    </xdr:from>
    <xdr:ext cx="5400000" cy="2700000"/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oneCellAnchor>
  <xdr:oneCellAnchor>
    <xdr:from>
      <xdr:col>361</xdr:col>
      <xdr:colOff>0</xdr:colOff>
      <xdr:row>29</xdr:row>
      <xdr:rowOff>0</xdr:rowOff>
    </xdr:from>
    <xdr:ext cx="5400000" cy="2700000"/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oneCellAnchor>
  <xdr:oneCellAnchor>
    <xdr:from>
      <xdr:col>373</xdr:col>
      <xdr:colOff>0</xdr:colOff>
      <xdr:row>29</xdr:row>
      <xdr:rowOff>0</xdr:rowOff>
    </xdr:from>
    <xdr:ext cx="5400000" cy="2700000"/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oneCellAnchor>
  <xdr:oneCellAnchor>
    <xdr:from>
      <xdr:col>385</xdr:col>
      <xdr:colOff>0</xdr:colOff>
      <xdr:row>29</xdr:row>
      <xdr:rowOff>0</xdr:rowOff>
    </xdr:from>
    <xdr:ext cx="5400000" cy="2700000"/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oneCellAnchor>
  <xdr:oneCellAnchor>
    <xdr:from>
      <xdr:col>397</xdr:col>
      <xdr:colOff>0</xdr:colOff>
      <xdr:row>29</xdr:row>
      <xdr:rowOff>0</xdr:rowOff>
    </xdr:from>
    <xdr:ext cx="5400000" cy="2700000"/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oneCellAnchor>
  <xdr:oneCellAnchor>
    <xdr:from>
      <xdr:col>409</xdr:col>
      <xdr:colOff>0</xdr:colOff>
      <xdr:row>29</xdr:row>
      <xdr:rowOff>0</xdr:rowOff>
    </xdr:from>
    <xdr:ext cx="5400000" cy="2700000"/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oneCellAnchor>
  <xdr:oneCellAnchor>
    <xdr:from>
      <xdr:col>421</xdr:col>
      <xdr:colOff>0</xdr:colOff>
      <xdr:row>29</xdr:row>
      <xdr:rowOff>0</xdr:rowOff>
    </xdr:from>
    <xdr:ext cx="5400000" cy="2700000"/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oneCellAnchor>
  <xdr:oneCellAnchor>
    <xdr:from>
      <xdr:col>433</xdr:col>
      <xdr:colOff>0</xdr:colOff>
      <xdr:row>29</xdr:row>
      <xdr:rowOff>0</xdr:rowOff>
    </xdr:from>
    <xdr:ext cx="5400000" cy="2700000"/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oneCellAnchor>
  <xdr:oneCellAnchor>
    <xdr:from>
      <xdr:col>445</xdr:col>
      <xdr:colOff>0</xdr:colOff>
      <xdr:row>29</xdr:row>
      <xdr:rowOff>0</xdr:rowOff>
    </xdr:from>
    <xdr:ext cx="5400000" cy="2700000"/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oneCellAnchor>
  <xdr:oneCellAnchor>
    <xdr:from>
      <xdr:col>457</xdr:col>
      <xdr:colOff>0</xdr:colOff>
      <xdr:row>29</xdr:row>
      <xdr:rowOff>0</xdr:rowOff>
    </xdr:from>
    <xdr:ext cx="5400000" cy="2700000"/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oneCellAnchor>
  <xdr:oneCellAnchor>
    <xdr:from>
      <xdr:col>469</xdr:col>
      <xdr:colOff>0</xdr:colOff>
      <xdr:row>29</xdr:row>
      <xdr:rowOff>0</xdr:rowOff>
    </xdr:from>
    <xdr:ext cx="5400000" cy="2700000"/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oneCellAnchor>
  <xdr:oneCellAnchor>
    <xdr:from>
      <xdr:col>481</xdr:col>
      <xdr:colOff>0</xdr:colOff>
      <xdr:row>29</xdr:row>
      <xdr:rowOff>0</xdr:rowOff>
    </xdr:from>
    <xdr:ext cx="5400000" cy="2700000"/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oneCellAnchor>
  <xdr:oneCellAnchor>
    <xdr:from>
      <xdr:col>493</xdr:col>
      <xdr:colOff>0</xdr:colOff>
      <xdr:row>29</xdr:row>
      <xdr:rowOff>0</xdr:rowOff>
    </xdr:from>
    <xdr:ext cx="5400000" cy="2700000"/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oneCellAnchor>
  <xdr:oneCellAnchor>
    <xdr:from>
      <xdr:col>505</xdr:col>
      <xdr:colOff>0</xdr:colOff>
      <xdr:row>29</xdr:row>
      <xdr:rowOff>0</xdr:rowOff>
    </xdr:from>
    <xdr:ext cx="5400000" cy="2700000"/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oneCellAnchor>
  <xdr:oneCellAnchor>
    <xdr:from>
      <xdr:col>517</xdr:col>
      <xdr:colOff>0</xdr:colOff>
      <xdr:row>29</xdr:row>
      <xdr:rowOff>0</xdr:rowOff>
    </xdr:from>
    <xdr:ext cx="5400000" cy="2700000"/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oneCellAnchor>
  <xdr:oneCellAnchor>
    <xdr:from>
      <xdr:col>529</xdr:col>
      <xdr:colOff>0</xdr:colOff>
      <xdr:row>29</xdr:row>
      <xdr:rowOff>0</xdr:rowOff>
    </xdr:from>
    <xdr:ext cx="5400000" cy="2700000"/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oneCellAnchor>
  <xdr:oneCellAnchor>
    <xdr:from>
      <xdr:col>541</xdr:col>
      <xdr:colOff>0</xdr:colOff>
      <xdr:row>29</xdr:row>
      <xdr:rowOff>0</xdr:rowOff>
    </xdr:from>
    <xdr:ext cx="5400000" cy="2700000"/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oneCellAnchor>
  <xdr:oneCellAnchor>
    <xdr:from>
      <xdr:col>553</xdr:col>
      <xdr:colOff>0</xdr:colOff>
      <xdr:row>29</xdr:row>
      <xdr:rowOff>0</xdr:rowOff>
    </xdr:from>
    <xdr:ext cx="5400000" cy="2700000"/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oneCellAnchor>
  <xdr:oneCellAnchor>
    <xdr:from>
      <xdr:col>565</xdr:col>
      <xdr:colOff>0</xdr:colOff>
      <xdr:row>29</xdr:row>
      <xdr:rowOff>0</xdr:rowOff>
    </xdr:from>
    <xdr:ext cx="5400000" cy="2700000"/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oneCellAnchor>
  <xdr:oneCellAnchor>
    <xdr:from>
      <xdr:col>577</xdr:col>
      <xdr:colOff>0</xdr:colOff>
      <xdr:row>29</xdr:row>
      <xdr:rowOff>0</xdr:rowOff>
    </xdr:from>
    <xdr:ext cx="5400000" cy="2700000"/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oneCellAnchor>
  <xdr:oneCellAnchor>
    <xdr:from>
      <xdr:col>589</xdr:col>
      <xdr:colOff>0</xdr:colOff>
      <xdr:row>29</xdr:row>
      <xdr:rowOff>0</xdr:rowOff>
    </xdr:from>
    <xdr:ext cx="5400000" cy="2700000"/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oneCellAnchor>
  <xdr:oneCellAnchor>
    <xdr:from>
      <xdr:col>601</xdr:col>
      <xdr:colOff>0</xdr:colOff>
      <xdr:row>29</xdr:row>
      <xdr:rowOff>0</xdr:rowOff>
    </xdr:from>
    <xdr:ext cx="5400000" cy="2700000"/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oneCellAnchor>
  <xdr:oneCellAnchor>
    <xdr:from>
      <xdr:col>614</xdr:col>
      <xdr:colOff>390525</xdr:colOff>
      <xdr:row>19</xdr:row>
      <xdr:rowOff>133350</xdr:rowOff>
    </xdr:from>
    <xdr:ext cx="5400000" cy="2700000"/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oneCellAnchor>
  <xdr:oneCellAnchor>
    <xdr:from>
      <xdr:col>625</xdr:col>
      <xdr:colOff>0</xdr:colOff>
      <xdr:row>29</xdr:row>
      <xdr:rowOff>0</xdr:rowOff>
    </xdr:from>
    <xdr:ext cx="5400000" cy="2700000"/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oneCellAnchor>
  <xdr:oneCellAnchor>
    <xdr:from>
      <xdr:col>637</xdr:col>
      <xdr:colOff>0</xdr:colOff>
      <xdr:row>29</xdr:row>
      <xdr:rowOff>0</xdr:rowOff>
    </xdr:from>
    <xdr:ext cx="5400000" cy="2700000"/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oneCellAnchor>
  <xdr:oneCellAnchor>
    <xdr:from>
      <xdr:col>649</xdr:col>
      <xdr:colOff>0</xdr:colOff>
      <xdr:row>29</xdr:row>
      <xdr:rowOff>0</xdr:rowOff>
    </xdr:from>
    <xdr:ext cx="5400000" cy="2700000"/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oneCellAnchor>
  <xdr:oneCellAnchor>
    <xdr:from>
      <xdr:col>661</xdr:col>
      <xdr:colOff>0</xdr:colOff>
      <xdr:row>29</xdr:row>
      <xdr:rowOff>0</xdr:rowOff>
    </xdr:from>
    <xdr:ext cx="5400000" cy="2700000"/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oneCellAnchor>
  <xdr:oneCellAnchor>
    <xdr:from>
      <xdr:col>673</xdr:col>
      <xdr:colOff>0</xdr:colOff>
      <xdr:row>29</xdr:row>
      <xdr:rowOff>0</xdr:rowOff>
    </xdr:from>
    <xdr:ext cx="5400000" cy="2700000"/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oneCellAnchor>
  <xdr:oneCellAnchor>
    <xdr:from>
      <xdr:col>685</xdr:col>
      <xdr:colOff>0</xdr:colOff>
      <xdr:row>29</xdr:row>
      <xdr:rowOff>0</xdr:rowOff>
    </xdr:from>
    <xdr:ext cx="5400000" cy="2700000"/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oneCellAnchor>
  <xdr:oneCellAnchor>
    <xdr:from>
      <xdr:col>697</xdr:col>
      <xdr:colOff>0</xdr:colOff>
      <xdr:row>29</xdr:row>
      <xdr:rowOff>0</xdr:rowOff>
    </xdr:from>
    <xdr:ext cx="5400000" cy="2700000"/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oneCellAnchor>
  <xdr:oneCellAnchor>
    <xdr:from>
      <xdr:col>709</xdr:col>
      <xdr:colOff>0</xdr:colOff>
      <xdr:row>29</xdr:row>
      <xdr:rowOff>0</xdr:rowOff>
    </xdr:from>
    <xdr:ext cx="5400000" cy="2700000"/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oneCellAnchor>
  <xdr:oneCellAnchor>
    <xdr:from>
      <xdr:col>721</xdr:col>
      <xdr:colOff>0</xdr:colOff>
      <xdr:row>29</xdr:row>
      <xdr:rowOff>0</xdr:rowOff>
    </xdr:from>
    <xdr:ext cx="5400000" cy="2700000"/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oneCellAnchor>
  <xdr:oneCellAnchor>
    <xdr:from>
      <xdr:col>733</xdr:col>
      <xdr:colOff>0</xdr:colOff>
      <xdr:row>29</xdr:row>
      <xdr:rowOff>0</xdr:rowOff>
    </xdr:from>
    <xdr:ext cx="5400000" cy="2700000"/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oneCellAnchor>
  <xdr:oneCellAnchor>
    <xdr:from>
      <xdr:col>745</xdr:col>
      <xdr:colOff>0</xdr:colOff>
      <xdr:row>29</xdr:row>
      <xdr:rowOff>0</xdr:rowOff>
    </xdr:from>
    <xdr:ext cx="5400000" cy="2700000"/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oneCellAnchor>
  <xdr:oneCellAnchor>
    <xdr:from>
      <xdr:col>757</xdr:col>
      <xdr:colOff>0</xdr:colOff>
      <xdr:row>29</xdr:row>
      <xdr:rowOff>0</xdr:rowOff>
    </xdr:from>
    <xdr:ext cx="5400000" cy="2700000"/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oneCellAnchor>
  <xdr:oneCellAnchor>
    <xdr:from>
      <xdr:col>769</xdr:col>
      <xdr:colOff>0</xdr:colOff>
      <xdr:row>29</xdr:row>
      <xdr:rowOff>0</xdr:rowOff>
    </xdr:from>
    <xdr:ext cx="5400000" cy="2700000"/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oneCellAnchor>
  <xdr:oneCellAnchor>
    <xdr:from>
      <xdr:col>781</xdr:col>
      <xdr:colOff>0</xdr:colOff>
      <xdr:row>29</xdr:row>
      <xdr:rowOff>0</xdr:rowOff>
    </xdr:from>
    <xdr:ext cx="5400000" cy="2700000"/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oneCellAnchor>
  <xdr:oneCellAnchor>
    <xdr:from>
      <xdr:col>793</xdr:col>
      <xdr:colOff>0</xdr:colOff>
      <xdr:row>29</xdr:row>
      <xdr:rowOff>0</xdr:rowOff>
    </xdr:from>
    <xdr:ext cx="5400000" cy="2700000"/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oneCellAnchor>
  <xdr:oneCellAnchor>
    <xdr:from>
      <xdr:col>805</xdr:col>
      <xdr:colOff>0</xdr:colOff>
      <xdr:row>29</xdr:row>
      <xdr:rowOff>0</xdr:rowOff>
    </xdr:from>
    <xdr:ext cx="5400000" cy="2700000"/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oneCellAnchor>
  <xdr:oneCellAnchor>
    <xdr:from>
      <xdr:col>817</xdr:col>
      <xdr:colOff>0</xdr:colOff>
      <xdr:row>29</xdr:row>
      <xdr:rowOff>0</xdr:rowOff>
    </xdr:from>
    <xdr:ext cx="5400000" cy="2700000"/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oneCellAnchor>
  <xdr:oneCellAnchor>
    <xdr:from>
      <xdr:col>829</xdr:col>
      <xdr:colOff>0</xdr:colOff>
      <xdr:row>29</xdr:row>
      <xdr:rowOff>0</xdr:rowOff>
    </xdr:from>
    <xdr:ext cx="5400000" cy="2700000"/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oneCellAnchor>
  <xdr:oneCellAnchor>
    <xdr:from>
      <xdr:col>841</xdr:col>
      <xdr:colOff>0</xdr:colOff>
      <xdr:row>29</xdr:row>
      <xdr:rowOff>0</xdr:rowOff>
    </xdr:from>
    <xdr:ext cx="5400000" cy="2700000"/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oneCellAnchor>
  <xdr:oneCellAnchor>
    <xdr:from>
      <xdr:col>853</xdr:col>
      <xdr:colOff>0</xdr:colOff>
      <xdr:row>29</xdr:row>
      <xdr:rowOff>0</xdr:rowOff>
    </xdr:from>
    <xdr:ext cx="5400000" cy="2700000"/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oneCellAnchor>
  <xdr:oneCellAnchor>
    <xdr:from>
      <xdr:col>865</xdr:col>
      <xdr:colOff>0</xdr:colOff>
      <xdr:row>29</xdr:row>
      <xdr:rowOff>0</xdr:rowOff>
    </xdr:from>
    <xdr:ext cx="5400000" cy="2700000"/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oneCellAnchor>
  <xdr:oneCellAnchor>
    <xdr:from>
      <xdr:col>877</xdr:col>
      <xdr:colOff>0</xdr:colOff>
      <xdr:row>29</xdr:row>
      <xdr:rowOff>0</xdr:rowOff>
    </xdr:from>
    <xdr:ext cx="5400000" cy="2700000"/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oneCellAnchor>
  <xdr:oneCellAnchor>
    <xdr:from>
      <xdr:col>889</xdr:col>
      <xdr:colOff>0</xdr:colOff>
      <xdr:row>29</xdr:row>
      <xdr:rowOff>0</xdr:rowOff>
    </xdr:from>
    <xdr:ext cx="5400000" cy="2700000"/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oneCellAnchor>
  <xdr:oneCellAnchor>
    <xdr:from>
      <xdr:col>901</xdr:col>
      <xdr:colOff>0</xdr:colOff>
      <xdr:row>29</xdr:row>
      <xdr:rowOff>0</xdr:rowOff>
    </xdr:from>
    <xdr:ext cx="5400000" cy="2700000"/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oneCellAnchor>
  <xdr:oneCellAnchor>
    <xdr:from>
      <xdr:col>913</xdr:col>
      <xdr:colOff>0</xdr:colOff>
      <xdr:row>29</xdr:row>
      <xdr:rowOff>0</xdr:rowOff>
    </xdr:from>
    <xdr:ext cx="5400000" cy="2700000"/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oneCellAnchor>
  <xdr:oneCellAnchor>
    <xdr:from>
      <xdr:col>925</xdr:col>
      <xdr:colOff>0</xdr:colOff>
      <xdr:row>29</xdr:row>
      <xdr:rowOff>0</xdr:rowOff>
    </xdr:from>
    <xdr:ext cx="5400000" cy="2700000"/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oneCellAnchor>
  <xdr:oneCellAnchor>
    <xdr:from>
      <xdr:col>937</xdr:col>
      <xdr:colOff>0</xdr:colOff>
      <xdr:row>29</xdr:row>
      <xdr:rowOff>0</xdr:rowOff>
    </xdr:from>
    <xdr:ext cx="5400000" cy="2700000"/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oneCellAnchor>
  <xdr:oneCellAnchor>
    <xdr:from>
      <xdr:col>949</xdr:col>
      <xdr:colOff>0</xdr:colOff>
      <xdr:row>29</xdr:row>
      <xdr:rowOff>0</xdr:rowOff>
    </xdr:from>
    <xdr:ext cx="5400000" cy="2700000"/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oneCellAnchor>
  <xdr:oneCellAnchor>
    <xdr:from>
      <xdr:col>961</xdr:col>
      <xdr:colOff>0</xdr:colOff>
      <xdr:row>29</xdr:row>
      <xdr:rowOff>0</xdr:rowOff>
    </xdr:from>
    <xdr:ext cx="5400000" cy="2700000"/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oneCellAnchor>
  <xdr:oneCellAnchor>
    <xdr:from>
      <xdr:col>973</xdr:col>
      <xdr:colOff>0</xdr:colOff>
      <xdr:row>29</xdr:row>
      <xdr:rowOff>0</xdr:rowOff>
    </xdr:from>
    <xdr:ext cx="5400000" cy="2700000"/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oneCellAnchor>
  <xdr:oneCellAnchor>
    <xdr:from>
      <xdr:col>985</xdr:col>
      <xdr:colOff>0</xdr:colOff>
      <xdr:row>29</xdr:row>
      <xdr:rowOff>0</xdr:rowOff>
    </xdr:from>
    <xdr:ext cx="5400000" cy="2700000"/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oneCellAnchor>
  <xdr:oneCellAnchor>
    <xdr:from>
      <xdr:col>997</xdr:col>
      <xdr:colOff>0</xdr:colOff>
      <xdr:row>29</xdr:row>
      <xdr:rowOff>0</xdr:rowOff>
    </xdr:from>
    <xdr:ext cx="5400000" cy="2700000"/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oneCellAnchor>
  <xdr:oneCellAnchor>
    <xdr:from>
      <xdr:col>1009</xdr:col>
      <xdr:colOff>0</xdr:colOff>
      <xdr:row>29</xdr:row>
      <xdr:rowOff>0</xdr:rowOff>
    </xdr:from>
    <xdr:ext cx="5400000" cy="2700000"/>
    <xdr:graphicFrame macro="">
      <xdr:nvGraphicFramePr>
        <xdr:cNvPr id="86" name="Chart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oneCellAnchor>
  <xdr:oneCellAnchor>
    <xdr:from>
      <xdr:col>1021</xdr:col>
      <xdr:colOff>0</xdr:colOff>
      <xdr:row>29</xdr:row>
      <xdr:rowOff>0</xdr:rowOff>
    </xdr:from>
    <xdr:ext cx="5400000" cy="2700000"/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oneCellAnchor>
  <xdr:oneCellAnchor>
    <xdr:from>
      <xdr:col>1033</xdr:col>
      <xdr:colOff>0</xdr:colOff>
      <xdr:row>29</xdr:row>
      <xdr:rowOff>0</xdr:rowOff>
    </xdr:from>
    <xdr:ext cx="5400000" cy="2700000"/>
    <xdr:graphicFrame macro="">
      <xdr:nvGraphicFramePr>
        <xdr:cNvPr id="88" name="Chart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oneCellAnchor>
  <xdr:oneCellAnchor>
    <xdr:from>
      <xdr:col>1045</xdr:col>
      <xdr:colOff>0</xdr:colOff>
      <xdr:row>29</xdr:row>
      <xdr:rowOff>0</xdr:rowOff>
    </xdr:from>
    <xdr:ext cx="5400000" cy="2700000"/>
    <xdr:graphicFrame macro="">
      <xdr:nvGraphicFramePr>
        <xdr:cNvPr id="89" name="Chart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oneCellAnchor>
  <xdr:oneCellAnchor>
    <xdr:from>
      <xdr:col>1057</xdr:col>
      <xdr:colOff>0</xdr:colOff>
      <xdr:row>29</xdr:row>
      <xdr:rowOff>0</xdr:rowOff>
    </xdr:from>
    <xdr:ext cx="5400000" cy="2700000"/>
    <xdr:graphicFrame macro="">
      <xdr:nvGraphicFramePr>
        <xdr:cNvPr id="90" name="Chart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oneCellAnchor>
  <xdr:oneCellAnchor>
    <xdr:from>
      <xdr:col>1069</xdr:col>
      <xdr:colOff>0</xdr:colOff>
      <xdr:row>29</xdr:row>
      <xdr:rowOff>0</xdr:rowOff>
    </xdr:from>
    <xdr:ext cx="5400000" cy="2700000"/>
    <xdr:graphicFrame macro="">
      <xdr:nvGraphicFramePr>
        <xdr:cNvPr id="91" name="Chart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oneCellAnchor>
  <xdr:oneCellAnchor>
    <xdr:from>
      <xdr:col>1081</xdr:col>
      <xdr:colOff>0</xdr:colOff>
      <xdr:row>29</xdr:row>
      <xdr:rowOff>0</xdr:rowOff>
    </xdr:from>
    <xdr:ext cx="5400000" cy="2700000"/>
    <xdr:graphicFrame macro="">
      <xdr:nvGraphicFramePr>
        <xdr:cNvPr id="92" name="Chart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oneCellAnchor>
  <xdr:oneCellAnchor>
    <xdr:from>
      <xdr:col>1093</xdr:col>
      <xdr:colOff>0</xdr:colOff>
      <xdr:row>29</xdr:row>
      <xdr:rowOff>0</xdr:rowOff>
    </xdr:from>
    <xdr:ext cx="5400000" cy="2700000"/>
    <xdr:graphicFrame macro="">
      <xdr:nvGraphicFramePr>
        <xdr:cNvPr id="93" name="Chart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oneCellAnchor>
  <xdr:oneCellAnchor>
    <xdr:from>
      <xdr:col>1105</xdr:col>
      <xdr:colOff>0</xdr:colOff>
      <xdr:row>29</xdr:row>
      <xdr:rowOff>0</xdr:rowOff>
    </xdr:from>
    <xdr:ext cx="5400000" cy="2700000"/>
    <xdr:graphicFrame macro="">
      <xdr:nvGraphicFramePr>
        <xdr:cNvPr id="94" name="Chart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oneCellAnchor>
  <xdr:oneCellAnchor>
    <xdr:from>
      <xdr:col>1117</xdr:col>
      <xdr:colOff>0</xdr:colOff>
      <xdr:row>29</xdr:row>
      <xdr:rowOff>0</xdr:rowOff>
    </xdr:from>
    <xdr:ext cx="5400000" cy="2700000"/>
    <xdr:graphicFrame macro="">
      <xdr:nvGraphicFramePr>
        <xdr:cNvPr id="95" name="Chart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oneCellAnchor>
  <xdr:oneCellAnchor>
    <xdr:from>
      <xdr:col>1129</xdr:col>
      <xdr:colOff>0</xdr:colOff>
      <xdr:row>29</xdr:row>
      <xdr:rowOff>0</xdr:rowOff>
    </xdr:from>
    <xdr:ext cx="5400000" cy="2700000"/>
    <xdr:graphicFrame macro="">
      <xdr:nvGraphicFramePr>
        <xdr:cNvPr id="96" name="Chart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oneCellAnchor>
  <xdr:oneCellAnchor>
    <xdr:from>
      <xdr:col>1141</xdr:col>
      <xdr:colOff>0</xdr:colOff>
      <xdr:row>29</xdr:row>
      <xdr:rowOff>0</xdr:rowOff>
    </xdr:from>
    <xdr:ext cx="5400000" cy="2700000"/>
    <xdr:graphicFrame macro="">
      <xdr:nvGraphicFramePr>
        <xdr:cNvPr id="97" name="Chart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oneCellAnchor>
  <xdr:oneCellAnchor>
    <xdr:from>
      <xdr:col>1153</xdr:col>
      <xdr:colOff>0</xdr:colOff>
      <xdr:row>29</xdr:row>
      <xdr:rowOff>0</xdr:rowOff>
    </xdr:from>
    <xdr:ext cx="5400000" cy="2700000"/>
    <xdr:graphicFrame macro="">
      <xdr:nvGraphicFramePr>
        <xdr:cNvPr id="98" name="Chart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xdr:graphicFrame>
    <xdr:clientData/>
  </xdr:oneCellAnchor>
  <xdr:oneCellAnchor>
    <xdr:from>
      <xdr:col>1165</xdr:col>
      <xdr:colOff>0</xdr:colOff>
      <xdr:row>29</xdr:row>
      <xdr:rowOff>0</xdr:rowOff>
    </xdr:from>
    <xdr:ext cx="5400000" cy="2700000"/>
    <xdr:graphicFrame macro="">
      <xdr:nvGraphicFramePr>
        <xdr:cNvPr id="99" name="Chart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xdr:graphicFrame>
    <xdr:clientData/>
  </xdr:oneCellAnchor>
  <xdr:oneCellAnchor>
    <xdr:from>
      <xdr:col>1177</xdr:col>
      <xdr:colOff>0</xdr:colOff>
      <xdr:row>29</xdr:row>
      <xdr:rowOff>0</xdr:rowOff>
    </xdr:from>
    <xdr:ext cx="5400000" cy="2700000"/>
    <xdr:graphicFrame macro="">
      <xdr:nvGraphicFramePr>
        <xdr:cNvPr id="100" name="Chart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xdr:graphicFrame>
    <xdr:clientData/>
  </xdr:oneCellAnchor>
  <xdr:oneCellAnchor>
    <xdr:from>
      <xdr:col>1189</xdr:col>
      <xdr:colOff>0</xdr:colOff>
      <xdr:row>29</xdr:row>
      <xdr:rowOff>0</xdr:rowOff>
    </xdr:from>
    <xdr:ext cx="5400000" cy="2700000"/>
    <xdr:graphicFrame macro="">
      <xdr:nvGraphicFramePr>
        <xdr:cNvPr id="101" name="Chart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xdr:graphicFrame>
    <xdr:clientData/>
  </xdr:oneCellAnchor>
  <xdr:oneCellAnchor>
    <xdr:from>
      <xdr:col>1201</xdr:col>
      <xdr:colOff>0</xdr:colOff>
      <xdr:row>29</xdr:row>
      <xdr:rowOff>0</xdr:rowOff>
    </xdr:from>
    <xdr:ext cx="5400000" cy="2700000"/>
    <xdr:graphicFrame macro="">
      <xdr:nvGraphicFramePr>
        <xdr:cNvPr id="102" name="Chart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xdr:graphicFrame>
    <xdr:clientData/>
  </xdr:oneCellAnchor>
  <xdr:oneCellAnchor>
    <xdr:from>
      <xdr:col>1213</xdr:col>
      <xdr:colOff>0</xdr:colOff>
      <xdr:row>29</xdr:row>
      <xdr:rowOff>0</xdr:rowOff>
    </xdr:from>
    <xdr:ext cx="5400000" cy="2700000"/>
    <xdr:graphicFrame macro="">
      <xdr:nvGraphicFramePr>
        <xdr:cNvPr id="103" name="Chart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C58"/>
  <sheetViews>
    <sheetView tabSelected="1" zoomScale="97" workbookViewId="0">
      <selection activeCell="B57" sqref="B57"/>
    </sheetView>
  </sheetViews>
  <sheetFormatPr defaultRowHeight="15" x14ac:dyDescent="0.25"/>
  <cols>
    <col min="2" max="2" width="15.140625" bestFit="1" customWidth="1"/>
    <col min="3" max="3" width="16.7109375" bestFit="1" customWidth="1"/>
    <col min="7" max="7" width="9.85546875" bestFit="1" customWidth="1"/>
  </cols>
  <sheetData>
    <row r="1" spans="2:1225" x14ac:dyDescent="0.25">
      <c r="B1" t="s">
        <v>0</v>
      </c>
      <c r="C1" t="s">
        <v>4801</v>
      </c>
      <c r="D1" t="s">
        <v>4802</v>
      </c>
      <c r="E1" t="str">
        <f>"Move time"&amp;F1</f>
        <v>Move timeGreedy</v>
      </c>
      <c r="F1" t="s">
        <v>1</v>
      </c>
      <c r="H1" t="s">
        <v>0</v>
      </c>
      <c r="I1" t="s">
        <v>4801</v>
      </c>
      <c r="J1" t="s">
        <v>4802</v>
      </c>
      <c r="K1" t="str">
        <f>"Move time"&amp;L1</f>
        <v>Move timeCombi</v>
      </c>
      <c r="L1" t="s">
        <v>2</v>
      </c>
      <c r="N1" t="s">
        <v>0</v>
      </c>
      <c r="O1" t="s">
        <v>4801</v>
      </c>
      <c r="P1" t="s">
        <v>4802</v>
      </c>
      <c r="Q1" t="str">
        <f>"Move time"&amp;R1</f>
        <v>Move timeGreedy</v>
      </c>
      <c r="R1" t="s">
        <v>1</v>
      </c>
      <c r="T1" t="s">
        <v>0</v>
      </c>
      <c r="U1" t="s">
        <v>4801</v>
      </c>
      <c r="V1" t="s">
        <v>4802</v>
      </c>
      <c r="W1" t="str">
        <f>"Move time"&amp;X1</f>
        <v>Move timeCombi</v>
      </c>
      <c r="X1" t="s">
        <v>2</v>
      </c>
      <c r="Z1" t="s">
        <v>0</v>
      </c>
      <c r="AA1" t="s">
        <v>4801</v>
      </c>
      <c r="AB1" t="s">
        <v>4802</v>
      </c>
      <c r="AC1" t="str">
        <f>"Move time"&amp;AD1</f>
        <v>Move timeGreedy</v>
      </c>
      <c r="AD1" t="s">
        <v>1</v>
      </c>
      <c r="AF1" t="s">
        <v>0</v>
      </c>
      <c r="AG1" t="s">
        <v>4801</v>
      </c>
      <c r="AH1" t="s">
        <v>4802</v>
      </c>
      <c r="AI1" t="str">
        <f>"Move time"&amp;AJ1</f>
        <v>Move timeCombi</v>
      </c>
      <c r="AJ1" t="s">
        <v>2</v>
      </c>
      <c r="AL1" t="s">
        <v>0</v>
      </c>
      <c r="AM1" t="s">
        <v>4801</v>
      </c>
      <c r="AN1" t="s">
        <v>4802</v>
      </c>
      <c r="AO1" t="str">
        <f>"Move time"&amp;AP1</f>
        <v>Move timeGreedy</v>
      </c>
      <c r="AP1" t="s">
        <v>1</v>
      </c>
      <c r="AR1" t="s">
        <v>0</v>
      </c>
      <c r="AS1" t="s">
        <v>4801</v>
      </c>
      <c r="AT1" t="s">
        <v>4802</v>
      </c>
      <c r="AU1" t="str">
        <f>"Move time"&amp;AV1</f>
        <v>Move timeCombi</v>
      </c>
      <c r="AV1" t="s">
        <v>2</v>
      </c>
      <c r="AX1" t="s">
        <v>0</v>
      </c>
      <c r="AY1" t="s">
        <v>4801</v>
      </c>
      <c r="AZ1" t="s">
        <v>4802</v>
      </c>
      <c r="BA1" t="str">
        <f>"Move time"&amp;BB1</f>
        <v>Move timeGreedy</v>
      </c>
      <c r="BB1" t="s">
        <v>1</v>
      </c>
      <c r="BD1" t="s">
        <v>0</v>
      </c>
      <c r="BE1" t="s">
        <v>4801</v>
      </c>
      <c r="BF1" t="s">
        <v>4802</v>
      </c>
      <c r="BG1" t="str">
        <f>"Move time"&amp;BH1</f>
        <v>Move timeCombi</v>
      </c>
      <c r="BH1" t="s">
        <v>2</v>
      </c>
      <c r="BJ1" t="s">
        <v>0</v>
      </c>
      <c r="BK1" t="s">
        <v>4801</v>
      </c>
      <c r="BL1" t="s">
        <v>4802</v>
      </c>
      <c r="BM1" t="str">
        <f>"Move time"&amp;BN1</f>
        <v>Move timeGreedy</v>
      </c>
      <c r="BN1" t="s">
        <v>1</v>
      </c>
      <c r="BP1" t="s">
        <v>0</v>
      </c>
      <c r="BQ1" t="s">
        <v>4801</v>
      </c>
      <c r="BR1" t="s">
        <v>4802</v>
      </c>
      <c r="BS1" t="str">
        <f>"Move time"&amp;BT1</f>
        <v>Move timeCombi</v>
      </c>
      <c r="BT1" t="s">
        <v>2</v>
      </c>
      <c r="BV1" t="s">
        <v>0</v>
      </c>
      <c r="BW1" t="s">
        <v>4801</v>
      </c>
      <c r="BX1" t="s">
        <v>4802</v>
      </c>
      <c r="BY1" t="str">
        <f>"Move time"&amp;BZ1</f>
        <v>Move timeGreedy</v>
      </c>
      <c r="BZ1" t="s">
        <v>1</v>
      </c>
      <c r="CB1" t="s">
        <v>0</v>
      </c>
      <c r="CC1" t="s">
        <v>4801</v>
      </c>
      <c r="CD1" t="s">
        <v>4802</v>
      </c>
      <c r="CE1" t="str">
        <f>"Move time"&amp;CF1</f>
        <v>Move timeCombi</v>
      </c>
      <c r="CF1" t="s">
        <v>2</v>
      </c>
      <c r="CH1" t="s">
        <v>0</v>
      </c>
      <c r="CI1" t="s">
        <v>4801</v>
      </c>
      <c r="CJ1" t="s">
        <v>4802</v>
      </c>
      <c r="CK1" t="str">
        <f>"Move time"&amp;CL1</f>
        <v>Move timeGreedy</v>
      </c>
      <c r="CL1" t="s">
        <v>1</v>
      </c>
      <c r="CN1" t="s">
        <v>0</v>
      </c>
      <c r="CO1" t="s">
        <v>4801</v>
      </c>
      <c r="CP1" t="s">
        <v>4802</v>
      </c>
      <c r="CQ1" t="str">
        <f>"Move time"&amp;CR1</f>
        <v>Move timeCombi</v>
      </c>
      <c r="CR1" t="s">
        <v>2</v>
      </c>
      <c r="CT1" t="s">
        <v>0</v>
      </c>
      <c r="CU1" t="s">
        <v>4801</v>
      </c>
      <c r="CV1" t="s">
        <v>4802</v>
      </c>
      <c r="CW1" t="str">
        <f>"Move time"&amp;CX1</f>
        <v>Move timeGreedy</v>
      </c>
      <c r="CX1" t="s">
        <v>1</v>
      </c>
      <c r="CZ1" t="s">
        <v>0</v>
      </c>
      <c r="DA1" t="s">
        <v>4801</v>
      </c>
      <c r="DB1" t="s">
        <v>4802</v>
      </c>
      <c r="DC1" t="str">
        <f>"Move time"&amp;DD1</f>
        <v>Move timeCombi</v>
      </c>
      <c r="DD1" t="s">
        <v>2</v>
      </c>
      <c r="DF1" t="s">
        <v>0</v>
      </c>
      <c r="DG1" t="s">
        <v>4801</v>
      </c>
      <c r="DH1" t="s">
        <v>4802</v>
      </c>
      <c r="DI1" t="str">
        <f>"Move time"&amp;DJ1</f>
        <v>Move timeGreedy</v>
      </c>
      <c r="DJ1" t="s">
        <v>1</v>
      </c>
      <c r="DL1" t="s">
        <v>0</v>
      </c>
      <c r="DM1" t="s">
        <v>4801</v>
      </c>
      <c r="DN1" t="s">
        <v>4802</v>
      </c>
      <c r="DO1" t="str">
        <f>"Move time"&amp;DP1</f>
        <v>Move timeCombi</v>
      </c>
      <c r="DP1" t="s">
        <v>2</v>
      </c>
      <c r="DR1" t="s">
        <v>0</v>
      </c>
      <c r="DS1" t="s">
        <v>4801</v>
      </c>
      <c r="DT1" t="s">
        <v>4802</v>
      </c>
      <c r="DU1" t="str">
        <f>"Move time"&amp;DV1</f>
        <v>Move timeGreedy</v>
      </c>
      <c r="DV1" t="s">
        <v>1</v>
      </c>
      <c r="DX1" t="s">
        <v>0</v>
      </c>
      <c r="DY1" t="s">
        <v>4801</v>
      </c>
      <c r="DZ1" t="s">
        <v>4802</v>
      </c>
      <c r="EA1" t="str">
        <f>"Move time"&amp;EB1</f>
        <v>Move timeCombi</v>
      </c>
      <c r="EB1" t="s">
        <v>2</v>
      </c>
      <c r="ED1" t="s">
        <v>0</v>
      </c>
      <c r="EE1" t="s">
        <v>4801</v>
      </c>
      <c r="EF1" t="s">
        <v>4802</v>
      </c>
      <c r="EG1" t="str">
        <f>"Move time"&amp;EH1</f>
        <v>Move timeGreedy</v>
      </c>
      <c r="EH1" t="s">
        <v>1</v>
      </c>
      <c r="EJ1" t="s">
        <v>0</v>
      </c>
      <c r="EK1" t="s">
        <v>4801</v>
      </c>
      <c r="EL1" t="s">
        <v>4802</v>
      </c>
      <c r="EM1" t="str">
        <f>"Move time"&amp;EN1</f>
        <v>Move timeCombi</v>
      </c>
      <c r="EN1" t="s">
        <v>2</v>
      </c>
      <c r="EP1" t="s">
        <v>0</v>
      </c>
      <c r="EQ1" t="s">
        <v>4801</v>
      </c>
      <c r="ER1" t="s">
        <v>4802</v>
      </c>
      <c r="ES1" t="str">
        <f>"Move time"&amp;ET1</f>
        <v>Move timeGreedy</v>
      </c>
      <c r="ET1" t="s">
        <v>1</v>
      </c>
      <c r="EV1" t="s">
        <v>0</v>
      </c>
      <c r="EW1" t="s">
        <v>4801</v>
      </c>
      <c r="EX1" t="s">
        <v>4802</v>
      </c>
      <c r="EY1" t="str">
        <f>"Move time"&amp;EZ1</f>
        <v>Move timeCombi</v>
      </c>
      <c r="EZ1" t="s">
        <v>2</v>
      </c>
      <c r="FB1" t="s">
        <v>0</v>
      </c>
      <c r="FC1" t="s">
        <v>4801</v>
      </c>
      <c r="FD1" t="s">
        <v>4802</v>
      </c>
      <c r="FE1" t="str">
        <f>"Move time"&amp;FF1</f>
        <v>Move timeGreedy</v>
      </c>
      <c r="FF1" t="s">
        <v>1</v>
      </c>
      <c r="FH1" t="s">
        <v>0</v>
      </c>
      <c r="FI1" t="s">
        <v>4801</v>
      </c>
      <c r="FJ1" t="s">
        <v>4802</v>
      </c>
      <c r="FK1" t="str">
        <f>"Move time"&amp;FL1</f>
        <v>Move timeCombi</v>
      </c>
      <c r="FL1" t="s">
        <v>2</v>
      </c>
      <c r="FN1" t="s">
        <v>0</v>
      </c>
      <c r="FO1" t="s">
        <v>4801</v>
      </c>
      <c r="FP1" t="s">
        <v>4802</v>
      </c>
      <c r="FQ1" t="str">
        <f>"Move time"&amp;FR1</f>
        <v>Move timeGreedy</v>
      </c>
      <c r="FR1" t="s">
        <v>1</v>
      </c>
      <c r="FT1" t="s">
        <v>0</v>
      </c>
      <c r="FU1" t="s">
        <v>4801</v>
      </c>
      <c r="FV1" t="s">
        <v>4802</v>
      </c>
      <c r="FW1" t="str">
        <f>"Move time"&amp;FX1</f>
        <v>Move timeCombi</v>
      </c>
      <c r="FX1" t="s">
        <v>2</v>
      </c>
      <c r="FZ1" t="s">
        <v>0</v>
      </c>
      <c r="GA1" t="s">
        <v>4801</v>
      </c>
      <c r="GB1" t="s">
        <v>4802</v>
      </c>
      <c r="GC1" t="str">
        <f>"Move time"&amp;GD1</f>
        <v>Move timeGreedy</v>
      </c>
      <c r="GD1" t="s">
        <v>1</v>
      </c>
      <c r="GF1" t="s">
        <v>0</v>
      </c>
      <c r="GG1" t="s">
        <v>4801</v>
      </c>
      <c r="GH1" t="s">
        <v>4802</v>
      </c>
      <c r="GI1" t="str">
        <f>"Move time"&amp;GJ1</f>
        <v>Move timeCombi</v>
      </c>
      <c r="GJ1" t="s">
        <v>2</v>
      </c>
      <c r="GL1" t="s">
        <v>0</v>
      </c>
      <c r="GM1" t="s">
        <v>4801</v>
      </c>
      <c r="GN1" t="s">
        <v>4802</v>
      </c>
      <c r="GO1" t="str">
        <f>"Move time"&amp;GP1</f>
        <v>Move timeGreedy</v>
      </c>
      <c r="GP1" t="s">
        <v>1</v>
      </c>
      <c r="GR1" t="s">
        <v>0</v>
      </c>
      <c r="GS1" t="s">
        <v>4801</v>
      </c>
      <c r="GT1" t="s">
        <v>4802</v>
      </c>
      <c r="GU1" t="str">
        <f>"Move time"&amp;GV1</f>
        <v>Move timeCombi</v>
      </c>
      <c r="GV1" t="s">
        <v>2</v>
      </c>
      <c r="GX1" t="s">
        <v>0</v>
      </c>
      <c r="GY1" t="s">
        <v>4801</v>
      </c>
      <c r="GZ1" t="s">
        <v>4802</v>
      </c>
      <c r="HA1" t="str">
        <f>"Move time"&amp;HB1</f>
        <v>Move timeGreedy</v>
      </c>
      <c r="HB1" t="s">
        <v>1</v>
      </c>
      <c r="HD1" t="s">
        <v>0</v>
      </c>
      <c r="HE1" t="s">
        <v>4801</v>
      </c>
      <c r="HF1" t="s">
        <v>4802</v>
      </c>
      <c r="HG1" t="str">
        <f>"Move time"&amp;HH1</f>
        <v>Move timeCombi</v>
      </c>
      <c r="HH1" t="s">
        <v>2</v>
      </c>
      <c r="HJ1" t="s">
        <v>0</v>
      </c>
      <c r="HK1" t="s">
        <v>4801</v>
      </c>
      <c r="HL1" t="s">
        <v>4802</v>
      </c>
      <c r="HM1" t="str">
        <f>"Move time"&amp;HN1</f>
        <v>Move timeGreedy</v>
      </c>
      <c r="HN1" t="s">
        <v>1</v>
      </c>
      <c r="HP1" t="s">
        <v>0</v>
      </c>
      <c r="HQ1" t="s">
        <v>4801</v>
      </c>
      <c r="HR1" t="s">
        <v>4802</v>
      </c>
      <c r="HS1" t="str">
        <f>"Move time"&amp;HT1</f>
        <v>Move timeCombi</v>
      </c>
      <c r="HT1" t="s">
        <v>2</v>
      </c>
      <c r="HV1" t="s">
        <v>0</v>
      </c>
      <c r="HW1" t="s">
        <v>4801</v>
      </c>
      <c r="HX1" t="s">
        <v>4802</v>
      </c>
      <c r="HY1" t="str">
        <f>"Move time"&amp;HZ1</f>
        <v>Move timeGreedy</v>
      </c>
      <c r="HZ1" t="s">
        <v>1</v>
      </c>
      <c r="IB1" t="s">
        <v>0</v>
      </c>
      <c r="IC1" t="s">
        <v>4801</v>
      </c>
      <c r="ID1" t="s">
        <v>4802</v>
      </c>
      <c r="IE1" t="str">
        <f>"Move time"&amp;IF1</f>
        <v>Move timeCombi</v>
      </c>
      <c r="IF1" t="s">
        <v>2</v>
      </c>
      <c r="IH1" t="s">
        <v>0</v>
      </c>
      <c r="II1" t="s">
        <v>4801</v>
      </c>
      <c r="IJ1" t="s">
        <v>4802</v>
      </c>
      <c r="IK1" t="str">
        <f>"Move time"&amp;IL1</f>
        <v>Move timeGreedy</v>
      </c>
      <c r="IL1" t="s">
        <v>1</v>
      </c>
      <c r="IN1" t="s">
        <v>0</v>
      </c>
      <c r="IO1" t="s">
        <v>4801</v>
      </c>
      <c r="IP1" t="s">
        <v>4802</v>
      </c>
      <c r="IQ1" t="str">
        <f>"Move time"&amp;IR1</f>
        <v>Move timeCombi</v>
      </c>
      <c r="IR1" t="s">
        <v>2</v>
      </c>
      <c r="IT1" t="s">
        <v>0</v>
      </c>
      <c r="IU1" t="s">
        <v>4801</v>
      </c>
      <c r="IV1" t="s">
        <v>4802</v>
      </c>
      <c r="IW1" t="str">
        <f>"Move time"&amp;IX1</f>
        <v>Move timeGreedy</v>
      </c>
      <c r="IX1" t="s">
        <v>1</v>
      </c>
      <c r="IZ1" t="s">
        <v>0</v>
      </c>
      <c r="JA1" t="s">
        <v>4801</v>
      </c>
      <c r="JB1" t="s">
        <v>4802</v>
      </c>
      <c r="JC1" t="str">
        <f>"Move time"&amp;JD1</f>
        <v>Move timeCombi</v>
      </c>
      <c r="JD1" t="s">
        <v>2</v>
      </c>
      <c r="JF1" t="s">
        <v>0</v>
      </c>
      <c r="JG1" t="s">
        <v>4801</v>
      </c>
      <c r="JH1" t="s">
        <v>4802</v>
      </c>
      <c r="JI1" t="str">
        <f>"Move time"&amp;JJ1</f>
        <v>Move timeGreedy</v>
      </c>
      <c r="JJ1" t="s">
        <v>1</v>
      </c>
      <c r="JL1" t="s">
        <v>0</v>
      </c>
      <c r="JM1" t="s">
        <v>4801</v>
      </c>
      <c r="JN1" t="s">
        <v>4802</v>
      </c>
      <c r="JO1" t="str">
        <f>"Move time"&amp;JP1</f>
        <v>Move timeCombi</v>
      </c>
      <c r="JP1" t="s">
        <v>2</v>
      </c>
      <c r="JR1" t="s">
        <v>0</v>
      </c>
      <c r="JS1" t="s">
        <v>4801</v>
      </c>
      <c r="JT1" t="s">
        <v>4802</v>
      </c>
      <c r="JU1" t="str">
        <f>"Move time"&amp;JV1</f>
        <v>Move timeGreedy</v>
      </c>
      <c r="JV1" t="s">
        <v>1</v>
      </c>
      <c r="JX1" t="s">
        <v>0</v>
      </c>
      <c r="JY1" t="s">
        <v>4801</v>
      </c>
      <c r="JZ1" t="s">
        <v>4802</v>
      </c>
      <c r="KA1" t="str">
        <f>"Move time"&amp;KB1</f>
        <v>Move timeCombi</v>
      </c>
      <c r="KB1" t="s">
        <v>2</v>
      </c>
      <c r="KD1" t="s">
        <v>0</v>
      </c>
      <c r="KE1" t="s">
        <v>4801</v>
      </c>
      <c r="KF1" t="s">
        <v>4802</v>
      </c>
      <c r="KG1" t="str">
        <f>"Move time"&amp;KH1</f>
        <v>Move timeGreedy</v>
      </c>
      <c r="KH1" t="s">
        <v>1</v>
      </c>
      <c r="KJ1" t="s">
        <v>0</v>
      </c>
      <c r="KK1" t="s">
        <v>4801</v>
      </c>
      <c r="KL1" t="s">
        <v>4802</v>
      </c>
      <c r="KM1" t="str">
        <f>"Move time"&amp;KN1</f>
        <v>Move timeCombi</v>
      </c>
      <c r="KN1" t="s">
        <v>2</v>
      </c>
      <c r="KP1" t="s">
        <v>0</v>
      </c>
      <c r="KQ1" t="s">
        <v>4801</v>
      </c>
      <c r="KR1" t="s">
        <v>4802</v>
      </c>
      <c r="KS1" t="str">
        <f>"Move time"&amp;KT1</f>
        <v>Move timeGreedy</v>
      </c>
      <c r="KT1" t="s">
        <v>1</v>
      </c>
      <c r="KV1" t="s">
        <v>0</v>
      </c>
      <c r="KW1" t="s">
        <v>4801</v>
      </c>
      <c r="KX1" t="s">
        <v>4802</v>
      </c>
      <c r="KY1" t="str">
        <f>"Move time"&amp;KZ1</f>
        <v>Move timeCombi</v>
      </c>
      <c r="KZ1" t="s">
        <v>2</v>
      </c>
      <c r="LB1" t="s">
        <v>0</v>
      </c>
      <c r="LC1" t="s">
        <v>4801</v>
      </c>
      <c r="LD1" t="s">
        <v>4802</v>
      </c>
      <c r="LE1" t="str">
        <f>"Move time"&amp;LF1</f>
        <v>Move timeGreedy</v>
      </c>
      <c r="LF1" t="s">
        <v>1</v>
      </c>
      <c r="LH1" t="s">
        <v>0</v>
      </c>
      <c r="LI1" t="s">
        <v>4801</v>
      </c>
      <c r="LJ1" t="s">
        <v>4802</v>
      </c>
      <c r="LK1" t="str">
        <f>"Move time"&amp;LL1</f>
        <v>Move timeCombi</v>
      </c>
      <c r="LL1" t="s">
        <v>2</v>
      </c>
      <c r="LN1" t="s">
        <v>0</v>
      </c>
      <c r="LO1" t="s">
        <v>4801</v>
      </c>
      <c r="LP1" t="s">
        <v>4802</v>
      </c>
      <c r="LQ1" t="str">
        <f>"Move time"&amp;LR1</f>
        <v>Move timeGreedy</v>
      </c>
      <c r="LR1" t="s">
        <v>1</v>
      </c>
      <c r="LT1" t="s">
        <v>0</v>
      </c>
      <c r="LU1" t="s">
        <v>4801</v>
      </c>
      <c r="LV1" t="s">
        <v>4802</v>
      </c>
      <c r="LW1" t="str">
        <f>"Move time"&amp;LX1</f>
        <v>Move timeCombi</v>
      </c>
      <c r="LX1" t="s">
        <v>2</v>
      </c>
      <c r="LZ1" t="s">
        <v>0</v>
      </c>
      <c r="MA1" t="s">
        <v>4801</v>
      </c>
      <c r="MB1" t="s">
        <v>4802</v>
      </c>
      <c r="MC1" t="str">
        <f>"Move time"&amp;MD1</f>
        <v>Move timeGreedy</v>
      </c>
      <c r="MD1" t="s">
        <v>1</v>
      </c>
      <c r="MF1" t="s">
        <v>0</v>
      </c>
      <c r="MG1" t="s">
        <v>4801</v>
      </c>
      <c r="MH1" t="s">
        <v>4802</v>
      </c>
      <c r="MI1" t="str">
        <f>"Move time"&amp;MJ1</f>
        <v>Move timeCombi</v>
      </c>
      <c r="MJ1" t="s">
        <v>2</v>
      </c>
      <c r="ML1" t="s">
        <v>0</v>
      </c>
      <c r="MM1" t="s">
        <v>4801</v>
      </c>
      <c r="MN1" t="s">
        <v>4802</v>
      </c>
      <c r="MO1" t="str">
        <f>"Move time"&amp;MP1</f>
        <v>Move timeGreedy</v>
      </c>
      <c r="MP1" t="s">
        <v>1</v>
      </c>
      <c r="MR1" t="s">
        <v>0</v>
      </c>
      <c r="MS1" t="s">
        <v>4801</v>
      </c>
      <c r="MT1" t="s">
        <v>4802</v>
      </c>
      <c r="MU1" t="str">
        <f>"Move time"&amp;MV1</f>
        <v>Move timeCombi</v>
      </c>
      <c r="MV1" t="s">
        <v>2</v>
      </c>
      <c r="MX1" t="s">
        <v>0</v>
      </c>
      <c r="MY1" t="s">
        <v>4801</v>
      </c>
      <c r="MZ1" t="s">
        <v>4802</v>
      </c>
      <c r="NA1" t="str">
        <f>"Move time"&amp;NB1</f>
        <v>Move timeGreedy</v>
      </c>
      <c r="NB1" t="s">
        <v>1</v>
      </c>
      <c r="ND1" t="s">
        <v>0</v>
      </c>
      <c r="NE1" t="s">
        <v>4801</v>
      </c>
      <c r="NF1" t="s">
        <v>4802</v>
      </c>
      <c r="NG1" t="str">
        <f>"Move time"&amp;NH1</f>
        <v>Move timeCombi</v>
      </c>
      <c r="NH1" t="s">
        <v>2</v>
      </c>
      <c r="NJ1" t="s">
        <v>0</v>
      </c>
      <c r="NK1" t="s">
        <v>4801</v>
      </c>
      <c r="NL1" t="s">
        <v>4802</v>
      </c>
      <c r="NM1" t="str">
        <f>"Move time"&amp;NN1</f>
        <v>Move timeGreedy</v>
      </c>
      <c r="NN1" t="s">
        <v>1</v>
      </c>
      <c r="NP1" t="s">
        <v>0</v>
      </c>
      <c r="NQ1" t="s">
        <v>4801</v>
      </c>
      <c r="NR1" t="s">
        <v>4802</v>
      </c>
      <c r="NS1" t="str">
        <f>"Move time"&amp;NT1</f>
        <v>Move timeCombi</v>
      </c>
      <c r="NT1" t="s">
        <v>2</v>
      </c>
      <c r="NV1" t="s">
        <v>0</v>
      </c>
      <c r="NW1" t="s">
        <v>4801</v>
      </c>
      <c r="NX1" t="s">
        <v>4802</v>
      </c>
      <c r="NY1" t="str">
        <f>"Move time"&amp;NZ1</f>
        <v>Move timeGreedy</v>
      </c>
      <c r="NZ1" t="s">
        <v>1</v>
      </c>
      <c r="OB1" t="s">
        <v>0</v>
      </c>
      <c r="OC1" t="s">
        <v>4801</v>
      </c>
      <c r="OD1" t="s">
        <v>4802</v>
      </c>
      <c r="OE1" t="str">
        <f>"Move time"&amp;OF1</f>
        <v>Move timeCombi</v>
      </c>
      <c r="OF1" t="s">
        <v>2</v>
      </c>
      <c r="OH1" t="s">
        <v>0</v>
      </c>
      <c r="OI1" t="s">
        <v>4801</v>
      </c>
      <c r="OJ1" t="s">
        <v>4802</v>
      </c>
      <c r="OK1" t="str">
        <f>"Move time"&amp;OL1</f>
        <v>Move timeGreedy</v>
      </c>
      <c r="OL1" t="s">
        <v>1</v>
      </c>
      <c r="ON1" t="s">
        <v>0</v>
      </c>
      <c r="OO1" t="s">
        <v>4801</v>
      </c>
      <c r="OP1" t="s">
        <v>4802</v>
      </c>
      <c r="OQ1" t="str">
        <f>"Move time"&amp;OR1</f>
        <v>Move timeCombi</v>
      </c>
      <c r="OR1" t="s">
        <v>2</v>
      </c>
      <c r="OT1" t="s">
        <v>0</v>
      </c>
      <c r="OU1" t="s">
        <v>4801</v>
      </c>
      <c r="OV1" t="s">
        <v>4802</v>
      </c>
      <c r="OW1" t="str">
        <f>"Move time"&amp;OX1</f>
        <v>Move timeGreedy</v>
      </c>
      <c r="OX1" t="s">
        <v>1</v>
      </c>
      <c r="OZ1" t="s">
        <v>0</v>
      </c>
      <c r="PA1" t="s">
        <v>4801</v>
      </c>
      <c r="PB1" t="s">
        <v>4802</v>
      </c>
      <c r="PC1" t="str">
        <f>"Move time"&amp;PD1</f>
        <v>Move timeCombi</v>
      </c>
      <c r="PD1" t="s">
        <v>2</v>
      </c>
      <c r="PF1" t="s">
        <v>0</v>
      </c>
      <c r="PG1" t="s">
        <v>4801</v>
      </c>
      <c r="PH1" t="s">
        <v>4802</v>
      </c>
      <c r="PI1" t="str">
        <f>"Move time"&amp;PJ1</f>
        <v>Move timeGreedy</v>
      </c>
      <c r="PJ1" t="s">
        <v>1</v>
      </c>
      <c r="PL1" t="s">
        <v>0</v>
      </c>
      <c r="PM1" t="s">
        <v>4801</v>
      </c>
      <c r="PN1" t="s">
        <v>4802</v>
      </c>
      <c r="PO1" t="str">
        <f>"Move time"&amp;PP1</f>
        <v>Move timeCombi</v>
      </c>
      <c r="PP1" t="s">
        <v>2</v>
      </c>
      <c r="PR1" t="s">
        <v>0</v>
      </c>
      <c r="PS1" t="s">
        <v>4801</v>
      </c>
      <c r="PT1" t="s">
        <v>4802</v>
      </c>
      <c r="PU1" t="str">
        <f>"Move time"&amp;PV1</f>
        <v>Move timeGreedy</v>
      </c>
      <c r="PV1" t="s">
        <v>1</v>
      </c>
      <c r="PX1" t="s">
        <v>0</v>
      </c>
      <c r="PY1" t="s">
        <v>4801</v>
      </c>
      <c r="PZ1" t="s">
        <v>4802</v>
      </c>
      <c r="QA1" t="str">
        <f>"Move time"&amp;QB1</f>
        <v>Move timeCombi</v>
      </c>
      <c r="QB1" t="s">
        <v>2</v>
      </c>
      <c r="QD1" t="s">
        <v>0</v>
      </c>
      <c r="QE1" t="s">
        <v>4801</v>
      </c>
      <c r="QF1" t="s">
        <v>4802</v>
      </c>
      <c r="QG1" t="str">
        <f>"Move time"&amp;QH1</f>
        <v>Move timeGreedy</v>
      </c>
      <c r="QH1" t="s">
        <v>1</v>
      </c>
      <c r="QJ1" t="s">
        <v>0</v>
      </c>
      <c r="QK1" t="s">
        <v>4801</v>
      </c>
      <c r="QL1" t="s">
        <v>4802</v>
      </c>
      <c r="QM1" t="str">
        <f>"Move time"&amp;QN1</f>
        <v>Move timeCombi</v>
      </c>
      <c r="QN1" t="s">
        <v>2</v>
      </c>
      <c r="QP1" t="s">
        <v>0</v>
      </c>
      <c r="QQ1" t="s">
        <v>4801</v>
      </c>
      <c r="QR1" t="s">
        <v>4802</v>
      </c>
      <c r="QS1" t="str">
        <f>"Move time"&amp;QT1</f>
        <v>Move timeGreedy</v>
      </c>
      <c r="QT1" t="s">
        <v>1</v>
      </c>
      <c r="QV1" t="s">
        <v>0</v>
      </c>
      <c r="QW1" t="s">
        <v>4801</v>
      </c>
      <c r="QX1" t="s">
        <v>4802</v>
      </c>
      <c r="QY1" t="str">
        <f>"Move time"&amp;QZ1</f>
        <v>Move timeCombi</v>
      </c>
      <c r="QZ1" t="s">
        <v>2</v>
      </c>
      <c r="RB1" t="s">
        <v>0</v>
      </c>
      <c r="RC1" t="s">
        <v>4801</v>
      </c>
      <c r="RD1" t="s">
        <v>4802</v>
      </c>
      <c r="RE1" t="str">
        <f>"Move time"&amp;RF1</f>
        <v>Move timeGreedy</v>
      </c>
      <c r="RF1" t="s">
        <v>1</v>
      </c>
      <c r="RH1" t="s">
        <v>0</v>
      </c>
      <c r="RI1" t="s">
        <v>4801</v>
      </c>
      <c r="RJ1" t="s">
        <v>4802</v>
      </c>
      <c r="RK1" t="str">
        <f>"Move time"&amp;RL1</f>
        <v>Move timeCombi</v>
      </c>
      <c r="RL1" t="s">
        <v>2</v>
      </c>
      <c r="RN1" t="s">
        <v>0</v>
      </c>
      <c r="RO1" t="s">
        <v>4801</v>
      </c>
      <c r="RP1" t="s">
        <v>4802</v>
      </c>
      <c r="RQ1" t="str">
        <f>"Move time"&amp;RR1</f>
        <v>Move timeGreedy</v>
      </c>
      <c r="RR1" t="s">
        <v>1</v>
      </c>
      <c r="RT1" t="s">
        <v>0</v>
      </c>
      <c r="RU1" t="s">
        <v>4801</v>
      </c>
      <c r="RV1" t="s">
        <v>4802</v>
      </c>
      <c r="RW1" t="str">
        <f>"Move time"&amp;RX1</f>
        <v>Move timeCombi</v>
      </c>
      <c r="RX1" t="s">
        <v>2</v>
      </c>
      <c r="RZ1" t="s">
        <v>0</v>
      </c>
      <c r="SA1" t="s">
        <v>4801</v>
      </c>
      <c r="SB1" t="s">
        <v>4802</v>
      </c>
      <c r="SC1" t="str">
        <f>"Move time"&amp;SD1</f>
        <v>Move timeGreedy</v>
      </c>
      <c r="SD1" t="s">
        <v>1</v>
      </c>
      <c r="SF1" t="s">
        <v>0</v>
      </c>
      <c r="SG1" t="s">
        <v>4801</v>
      </c>
      <c r="SH1" t="s">
        <v>4802</v>
      </c>
      <c r="SI1" t="str">
        <f>"Move time"&amp;SJ1</f>
        <v>Move timeCombi</v>
      </c>
      <c r="SJ1" t="s">
        <v>2</v>
      </c>
      <c r="SL1" t="s">
        <v>0</v>
      </c>
      <c r="SM1" t="s">
        <v>4801</v>
      </c>
      <c r="SN1" t="s">
        <v>4802</v>
      </c>
      <c r="SO1" t="str">
        <f>"Move time"&amp;SP1</f>
        <v>Move timeGreedy</v>
      </c>
      <c r="SP1" t="s">
        <v>1</v>
      </c>
      <c r="SR1" t="s">
        <v>0</v>
      </c>
      <c r="SS1" t="s">
        <v>4801</v>
      </c>
      <c r="ST1" t="s">
        <v>4802</v>
      </c>
      <c r="SU1" t="str">
        <f>"Move time"&amp;SV1</f>
        <v>Move timeCombi</v>
      </c>
      <c r="SV1" t="s">
        <v>2</v>
      </c>
      <c r="SX1" t="s">
        <v>0</v>
      </c>
      <c r="SY1" t="s">
        <v>4801</v>
      </c>
      <c r="SZ1" t="s">
        <v>4802</v>
      </c>
      <c r="TA1" t="str">
        <f>"Move time"&amp;TB1</f>
        <v>Move timeGreedy</v>
      </c>
      <c r="TB1" t="s">
        <v>1</v>
      </c>
      <c r="TD1" t="s">
        <v>0</v>
      </c>
      <c r="TE1" t="s">
        <v>4801</v>
      </c>
      <c r="TF1" t="s">
        <v>4802</v>
      </c>
      <c r="TG1" t="str">
        <f>"Move time"&amp;TH1</f>
        <v>Move timeCombi</v>
      </c>
      <c r="TH1" t="s">
        <v>2</v>
      </c>
      <c r="TJ1" t="s">
        <v>0</v>
      </c>
      <c r="TK1" t="s">
        <v>4801</v>
      </c>
      <c r="TL1" t="s">
        <v>4802</v>
      </c>
      <c r="TM1" t="str">
        <f>"Move time"&amp;TN1</f>
        <v>Move timeGreedy</v>
      </c>
      <c r="TN1" t="s">
        <v>1</v>
      </c>
      <c r="TP1" t="s">
        <v>0</v>
      </c>
      <c r="TQ1" t="s">
        <v>4801</v>
      </c>
      <c r="TR1" t="s">
        <v>4802</v>
      </c>
      <c r="TS1" t="str">
        <f>"Move time"&amp;TT1</f>
        <v>Move timeCombi</v>
      </c>
      <c r="TT1" t="s">
        <v>2</v>
      </c>
      <c r="TV1" t="s">
        <v>0</v>
      </c>
      <c r="TW1" t="s">
        <v>4801</v>
      </c>
      <c r="TX1" t="s">
        <v>4802</v>
      </c>
      <c r="TY1" t="str">
        <f>"Move time"&amp;TZ1</f>
        <v>Move timeGreedy</v>
      </c>
      <c r="TZ1" t="s">
        <v>1</v>
      </c>
      <c r="UB1" t="s">
        <v>0</v>
      </c>
      <c r="UC1" t="s">
        <v>4801</v>
      </c>
      <c r="UD1" t="s">
        <v>4802</v>
      </c>
      <c r="UE1" t="str">
        <f>"Move time"&amp;UF1</f>
        <v>Move timeCombi</v>
      </c>
      <c r="UF1" t="s">
        <v>2</v>
      </c>
      <c r="UH1" t="s">
        <v>0</v>
      </c>
      <c r="UI1" t="s">
        <v>4801</v>
      </c>
      <c r="UJ1" t="s">
        <v>4802</v>
      </c>
      <c r="UK1" t="str">
        <f>"Move time"&amp;UL1</f>
        <v>Move timeGreedy</v>
      </c>
      <c r="UL1" t="s">
        <v>1</v>
      </c>
      <c r="UN1" t="s">
        <v>0</v>
      </c>
      <c r="UO1" t="s">
        <v>4801</v>
      </c>
      <c r="UP1" t="s">
        <v>4802</v>
      </c>
      <c r="UQ1" t="str">
        <f>"Move time"&amp;UR1</f>
        <v>Move timeCombi</v>
      </c>
      <c r="UR1" t="s">
        <v>2</v>
      </c>
      <c r="UT1" t="s">
        <v>0</v>
      </c>
      <c r="UU1" t="s">
        <v>4801</v>
      </c>
      <c r="UV1" t="s">
        <v>4802</v>
      </c>
      <c r="UW1" t="str">
        <f>"Move time"&amp;UX1</f>
        <v>Move timeGreedy</v>
      </c>
      <c r="UX1" t="s">
        <v>1</v>
      </c>
      <c r="UZ1" t="s">
        <v>0</v>
      </c>
      <c r="VA1" t="s">
        <v>4801</v>
      </c>
      <c r="VB1" t="s">
        <v>4802</v>
      </c>
      <c r="VC1" t="str">
        <f>"Move time"&amp;VD1</f>
        <v>Move timeCombi</v>
      </c>
      <c r="VD1" t="s">
        <v>2</v>
      </c>
      <c r="VF1" t="s">
        <v>0</v>
      </c>
      <c r="VG1" t="s">
        <v>4801</v>
      </c>
      <c r="VH1" t="s">
        <v>4802</v>
      </c>
      <c r="VI1" t="str">
        <f>"Move time"&amp;VJ1</f>
        <v>Move timeGreedy</v>
      </c>
      <c r="VJ1" t="s">
        <v>1</v>
      </c>
      <c r="VL1" t="s">
        <v>0</v>
      </c>
      <c r="VM1" t="s">
        <v>4801</v>
      </c>
      <c r="VN1" t="s">
        <v>4802</v>
      </c>
      <c r="VO1" t="str">
        <f>"Move time"&amp;VP1</f>
        <v>Move timeCombi</v>
      </c>
      <c r="VP1" t="s">
        <v>2</v>
      </c>
      <c r="VR1" t="s">
        <v>0</v>
      </c>
      <c r="VS1" t="s">
        <v>4801</v>
      </c>
      <c r="VT1" t="s">
        <v>4802</v>
      </c>
      <c r="VU1" t="str">
        <f>"Move time"&amp;VV1</f>
        <v>Move timeGreedy</v>
      </c>
      <c r="VV1" t="s">
        <v>1</v>
      </c>
      <c r="VX1" t="s">
        <v>0</v>
      </c>
      <c r="VY1" t="s">
        <v>4801</v>
      </c>
      <c r="VZ1" t="s">
        <v>4802</v>
      </c>
      <c r="WA1" t="str">
        <f>"Move time"&amp;WB1</f>
        <v>Move timeCombi</v>
      </c>
      <c r="WB1" t="s">
        <v>2</v>
      </c>
      <c r="WD1" t="s">
        <v>0</v>
      </c>
      <c r="WE1" t="s">
        <v>4801</v>
      </c>
      <c r="WF1" t="s">
        <v>4802</v>
      </c>
      <c r="WG1" t="str">
        <f>"Move time"&amp;WH1</f>
        <v>Move timeGreedy</v>
      </c>
      <c r="WH1" t="s">
        <v>1</v>
      </c>
      <c r="WJ1" t="s">
        <v>0</v>
      </c>
      <c r="WK1" t="s">
        <v>4801</v>
      </c>
      <c r="WL1" t="s">
        <v>4802</v>
      </c>
      <c r="WM1" t="str">
        <f>"Move time"&amp;WN1</f>
        <v>Move timeCombi</v>
      </c>
      <c r="WN1" t="s">
        <v>2</v>
      </c>
      <c r="WP1" t="s">
        <v>0</v>
      </c>
      <c r="WQ1" t="s">
        <v>4801</v>
      </c>
      <c r="WR1" t="s">
        <v>4802</v>
      </c>
      <c r="WS1" t="str">
        <f>"Move time"&amp;WT1</f>
        <v>Move timeCombi</v>
      </c>
      <c r="WT1" t="s">
        <v>2</v>
      </c>
      <c r="WV1" t="s">
        <v>0</v>
      </c>
      <c r="WW1" t="s">
        <v>4801</v>
      </c>
      <c r="WX1" t="s">
        <v>4802</v>
      </c>
      <c r="WY1" t="str">
        <f>"Move time"&amp;WZ1</f>
        <v>Move timeGreedy</v>
      </c>
      <c r="WZ1" t="s">
        <v>1</v>
      </c>
      <c r="XB1" t="s">
        <v>0</v>
      </c>
      <c r="XC1" t="s">
        <v>4801</v>
      </c>
      <c r="XD1" t="s">
        <v>4802</v>
      </c>
      <c r="XE1" t="str">
        <f>"Move time"&amp;XF1</f>
        <v>Move timeCombi</v>
      </c>
      <c r="XF1" t="s">
        <v>2</v>
      </c>
      <c r="XH1" t="s">
        <v>0</v>
      </c>
      <c r="XI1" t="s">
        <v>4801</v>
      </c>
      <c r="XJ1" t="s">
        <v>4802</v>
      </c>
      <c r="XK1" t="str">
        <f>"Move time"&amp;XL1</f>
        <v>Move timeGreedy</v>
      </c>
      <c r="XL1" t="s">
        <v>1</v>
      </c>
      <c r="XN1" t="s">
        <v>0</v>
      </c>
      <c r="XO1" t="s">
        <v>4801</v>
      </c>
      <c r="XP1" t="s">
        <v>4802</v>
      </c>
      <c r="XQ1" t="str">
        <f>"Move time"&amp;XR1</f>
        <v>Move timeCombi</v>
      </c>
      <c r="XR1" t="s">
        <v>2</v>
      </c>
      <c r="XT1" t="s">
        <v>0</v>
      </c>
      <c r="XU1" t="s">
        <v>4801</v>
      </c>
      <c r="XV1" t="s">
        <v>4802</v>
      </c>
      <c r="XW1" t="str">
        <f>"Move time"&amp;XX1</f>
        <v>Move timeGreedy</v>
      </c>
      <c r="XX1" t="s">
        <v>1</v>
      </c>
      <c r="XZ1" t="s">
        <v>0</v>
      </c>
      <c r="YA1" t="s">
        <v>4801</v>
      </c>
      <c r="YB1" t="s">
        <v>4802</v>
      </c>
      <c r="YC1" t="str">
        <f>"Move time"&amp;YD1</f>
        <v>Move timeCombi</v>
      </c>
      <c r="YD1" t="s">
        <v>2</v>
      </c>
      <c r="YF1" t="s">
        <v>0</v>
      </c>
      <c r="YG1" t="s">
        <v>4801</v>
      </c>
      <c r="YH1" t="s">
        <v>4802</v>
      </c>
      <c r="YI1" t="str">
        <f>"Move time"&amp;YJ1</f>
        <v>Move timeGreedy</v>
      </c>
      <c r="YJ1" t="s">
        <v>1</v>
      </c>
      <c r="YL1" t="s">
        <v>0</v>
      </c>
      <c r="YM1" t="s">
        <v>4801</v>
      </c>
      <c r="YN1" t="s">
        <v>4802</v>
      </c>
      <c r="YO1" t="str">
        <f>"Move time"&amp;YP1</f>
        <v>Move timeCombi</v>
      </c>
      <c r="YP1" t="s">
        <v>2</v>
      </c>
      <c r="YR1" t="s">
        <v>0</v>
      </c>
      <c r="YS1" t="s">
        <v>4801</v>
      </c>
      <c r="YT1" t="s">
        <v>4802</v>
      </c>
      <c r="YU1" t="str">
        <f>"Move time"&amp;YV1</f>
        <v>Move timeGreedy</v>
      </c>
      <c r="YV1" t="s">
        <v>1</v>
      </c>
      <c r="YX1" t="s">
        <v>0</v>
      </c>
      <c r="YY1" t="s">
        <v>4801</v>
      </c>
      <c r="YZ1" t="s">
        <v>4802</v>
      </c>
      <c r="ZA1" t="str">
        <f>"Move time"&amp;ZB1</f>
        <v>Move timeCombi</v>
      </c>
      <c r="ZB1" t="s">
        <v>2</v>
      </c>
      <c r="ZD1" t="s">
        <v>0</v>
      </c>
      <c r="ZE1" t="s">
        <v>4801</v>
      </c>
      <c r="ZF1" t="s">
        <v>4802</v>
      </c>
      <c r="ZG1" t="str">
        <f>"Move time"&amp;ZH1</f>
        <v>Move timeGreedy</v>
      </c>
      <c r="ZH1" t="s">
        <v>1</v>
      </c>
      <c r="ZJ1" t="s">
        <v>0</v>
      </c>
      <c r="ZK1" t="s">
        <v>4801</v>
      </c>
      <c r="ZL1" t="s">
        <v>4802</v>
      </c>
      <c r="ZM1" t="str">
        <f>"Move time"&amp;ZN1</f>
        <v>Move timeCombi</v>
      </c>
      <c r="ZN1" t="s">
        <v>2</v>
      </c>
      <c r="ZP1" t="s">
        <v>0</v>
      </c>
      <c r="ZQ1" t="s">
        <v>4801</v>
      </c>
      <c r="ZR1" t="s">
        <v>4802</v>
      </c>
      <c r="ZS1" t="str">
        <f>"Move time"&amp;ZT1</f>
        <v>Move timeGreedy</v>
      </c>
      <c r="ZT1" t="s">
        <v>1</v>
      </c>
      <c r="ZV1" t="s">
        <v>0</v>
      </c>
      <c r="ZW1" t="s">
        <v>4801</v>
      </c>
      <c r="ZX1" t="s">
        <v>4802</v>
      </c>
      <c r="ZY1" t="str">
        <f>"Move time"&amp;ZZ1</f>
        <v>Move timeCombi</v>
      </c>
      <c r="ZZ1" t="s">
        <v>2</v>
      </c>
      <c r="AAB1" t="s">
        <v>0</v>
      </c>
      <c r="AAC1" t="s">
        <v>4801</v>
      </c>
      <c r="AAD1" t="s">
        <v>4802</v>
      </c>
      <c r="AAE1" t="str">
        <f>"Move time"&amp;AAF1</f>
        <v>Move timeGreedy</v>
      </c>
      <c r="AAF1" t="s">
        <v>1</v>
      </c>
      <c r="AAH1" t="s">
        <v>0</v>
      </c>
      <c r="AAI1" t="s">
        <v>4801</v>
      </c>
      <c r="AAJ1" t="s">
        <v>4802</v>
      </c>
      <c r="AAK1" t="str">
        <f>"Move time"&amp;AAL1</f>
        <v>Move timeCombi</v>
      </c>
      <c r="AAL1" t="s">
        <v>2</v>
      </c>
      <c r="AAN1" t="s">
        <v>0</v>
      </c>
      <c r="AAO1" t="s">
        <v>4801</v>
      </c>
      <c r="AAP1" t="s">
        <v>4802</v>
      </c>
      <c r="AAQ1" t="str">
        <f>"Move time"&amp;AAR1</f>
        <v>Move timeGreedy</v>
      </c>
      <c r="AAR1" t="s">
        <v>1</v>
      </c>
      <c r="AAT1" t="s">
        <v>0</v>
      </c>
      <c r="AAU1" t="s">
        <v>4801</v>
      </c>
      <c r="AAV1" t="s">
        <v>4802</v>
      </c>
      <c r="AAW1" t="str">
        <f>"Move time"&amp;AAX1</f>
        <v>Move timeCombi</v>
      </c>
      <c r="AAX1" t="s">
        <v>2</v>
      </c>
      <c r="AAZ1" t="s">
        <v>0</v>
      </c>
      <c r="ABA1" t="s">
        <v>4801</v>
      </c>
      <c r="ABB1" t="s">
        <v>4802</v>
      </c>
      <c r="ABC1" t="str">
        <f>"Move time"&amp;ABD1</f>
        <v>Move timeGreedy</v>
      </c>
      <c r="ABD1" t="s">
        <v>1</v>
      </c>
      <c r="ABF1" t="s">
        <v>0</v>
      </c>
      <c r="ABG1" t="s">
        <v>4801</v>
      </c>
      <c r="ABH1" t="s">
        <v>4802</v>
      </c>
      <c r="ABI1" t="str">
        <f>"Move time"&amp;ABJ1</f>
        <v>Move timeCombi</v>
      </c>
      <c r="ABJ1" t="s">
        <v>2</v>
      </c>
      <c r="ABL1" t="s">
        <v>0</v>
      </c>
      <c r="ABM1" t="s">
        <v>4801</v>
      </c>
      <c r="ABN1" t="s">
        <v>4802</v>
      </c>
      <c r="ABO1" t="str">
        <f>"Move time"&amp;ABP1</f>
        <v>Move timeGreedy</v>
      </c>
      <c r="ABP1" t="s">
        <v>1</v>
      </c>
      <c r="ABR1" t="s">
        <v>0</v>
      </c>
      <c r="ABS1" t="s">
        <v>4801</v>
      </c>
      <c r="ABT1" t="s">
        <v>4802</v>
      </c>
      <c r="ABU1" t="str">
        <f>"Move time"&amp;ABV1</f>
        <v>Move timeCombi</v>
      </c>
      <c r="ABV1" t="s">
        <v>2</v>
      </c>
      <c r="ABX1" t="s">
        <v>0</v>
      </c>
      <c r="ABY1" t="s">
        <v>4801</v>
      </c>
      <c r="ABZ1" t="s">
        <v>4802</v>
      </c>
      <c r="ACA1" t="str">
        <f>"Move time"&amp;ACB1</f>
        <v>Move timeGreedy</v>
      </c>
      <c r="ACB1" t="s">
        <v>1</v>
      </c>
      <c r="ACD1" t="s">
        <v>0</v>
      </c>
      <c r="ACE1" t="s">
        <v>4801</v>
      </c>
      <c r="ACF1" t="s">
        <v>4802</v>
      </c>
      <c r="ACG1" t="str">
        <f>"Move time"&amp;ACH1</f>
        <v>Move timeCombi</v>
      </c>
      <c r="ACH1" t="s">
        <v>2</v>
      </c>
      <c r="ACJ1" t="s">
        <v>0</v>
      </c>
      <c r="ACK1" t="s">
        <v>4801</v>
      </c>
      <c r="ACL1" t="s">
        <v>4802</v>
      </c>
      <c r="ACM1" t="str">
        <f>"Move time"&amp;ACN1</f>
        <v>Move timeGreedy</v>
      </c>
      <c r="ACN1" t="s">
        <v>1</v>
      </c>
      <c r="ACP1" t="s">
        <v>0</v>
      </c>
      <c r="ACQ1" t="s">
        <v>4801</v>
      </c>
      <c r="ACR1" t="s">
        <v>4802</v>
      </c>
      <c r="ACS1" t="str">
        <f>"Move time"&amp;ACT1</f>
        <v>Move timeCombi</v>
      </c>
      <c r="ACT1" t="s">
        <v>2</v>
      </c>
      <c r="ACV1" t="s">
        <v>0</v>
      </c>
      <c r="ACW1" t="s">
        <v>4801</v>
      </c>
      <c r="ACX1" t="s">
        <v>4802</v>
      </c>
      <c r="ACY1" t="str">
        <f>"Move time"&amp;ACZ1</f>
        <v>Move timeGreedy</v>
      </c>
      <c r="ACZ1" t="s">
        <v>1</v>
      </c>
      <c r="ADB1" t="s">
        <v>0</v>
      </c>
      <c r="ADC1" t="s">
        <v>4801</v>
      </c>
      <c r="ADD1" t="s">
        <v>4802</v>
      </c>
      <c r="ADE1" t="str">
        <f>"Move time"&amp;ADF1</f>
        <v>Move timeCombi</v>
      </c>
      <c r="ADF1" t="s">
        <v>2</v>
      </c>
      <c r="ADH1" t="s">
        <v>0</v>
      </c>
      <c r="ADI1" t="s">
        <v>4801</v>
      </c>
      <c r="ADJ1" t="s">
        <v>4802</v>
      </c>
      <c r="ADK1" t="str">
        <f>"Move time"&amp;ADL1</f>
        <v>Move timeGreedy</v>
      </c>
      <c r="ADL1" t="s">
        <v>1</v>
      </c>
      <c r="ADN1" t="s">
        <v>0</v>
      </c>
      <c r="ADO1" t="s">
        <v>4801</v>
      </c>
      <c r="ADP1" t="s">
        <v>4802</v>
      </c>
      <c r="ADQ1" t="str">
        <f>"Move time"&amp;ADR1</f>
        <v>Move timeCombi</v>
      </c>
      <c r="ADR1" t="s">
        <v>2</v>
      </c>
      <c r="ADT1" t="s">
        <v>0</v>
      </c>
      <c r="ADU1" t="s">
        <v>4801</v>
      </c>
      <c r="ADV1" t="s">
        <v>4802</v>
      </c>
      <c r="ADW1" t="str">
        <f>"Move time"&amp;ADX1</f>
        <v>Move timeGreedy</v>
      </c>
      <c r="ADX1" t="s">
        <v>1</v>
      </c>
      <c r="ADZ1" t="s">
        <v>0</v>
      </c>
      <c r="AEA1" t="s">
        <v>4801</v>
      </c>
      <c r="AEB1" t="s">
        <v>4802</v>
      </c>
      <c r="AEC1" t="str">
        <f>"Move time"&amp;AED1</f>
        <v>Move timeCombi</v>
      </c>
      <c r="AED1" t="s">
        <v>2</v>
      </c>
      <c r="AEF1" t="s">
        <v>0</v>
      </c>
      <c r="AEG1" t="s">
        <v>4801</v>
      </c>
      <c r="AEH1" t="s">
        <v>4802</v>
      </c>
      <c r="AEI1" t="str">
        <f>"Move time"&amp;AEJ1</f>
        <v>Move timeGreedy</v>
      </c>
      <c r="AEJ1" t="s">
        <v>1</v>
      </c>
      <c r="AEL1" t="s">
        <v>0</v>
      </c>
      <c r="AEM1" t="s">
        <v>4801</v>
      </c>
      <c r="AEN1" t="s">
        <v>4802</v>
      </c>
      <c r="AEO1" t="str">
        <f>"Move time"&amp;AEP1</f>
        <v>Move timeCombi</v>
      </c>
      <c r="AEP1" t="s">
        <v>2</v>
      </c>
      <c r="AER1" t="s">
        <v>0</v>
      </c>
      <c r="AES1" t="s">
        <v>4801</v>
      </c>
      <c r="AET1" t="s">
        <v>4802</v>
      </c>
      <c r="AEU1" t="str">
        <f>"Move time"&amp;AEV1</f>
        <v>Move timeGreedy</v>
      </c>
      <c r="AEV1" t="s">
        <v>1</v>
      </c>
      <c r="AEX1" t="s">
        <v>0</v>
      </c>
      <c r="AEY1" t="s">
        <v>4801</v>
      </c>
      <c r="AEZ1" t="s">
        <v>4802</v>
      </c>
      <c r="AFA1" t="str">
        <f>"Move time"&amp;AFB1</f>
        <v>Move timeCombi</v>
      </c>
      <c r="AFB1" t="s">
        <v>2</v>
      </c>
      <c r="AFD1" t="s">
        <v>0</v>
      </c>
      <c r="AFE1" t="s">
        <v>4801</v>
      </c>
      <c r="AFF1" t="s">
        <v>4802</v>
      </c>
      <c r="AFG1" t="str">
        <f>"Move time"&amp;AFH1</f>
        <v>Move timeGreedy</v>
      </c>
      <c r="AFH1" t="s">
        <v>1</v>
      </c>
      <c r="AFJ1" t="s">
        <v>0</v>
      </c>
      <c r="AFK1" t="s">
        <v>4801</v>
      </c>
      <c r="AFL1" t="s">
        <v>4802</v>
      </c>
      <c r="AFM1" t="str">
        <f>"Move time"&amp;AFN1</f>
        <v>Move timeCombi</v>
      </c>
      <c r="AFN1" t="s">
        <v>2</v>
      </c>
      <c r="AFP1" t="s">
        <v>0</v>
      </c>
      <c r="AFQ1" t="s">
        <v>4801</v>
      </c>
      <c r="AFR1" t="s">
        <v>4802</v>
      </c>
      <c r="AFS1" t="str">
        <f>"Move time"&amp;AFT1</f>
        <v>Move timeGreedy</v>
      </c>
      <c r="AFT1" t="s">
        <v>1</v>
      </c>
      <c r="AFV1" t="s">
        <v>0</v>
      </c>
      <c r="AFW1" t="s">
        <v>4801</v>
      </c>
      <c r="AFX1" t="s">
        <v>4802</v>
      </c>
      <c r="AFY1" t="str">
        <f>"Move time"&amp;AFZ1</f>
        <v>Move timeCombi</v>
      </c>
      <c r="AFZ1" t="s">
        <v>2</v>
      </c>
      <c r="AGB1" t="s">
        <v>0</v>
      </c>
      <c r="AGC1" t="s">
        <v>4801</v>
      </c>
      <c r="AGD1" t="s">
        <v>4802</v>
      </c>
      <c r="AGE1" t="str">
        <f>"Move time"&amp;AGF1</f>
        <v>Move timeGreedy</v>
      </c>
      <c r="AGF1" t="s">
        <v>1</v>
      </c>
      <c r="AGH1" t="s">
        <v>0</v>
      </c>
      <c r="AGI1" t="s">
        <v>4801</v>
      </c>
      <c r="AGJ1" t="s">
        <v>4802</v>
      </c>
      <c r="AGK1" t="str">
        <f>"Move time"&amp;AGL1</f>
        <v>Move timeCombi</v>
      </c>
      <c r="AGL1" t="s">
        <v>2</v>
      </c>
      <c r="AGN1" t="s">
        <v>0</v>
      </c>
      <c r="AGO1" t="s">
        <v>4801</v>
      </c>
      <c r="AGP1" t="s">
        <v>4802</v>
      </c>
      <c r="AGQ1" t="str">
        <f>"Move time"&amp;AGR1</f>
        <v>Move timeGreedy</v>
      </c>
      <c r="AGR1" t="s">
        <v>1</v>
      </c>
      <c r="AGT1" t="s">
        <v>0</v>
      </c>
      <c r="AGU1" t="s">
        <v>4801</v>
      </c>
      <c r="AGV1" t="s">
        <v>4802</v>
      </c>
      <c r="AGW1" t="str">
        <f>"Move time"&amp;AGX1</f>
        <v>Move timeCombi</v>
      </c>
      <c r="AGX1" t="s">
        <v>2</v>
      </c>
      <c r="AGZ1" t="s">
        <v>0</v>
      </c>
      <c r="AHA1" t="s">
        <v>4801</v>
      </c>
      <c r="AHB1" t="s">
        <v>4802</v>
      </c>
      <c r="AHC1" t="str">
        <f>"Move time"&amp;AHD1</f>
        <v>Move timeGreedy</v>
      </c>
      <c r="AHD1" t="s">
        <v>1</v>
      </c>
      <c r="AHF1" t="s">
        <v>0</v>
      </c>
      <c r="AHG1" t="s">
        <v>4801</v>
      </c>
      <c r="AHH1" t="s">
        <v>4802</v>
      </c>
      <c r="AHI1" t="str">
        <f>"Move time"&amp;AHJ1</f>
        <v>Move timeCombi</v>
      </c>
      <c r="AHJ1" t="s">
        <v>2</v>
      </c>
      <c r="AHL1" t="s">
        <v>0</v>
      </c>
      <c r="AHM1" t="s">
        <v>4801</v>
      </c>
      <c r="AHN1" t="s">
        <v>4802</v>
      </c>
      <c r="AHO1" t="str">
        <f>"Move time"&amp;AHP1</f>
        <v>Move timeGreedy</v>
      </c>
      <c r="AHP1" t="s">
        <v>1</v>
      </c>
      <c r="AHR1" t="s">
        <v>0</v>
      </c>
      <c r="AHS1" t="s">
        <v>4801</v>
      </c>
      <c r="AHT1" t="s">
        <v>4802</v>
      </c>
      <c r="AHU1" t="str">
        <f>"Move time"&amp;AHV1</f>
        <v>Move timeCombi</v>
      </c>
      <c r="AHV1" t="s">
        <v>2</v>
      </c>
      <c r="AHX1" t="s">
        <v>0</v>
      </c>
      <c r="AHY1" t="s">
        <v>4801</v>
      </c>
      <c r="AHZ1" t="s">
        <v>4802</v>
      </c>
      <c r="AIA1" t="str">
        <f>"Move time"&amp;AIB1</f>
        <v>Move timeGreedy</v>
      </c>
      <c r="AIB1" t="s">
        <v>1</v>
      </c>
      <c r="AID1" t="s">
        <v>0</v>
      </c>
      <c r="AIE1" t="s">
        <v>4801</v>
      </c>
      <c r="AIF1" t="s">
        <v>4802</v>
      </c>
      <c r="AIG1" t="str">
        <f>"Move time"&amp;AIH1</f>
        <v>Move timeCombi</v>
      </c>
      <c r="AIH1" t="s">
        <v>2</v>
      </c>
      <c r="AIJ1" t="s">
        <v>0</v>
      </c>
      <c r="AIK1" t="s">
        <v>4801</v>
      </c>
      <c r="AIL1" t="s">
        <v>4802</v>
      </c>
      <c r="AIM1" t="str">
        <f>"Move time"&amp;AIN1</f>
        <v>Move timeGreedy</v>
      </c>
      <c r="AIN1" t="s">
        <v>1</v>
      </c>
      <c r="AIP1" t="s">
        <v>0</v>
      </c>
      <c r="AIQ1" t="s">
        <v>4801</v>
      </c>
      <c r="AIR1" t="s">
        <v>4802</v>
      </c>
      <c r="AIS1" t="str">
        <f>"Move time"&amp;AIT1</f>
        <v>Move timeCombi</v>
      </c>
      <c r="AIT1" t="s">
        <v>2</v>
      </c>
      <c r="AIV1" t="s">
        <v>0</v>
      </c>
      <c r="AIW1" t="s">
        <v>4801</v>
      </c>
      <c r="AIX1" t="s">
        <v>4802</v>
      </c>
      <c r="AIY1" t="str">
        <f>"Move time"&amp;AIZ1</f>
        <v>Move timeGreedy</v>
      </c>
      <c r="AIZ1" t="s">
        <v>1</v>
      </c>
      <c r="AJB1" t="s">
        <v>0</v>
      </c>
      <c r="AJC1" t="s">
        <v>4801</v>
      </c>
      <c r="AJD1" t="s">
        <v>4802</v>
      </c>
      <c r="AJE1" t="str">
        <f>"Move time"&amp;AJF1</f>
        <v>Move timeCombi</v>
      </c>
      <c r="AJF1" t="s">
        <v>2</v>
      </c>
      <c r="AJH1" t="s">
        <v>0</v>
      </c>
      <c r="AJI1" t="s">
        <v>4801</v>
      </c>
      <c r="AJJ1" t="s">
        <v>4802</v>
      </c>
      <c r="AJK1" t="str">
        <f>"Move time"&amp;AJL1</f>
        <v>Move timeGreedy</v>
      </c>
      <c r="AJL1" t="s">
        <v>1</v>
      </c>
      <c r="AJN1" t="s">
        <v>0</v>
      </c>
      <c r="AJO1" t="s">
        <v>4801</v>
      </c>
      <c r="AJP1" t="s">
        <v>4802</v>
      </c>
      <c r="AJQ1" t="str">
        <f>"Move time"&amp;AJR1</f>
        <v>Move timeCombi</v>
      </c>
      <c r="AJR1" t="s">
        <v>2</v>
      </c>
      <c r="AJT1" t="s">
        <v>0</v>
      </c>
      <c r="AJU1" t="s">
        <v>4801</v>
      </c>
      <c r="AJV1" t="s">
        <v>4802</v>
      </c>
      <c r="AJW1" t="str">
        <f>"Move time"&amp;AJX1</f>
        <v>Move timeGreedy</v>
      </c>
      <c r="AJX1" t="s">
        <v>1</v>
      </c>
      <c r="AJZ1" t="s">
        <v>0</v>
      </c>
      <c r="AKA1" t="s">
        <v>4801</v>
      </c>
      <c r="AKB1" t="s">
        <v>4802</v>
      </c>
      <c r="AKC1" t="str">
        <f>"Move time"&amp;AKD1</f>
        <v>Move timeCombi</v>
      </c>
      <c r="AKD1" t="s">
        <v>2</v>
      </c>
      <c r="AKF1" t="s">
        <v>0</v>
      </c>
      <c r="AKG1" t="s">
        <v>4801</v>
      </c>
      <c r="AKH1" t="s">
        <v>4802</v>
      </c>
      <c r="AKI1" t="str">
        <f>"Move time"&amp;AKJ1</f>
        <v>Move timeGreedy</v>
      </c>
      <c r="AKJ1" t="s">
        <v>1</v>
      </c>
      <c r="AKL1" t="s">
        <v>0</v>
      </c>
      <c r="AKM1" t="s">
        <v>4801</v>
      </c>
      <c r="AKN1" t="s">
        <v>4802</v>
      </c>
      <c r="AKO1" t="str">
        <f>"Move time"&amp;AKP1</f>
        <v>Move timeCombi</v>
      </c>
      <c r="AKP1" t="s">
        <v>2</v>
      </c>
      <c r="AKR1" t="s">
        <v>0</v>
      </c>
      <c r="AKS1" t="s">
        <v>4801</v>
      </c>
      <c r="AKT1" t="s">
        <v>4802</v>
      </c>
      <c r="AKU1" t="str">
        <f>"Move time"&amp;AKV1</f>
        <v>Move timeGreedy</v>
      </c>
      <c r="AKV1" t="s">
        <v>1</v>
      </c>
      <c r="AKX1" t="s">
        <v>0</v>
      </c>
      <c r="AKY1" t="s">
        <v>4801</v>
      </c>
      <c r="AKZ1" t="s">
        <v>4802</v>
      </c>
      <c r="ALA1" t="str">
        <f>"Move time"&amp;ALB1</f>
        <v>Move timeCombi</v>
      </c>
      <c r="ALB1" t="s">
        <v>2</v>
      </c>
      <c r="ALD1" t="s">
        <v>0</v>
      </c>
      <c r="ALE1" t="s">
        <v>4801</v>
      </c>
      <c r="ALF1" t="s">
        <v>4802</v>
      </c>
      <c r="ALG1" t="str">
        <f>"Move time"&amp;ALH1</f>
        <v>Move timeGreedy</v>
      </c>
      <c r="ALH1" t="s">
        <v>1</v>
      </c>
      <c r="ALJ1" t="s">
        <v>0</v>
      </c>
      <c r="ALK1" t="s">
        <v>4801</v>
      </c>
      <c r="ALL1" t="s">
        <v>4802</v>
      </c>
      <c r="ALM1" t="str">
        <f>"Move time"&amp;ALN1</f>
        <v>Move timeCombi</v>
      </c>
      <c r="ALN1" t="s">
        <v>2</v>
      </c>
      <c r="ALP1" t="s">
        <v>0</v>
      </c>
      <c r="ALQ1" t="s">
        <v>4801</v>
      </c>
      <c r="ALR1" t="s">
        <v>4802</v>
      </c>
      <c r="ALS1" t="str">
        <f>"Move time"&amp;ALT1</f>
        <v>Move timeGreedy</v>
      </c>
      <c r="ALT1" t="s">
        <v>1</v>
      </c>
      <c r="ALV1" t="s">
        <v>0</v>
      </c>
      <c r="ALW1" t="s">
        <v>4801</v>
      </c>
      <c r="ALX1" t="s">
        <v>4802</v>
      </c>
      <c r="ALY1" t="str">
        <f>"Move time"&amp;ALZ1</f>
        <v>Move timeCombi</v>
      </c>
      <c r="ALZ1" t="s">
        <v>2</v>
      </c>
      <c r="AMB1" t="s">
        <v>0</v>
      </c>
      <c r="AMC1" t="s">
        <v>4801</v>
      </c>
      <c r="AMD1" t="s">
        <v>4802</v>
      </c>
      <c r="AME1" t="str">
        <f>"Move time"&amp;AMF1</f>
        <v>Move timeGreedy</v>
      </c>
      <c r="AMF1" t="s">
        <v>1</v>
      </c>
      <c r="AMH1" t="s">
        <v>0</v>
      </c>
      <c r="AMI1" t="s">
        <v>4801</v>
      </c>
      <c r="AMJ1" t="s">
        <v>4802</v>
      </c>
      <c r="AMK1" t="str">
        <f>"Move time"&amp;AML1</f>
        <v>Move timeCombi</v>
      </c>
      <c r="AML1" t="s">
        <v>2</v>
      </c>
      <c r="AMN1" t="s">
        <v>0</v>
      </c>
      <c r="AMO1" t="s">
        <v>4801</v>
      </c>
      <c r="AMP1" t="s">
        <v>4802</v>
      </c>
      <c r="AMQ1" t="str">
        <f>"Move time"&amp;AMR1</f>
        <v>Move timeGreedy</v>
      </c>
      <c r="AMR1" t="s">
        <v>1</v>
      </c>
      <c r="AMT1" t="s">
        <v>0</v>
      </c>
      <c r="AMU1" t="s">
        <v>4801</v>
      </c>
      <c r="AMV1" t="s">
        <v>4802</v>
      </c>
      <c r="AMW1" t="str">
        <f>"Move time"&amp;AMX1</f>
        <v>Move timeCombi</v>
      </c>
      <c r="AMX1" t="s">
        <v>2</v>
      </c>
      <c r="AMZ1" t="s">
        <v>0</v>
      </c>
      <c r="ANA1" t="s">
        <v>4801</v>
      </c>
      <c r="ANB1" t="s">
        <v>4802</v>
      </c>
      <c r="ANC1" t="str">
        <f>"Move time"&amp;AND1</f>
        <v>Move timeGreedy</v>
      </c>
      <c r="AND1" t="s">
        <v>1</v>
      </c>
      <c r="ANF1" t="s">
        <v>0</v>
      </c>
      <c r="ANG1" t="s">
        <v>4801</v>
      </c>
      <c r="ANH1" t="s">
        <v>4802</v>
      </c>
      <c r="ANI1" t="str">
        <f>"Move time"&amp;ANJ1</f>
        <v>Move timeCombi</v>
      </c>
      <c r="ANJ1" t="s">
        <v>2</v>
      </c>
      <c r="ANL1" t="s">
        <v>0</v>
      </c>
      <c r="ANM1" t="s">
        <v>4801</v>
      </c>
      <c r="ANN1" t="s">
        <v>4802</v>
      </c>
      <c r="ANO1" t="str">
        <f>"Move time"&amp;ANP1</f>
        <v>Move timeGreedy</v>
      </c>
      <c r="ANP1" t="s">
        <v>1</v>
      </c>
      <c r="ANR1" t="s">
        <v>0</v>
      </c>
      <c r="ANS1" t="s">
        <v>4801</v>
      </c>
      <c r="ANT1" t="s">
        <v>4802</v>
      </c>
      <c r="ANU1" t="str">
        <f>"Move time"&amp;ANV1</f>
        <v>Move timeCombi</v>
      </c>
      <c r="ANV1" t="s">
        <v>2</v>
      </c>
      <c r="ANX1" t="s">
        <v>0</v>
      </c>
      <c r="ANY1" t="s">
        <v>4801</v>
      </c>
      <c r="ANZ1" t="s">
        <v>4802</v>
      </c>
      <c r="AOA1" t="str">
        <f>"Move time"&amp;AOB1</f>
        <v>Move timeGreedy</v>
      </c>
      <c r="AOB1" t="s">
        <v>1</v>
      </c>
      <c r="AOD1" t="s">
        <v>0</v>
      </c>
      <c r="AOE1" t="s">
        <v>4801</v>
      </c>
      <c r="AOF1" t="s">
        <v>4802</v>
      </c>
      <c r="AOG1" t="str">
        <f>"Move time"&amp;AOH1</f>
        <v>Move timeCombi</v>
      </c>
      <c r="AOH1" t="s">
        <v>2</v>
      </c>
      <c r="AOJ1" t="s">
        <v>0</v>
      </c>
      <c r="AOK1" t="s">
        <v>4801</v>
      </c>
      <c r="AOL1" t="s">
        <v>4802</v>
      </c>
      <c r="AOM1" t="str">
        <f>"Move time"&amp;AON1</f>
        <v>Move timeGreedy</v>
      </c>
      <c r="AON1" t="s">
        <v>1</v>
      </c>
      <c r="AOP1" t="s">
        <v>0</v>
      </c>
      <c r="AOQ1" t="s">
        <v>4801</v>
      </c>
      <c r="AOR1" t="s">
        <v>4802</v>
      </c>
      <c r="AOS1" t="str">
        <f>"Move time"&amp;AOT1</f>
        <v>Move timeCombi</v>
      </c>
      <c r="AOT1" t="s">
        <v>2</v>
      </c>
      <c r="AOV1" t="s">
        <v>0</v>
      </c>
      <c r="AOW1" t="s">
        <v>4801</v>
      </c>
      <c r="AOX1" t="s">
        <v>4802</v>
      </c>
      <c r="AOY1" t="str">
        <f>"Move time"&amp;AOZ1</f>
        <v>Move timeGreedy</v>
      </c>
      <c r="AOZ1" t="s">
        <v>1</v>
      </c>
      <c r="APB1" t="s">
        <v>0</v>
      </c>
      <c r="APC1" t="s">
        <v>4801</v>
      </c>
      <c r="APD1" t="s">
        <v>4802</v>
      </c>
      <c r="APE1" t="str">
        <f>"Move time"&amp;APF1</f>
        <v>Move timeCombi</v>
      </c>
      <c r="APF1" t="s">
        <v>2</v>
      </c>
      <c r="APH1" t="s">
        <v>0</v>
      </c>
      <c r="API1" t="s">
        <v>4801</v>
      </c>
      <c r="APJ1" t="s">
        <v>4802</v>
      </c>
      <c r="APK1" t="str">
        <f>"Move time"&amp;APL1</f>
        <v>Move timeGreedy</v>
      </c>
      <c r="APL1" t="s">
        <v>1</v>
      </c>
      <c r="APN1" t="s">
        <v>0</v>
      </c>
      <c r="APO1" t="s">
        <v>4801</v>
      </c>
      <c r="APP1" t="s">
        <v>4802</v>
      </c>
      <c r="APQ1" t="str">
        <f>"Move time"&amp;APR1</f>
        <v>Move timeCombi</v>
      </c>
      <c r="APR1" t="s">
        <v>2</v>
      </c>
      <c r="APT1" t="s">
        <v>0</v>
      </c>
      <c r="APU1" t="s">
        <v>4801</v>
      </c>
      <c r="APV1" t="s">
        <v>4802</v>
      </c>
      <c r="APW1" t="str">
        <f>"Move time"&amp;APX1</f>
        <v>Move timeGreedy</v>
      </c>
      <c r="APX1" t="s">
        <v>1</v>
      </c>
      <c r="APZ1" t="s">
        <v>0</v>
      </c>
      <c r="AQA1" t="s">
        <v>4801</v>
      </c>
      <c r="AQB1" t="s">
        <v>4802</v>
      </c>
      <c r="AQC1" t="str">
        <f>"Move time"&amp;AQD1</f>
        <v>Move timeCombi</v>
      </c>
      <c r="AQD1" t="s">
        <v>2</v>
      </c>
      <c r="AQF1" t="s">
        <v>0</v>
      </c>
      <c r="AQG1" t="s">
        <v>4801</v>
      </c>
      <c r="AQH1" t="s">
        <v>4802</v>
      </c>
      <c r="AQI1" t="str">
        <f>"Move time"&amp;AQJ1</f>
        <v>Move timeGreedy</v>
      </c>
      <c r="AQJ1" t="s">
        <v>1</v>
      </c>
      <c r="AQL1" t="s">
        <v>0</v>
      </c>
      <c r="AQM1" t="s">
        <v>4801</v>
      </c>
      <c r="AQN1" t="s">
        <v>4802</v>
      </c>
      <c r="AQO1" t="str">
        <f>"Move time"&amp;AQP1</f>
        <v>Move timeCombi</v>
      </c>
      <c r="AQP1" t="s">
        <v>2</v>
      </c>
      <c r="AQR1" t="s">
        <v>0</v>
      </c>
      <c r="AQS1" t="s">
        <v>4801</v>
      </c>
      <c r="AQT1" t="s">
        <v>4802</v>
      </c>
      <c r="AQU1" t="str">
        <f>"Move time"&amp;AQV1</f>
        <v>Move timeGreedy</v>
      </c>
      <c r="AQV1" t="s">
        <v>1</v>
      </c>
      <c r="AQX1" t="s">
        <v>0</v>
      </c>
      <c r="AQY1" t="s">
        <v>4801</v>
      </c>
      <c r="AQZ1" t="s">
        <v>4802</v>
      </c>
      <c r="ARA1" t="str">
        <f>"Move time"&amp;ARB1</f>
        <v>Move timeCombi</v>
      </c>
      <c r="ARB1" t="s">
        <v>2</v>
      </c>
      <c r="ARD1" t="s">
        <v>0</v>
      </c>
      <c r="ARE1" t="s">
        <v>4801</v>
      </c>
      <c r="ARF1" t="s">
        <v>4802</v>
      </c>
      <c r="ARG1" t="str">
        <f>"Move time"&amp;ARH1</f>
        <v>Move timeGreedy</v>
      </c>
      <c r="ARH1" t="s">
        <v>1</v>
      </c>
      <c r="ARJ1" t="s">
        <v>0</v>
      </c>
      <c r="ARK1" t="s">
        <v>4801</v>
      </c>
      <c r="ARL1" t="s">
        <v>4802</v>
      </c>
      <c r="ARM1" t="str">
        <f>"Move time"&amp;ARN1</f>
        <v>Move timeCombi</v>
      </c>
      <c r="ARN1" t="s">
        <v>2</v>
      </c>
      <c r="ARP1" t="s">
        <v>0</v>
      </c>
      <c r="ARQ1" t="s">
        <v>4801</v>
      </c>
      <c r="ARR1" t="s">
        <v>4802</v>
      </c>
      <c r="ARS1" t="str">
        <f>"Move time"&amp;ART1</f>
        <v>Move timeGreedy</v>
      </c>
      <c r="ART1" t="s">
        <v>1</v>
      </c>
      <c r="ARV1" t="s">
        <v>0</v>
      </c>
      <c r="ARW1" t="s">
        <v>4801</v>
      </c>
      <c r="ARX1" t="s">
        <v>4802</v>
      </c>
      <c r="ARY1" t="str">
        <f>"Move time"&amp;ARZ1</f>
        <v>Move timeCombi</v>
      </c>
      <c r="ARZ1" t="s">
        <v>2</v>
      </c>
      <c r="ASB1" t="s">
        <v>0</v>
      </c>
      <c r="ASC1" t="s">
        <v>4801</v>
      </c>
      <c r="ASD1" t="s">
        <v>4802</v>
      </c>
      <c r="ASE1" t="str">
        <f>"Move time"&amp;ASF1</f>
        <v>Move timeGreedy</v>
      </c>
      <c r="ASF1" t="s">
        <v>1</v>
      </c>
      <c r="ASH1" t="s">
        <v>0</v>
      </c>
      <c r="ASI1" t="s">
        <v>4801</v>
      </c>
      <c r="ASJ1" t="s">
        <v>4802</v>
      </c>
      <c r="ASK1" t="str">
        <f>"Move time"&amp;ASL1</f>
        <v>Move timeCombi</v>
      </c>
      <c r="ASL1" t="s">
        <v>2</v>
      </c>
      <c r="ASN1" t="s">
        <v>0</v>
      </c>
      <c r="ASO1" t="s">
        <v>4801</v>
      </c>
      <c r="ASP1" t="s">
        <v>4802</v>
      </c>
      <c r="ASQ1" t="str">
        <f>"Move time"&amp;ASR1</f>
        <v>Move timeGreedy</v>
      </c>
      <c r="ASR1" t="s">
        <v>1</v>
      </c>
      <c r="AST1" t="s">
        <v>0</v>
      </c>
      <c r="ASU1" t="s">
        <v>4801</v>
      </c>
      <c r="ASV1" t="s">
        <v>4802</v>
      </c>
      <c r="ASW1" t="str">
        <f>"Move time"&amp;ASX1</f>
        <v>Move timeCombi</v>
      </c>
      <c r="ASX1" t="s">
        <v>2</v>
      </c>
      <c r="ASZ1" t="s">
        <v>0</v>
      </c>
      <c r="ATA1" t="s">
        <v>4801</v>
      </c>
      <c r="ATB1" t="s">
        <v>4802</v>
      </c>
      <c r="ATC1" t="str">
        <f>"Move time"&amp;ATD1</f>
        <v>Move timeGreedy</v>
      </c>
      <c r="ATD1" t="s">
        <v>1</v>
      </c>
      <c r="ATF1" t="s">
        <v>0</v>
      </c>
      <c r="ATG1" t="s">
        <v>4801</v>
      </c>
      <c r="ATH1" t="s">
        <v>4802</v>
      </c>
      <c r="ATI1" t="str">
        <f>"Move time"&amp;ATJ1</f>
        <v>Move timeCombi</v>
      </c>
      <c r="ATJ1" t="s">
        <v>2</v>
      </c>
      <c r="ATL1" t="s">
        <v>0</v>
      </c>
      <c r="ATM1" t="s">
        <v>4801</v>
      </c>
      <c r="ATN1" t="s">
        <v>4802</v>
      </c>
      <c r="ATO1" t="str">
        <f>"Move time"&amp;ATP1</f>
        <v>Move timeGreedy</v>
      </c>
      <c r="ATP1" t="s">
        <v>1</v>
      </c>
      <c r="ATR1" t="s">
        <v>0</v>
      </c>
      <c r="ATS1" t="s">
        <v>4801</v>
      </c>
      <c r="ATT1" t="s">
        <v>4802</v>
      </c>
      <c r="ATU1" t="str">
        <f>"Move time"&amp;ATV1</f>
        <v>Move timeCombi</v>
      </c>
      <c r="ATV1" t="s">
        <v>2</v>
      </c>
      <c r="ATX1" t="s">
        <v>0</v>
      </c>
      <c r="ATY1" t="s">
        <v>4801</v>
      </c>
      <c r="ATZ1" t="s">
        <v>4802</v>
      </c>
      <c r="AUA1" t="str">
        <f>"Move time"&amp;AUB1</f>
        <v>Move timeGreedy</v>
      </c>
      <c r="AUB1" t="s">
        <v>1</v>
      </c>
    </row>
    <row r="2" spans="2:1225" x14ac:dyDescent="0.25">
      <c r="F2">
        <v>0</v>
      </c>
      <c r="L2">
        <v>0</v>
      </c>
      <c r="R2">
        <v>0</v>
      </c>
      <c r="X2">
        <v>0</v>
      </c>
      <c r="AD2">
        <v>0</v>
      </c>
      <c r="AJ2">
        <v>0</v>
      </c>
      <c r="AP2">
        <v>0</v>
      </c>
      <c r="AV2">
        <v>0</v>
      </c>
      <c r="BB2">
        <v>0</v>
      </c>
      <c r="BH2">
        <v>0</v>
      </c>
      <c r="BN2">
        <v>0</v>
      </c>
      <c r="BT2">
        <v>0</v>
      </c>
      <c r="BZ2">
        <v>0</v>
      </c>
      <c r="CF2">
        <v>0</v>
      </c>
      <c r="CL2">
        <v>0</v>
      </c>
      <c r="CR2">
        <v>0</v>
      </c>
      <c r="CX2">
        <v>0</v>
      </c>
      <c r="DD2">
        <v>0</v>
      </c>
      <c r="DJ2">
        <v>0</v>
      </c>
      <c r="DP2">
        <v>0</v>
      </c>
      <c r="DV2">
        <v>0</v>
      </c>
      <c r="EB2">
        <v>0</v>
      </c>
      <c r="EH2">
        <v>0</v>
      </c>
      <c r="EN2">
        <v>0</v>
      </c>
      <c r="ET2">
        <v>0</v>
      </c>
      <c r="EZ2">
        <v>0</v>
      </c>
      <c r="FF2">
        <v>0</v>
      </c>
      <c r="FL2">
        <v>0</v>
      </c>
      <c r="FR2">
        <v>0</v>
      </c>
      <c r="FX2">
        <v>0</v>
      </c>
      <c r="GD2">
        <v>0</v>
      </c>
      <c r="GJ2">
        <v>0</v>
      </c>
      <c r="GP2">
        <v>0</v>
      </c>
      <c r="GV2">
        <v>0</v>
      </c>
      <c r="HB2">
        <v>0</v>
      </c>
      <c r="HH2">
        <v>0</v>
      </c>
      <c r="HN2">
        <v>0</v>
      </c>
      <c r="HT2">
        <v>0</v>
      </c>
      <c r="HZ2">
        <v>0</v>
      </c>
      <c r="IF2">
        <v>0</v>
      </c>
      <c r="IL2">
        <v>0</v>
      </c>
      <c r="IR2">
        <v>0</v>
      </c>
      <c r="IX2">
        <v>0</v>
      </c>
      <c r="JD2">
        <v>0</v>
      </c>
      <c r="JJ2">
        <v>0</v>
      </c>
      <c r="JP2">
        <v>0</v>
      </c>
      <c r="JV2">
        <v>0</v>
      </c>
      <c r="KB2">
        <v>0</v>
      </c>
      <c r="KH2">
        <v>0</v>
      </c>
      <c r="KN2">
        <v>0</v>
      </c>
      <c r="KT2">
        <v>0</v>
      </c>
      <c r="KZ2">
        <v>0</v>
      </c>
      <c r="LF2">
        <v>0</v>
      </c>
      <c r="LL2">
        <v>0</v>
      </c>
      <c r="LR2">
        <v>0</v>
      </c>
      <c r="LX2">
        <v>0</v>
      </c>
      <c r="MD2">
        <v>0</v>
      </c>
      <c r="MJ2">
        <v>0</v>
      </c>
      <c r="MP2">
        <v>0</v>
      </c>
      <c r="MV2">
        <v>0</v>
      </c>
      <c r="NB2">
        <v>0</v>
      </c>
      <c r="NH2">
        <v>0</v>
      </c>
      <c r="NN2">
        <v>0</v>
      </c>
      <c r="NT2">
        <v>0</v>
      </c>
      <c r="NZ2">
        <v>0</v>
      </c>
      <c r="OF2">
        <v>0</v>
      </c>
      <c r="OL2">
        <v>0</v>
      </c>
      <c r="OR2">
        <v>0</v>
      </c>
      <c r="OX2">
        <v>0</v>
      </c>
      <c r="PD2">
        <v>0</v>
      </c>
      <c r="PJ2">
        <v>0</v>
      </c>
      <c r="PP2">
        <v>0</v>
      </c>
      <c r="PV2">
        <v>0</v>
      </c>
      <c r="QB2">
        <v>0</v>
      </c>
      <c r="QH2">
        <v>0</v>
      </c>
      <c r="QN2">
        <v>0</v>
      </c>
      <c r="QT2">
        <v>0</v>
      </c>
      <c r="QZ2">
        <v>0</v>
      </c>
      <c r="RF2">
        <v>0</v>
      </c>
      <c r="RL2">
        <v>0</v>
      </c>
      <c r="RR2">
        <v>0</v>
      </c>
      <c r="RX2">
        <v>0</v>
      </c>
      <c r="SD2">
        <v>0</v>
      </c>
      <c r="SJ2">
        <v>0</v>
      </c>
      <c r="SP2">
        <v>0</v>
      </c>
      <c r="SV2">
        <v>0</v>
      </c>
      <c r="TB2">
        <v>0</v>
      </c>
      <c r="TH2">
        <v>0</v>
      </c>
      <c r="TN2">
        <v>0</v>
      </c>
      <c r="TT2">
        <v>0</v>
      </c>
      <c r="TZ2">
        <v>0</v>
      </c>
      <c r="UF2">
        <v>0</v>
      </c>
      <c r="UL2">
        <v>0</v>
      </c>
      <c r="UR2">
        <v>0</v>
      </c>
      <c r="UX2">
        <v>0</v>
      </c>
      <c r="VD2">
        <v>0</v>
      </c>
      <c r="VJ2">
        <v>0</v>
      </c>
      <c r="VP2">
        <v>0</v>
      </c>
      <c r="VV2">
        <v>0</v>
      </c>
      <c r="WB2">
        <v>0</v>
      </c>
      <c r="WH2">
        <v>0</v>
      </c>
      <c r="WN2">
        <v>0</v>
      </c>
      <c r="WO2" s="4"/>
      <c r="WT2">
        <v>0</v>
      </c>
      <c r="WZ2">
        <v>0</v>
      </c>
      <c r="XF2">
        <v>0</v>
      </c>
      <c r="XL2">
        <v>0</v>
      </c>
      <c r="XR2">
        <v>0</v>
      </c>
      <c r="XX2">
        <v>0</v>
      </c>
      <c r="YD2">
        <v>0</v>
      </c>
      <c r="YJ2">
        <v>0</v>
      </c>
      <c r="YP2">
        <v>0</v>
      </c>
      <c r="YV2">
        <v>0</v>
      </c>
      <c r="ZB2">
        <v>0</v>
      </c>
      <c r="ZH2">
        <v>0</v>
      </c>
      <c r="ZN2">
        <v>0</v>
      </c>
      <c r="ZT2">
        <v>0</v>
      </c>
      <c r="ZZ2">
        <v>0</v>
      </c>
      <c r="AAF2">
        <v>0</v>
      </c>
      <c r="AAL2">
        <v>0</v>
      </c>
      <c r="AAR2">
        <v>0</v>
      </c>
      <c r="AAX2">
        <v>0</v>
      </c>
      <c r="ABD2">
        <v>0</v>
      </c>
      <c r="ABJ2">
        <v>0</v>
      </c>
      <c r="ABP2">
        <v>0</v>
      </c>
      <c r="ABV2">
        <v>0</v>
      </c>
      <c r="ACB2">
        <v>0</v>
      </c>
      <c r="ACH2">
        <v>0</v>
      </c>
      <c r="ACN2">
        <v>0</v>
      </c>
      <c r="ACT2">
        <v>0</v>
      </c>
      <c r="ACZ2">
        <v>0</v>
      </c>
      <c r="ADF2">
        <v>0</v>
      </c>
      <c r="ADL2">
        <v>0</v>
      </c>
      <c r="ADR2">
        <v>0</v>
      </c>
      <c r="ADX2">
        <v>0</v>
      </c>
      <c r="AED2">
        <v>0</v>
      </c>
      <c r="AEJ2">
        <v>0</v>
      </c>
      <c r="AEP2">
        <v>0</v>
      </c>
      <c r="AEV2">
        <v>0</v>
      </c>
      <c r="AFB2">
        <v>0</v>
      </c>
      <c r="AFH2">
        <v>0</v>
      </c>
      <c r="AFN2">
        <v>0</v>
      </c>
      <c r="AFT2">
        <v>0</v>
      </c>
      <c r="AFZ2">
        <v>0</v>
      </c>
      <c r="AGF2">
        <v>0</v>
      </c>
      <c r="AGL2">
        <v>0</v>
      </c>
      <c r="AGR2">
        <v>0</v>
      </c>
      <c r="AGX2">
        <v>0</v>
      </c>
      <c r="AHD2">
        <v>0</v>
      </c>
      <c r="AHJ2">
        <v>0</v>
      </c>
      <c r="AHP2">
        <v>0</v>
      </c>
      <c r="AHV2">
        <v>0</v>
      </c>
      <c r="AIB2">
        <v>0</v>
      </c>
      <c r="AIH2">
        <v>0</v>
      </c>
      <c r="AIN2">
        <v>0</v>
      </c>
      <c r="AIT2">
        <v>0</v>
      </c>
      <c r="AIZ2">
        <v>0</v>
      </c>
      <c r="AJF2">
        <v>0</v>
      </c>
      <c r="AJL2">
        <v>0</v>
      </c>
      <c r="AJR2">
        <v>0</v>
      </c>
      <c r="AJX2">
        <v>0</v>
      </c>
      <c r="AKD2">
        <v>0</v>
      </c>
      <c r="AKJ2">
        <v>0</v>
      </c>
      <c r="AKP2">
        <v>0</v>
      </c>
      <c r="AKV2">
        <v>0</v>
      </c>
      <c r="ALB2">
        <v>0</v>
      </c>
      <c r="ALH2">
        <v>0</v>
      </c>
      <c r="ALN2">
        <v>0</v>
      </c>
      <c r="ALT2">
        <v>0</v>
      </c>
      <c r="ALZ2">
        <v>0</v>
      </c>
      <c r="AMF2">
        <v>0</v>
      </c>
      <c r="AML2">
        <v>0</v>
      </c>
      <c r="AMR2">
        <v>0</v>
      </c>
      <c r="AMX2">
        <v>0</v>
      </c>
      <c r="AND2">
        <v>0</v>
      </c>
      <c r="ANJ2">
        <v>0</v>
      </c>
      <c r="ANP2">
        <v>0</v>
      </c>
      <c r="ANV2">
        <v>0</v>
      </c>
      <c r="AOB2">
        <v>0</v>
      </c>
      <c r="AOH2">
        <v>0</v>
      </c>
      <c r="AON2">
        <v>0</v>
      </c>
      <c r="AOT2">
        <v>0</v>
      </c>
      <c r="AOZ2">
        <v>0</v>
      </c>
      <c r="APF2">
        <v>0</v>
      </c>
      <c r="APL2">
        <v>0</v>
      </c>
      <c r="APR2">
        <v>0</v>
      </c>
      <c r="APX2">
        <v>0</v>
      </c>
      <c r="AQD2">
        <v>0</v>
      </c>
      <c r="AQJ2">
        <v>0</v>
      </c>
      <c r="AQP2">
        <v>0</v>
      </c>
      <c r="AQV2">
        <v>0</v>
      </c>
      <c r="ARB2">
        <v>0</v>
      </c>
      <c r="ARH2">
        <v>0</v>
      </c>
      <c r="ARN2">
        <v>0</v>
      </c>
      <c r="ART2">
        <v>0</v>
      </c>
      <c r="ARZ2">
        <v>0</v>
      </c>
      <c r="ASF2">
        <v>0</v>
      </c>
      <c r="ASL2">
        <v>0</v>
      </c>
      <c r="ASR2">
        <v>0</v>
      </c>
      <c r="ASX2">
        <v>0</v>
      </c>
      <c r="ATD2">
        <v>0</v>
      </c>
      <c r="ATJ2">
        <v>0</v>
      </c>
      <c r="ATP2">
        <v>0</v>
      </c>
      <c r="ATV2">
        <v>0</v>
      </c>
      <c r="AUB2">
        <v>0</v>
      </c>
    </row>
    <row r="3" spans="2:1225" x14ac:dyDescent="0.25">
      <c r="B3">
        <f t="shared" ref="B3:B20" si="0">F3 - F2</f>
        <v>28</v>
      </c>
      <c r="C3" t="s">
        <v>3</v>
      </c>
      <c r="E3">
        <v>7.9917318820953369</v>
      </c>
      <c r="F3">
        <v>28</v>
      </c>
      <c r="G3" s="1"/>
      <c r="H3">
        <f t="shared" ref="H3:H20" si="1">L3 - L2</f>
        <v>160</v>
      </c>
      <c r="I3" t="s">
        <v>4</v>
      </c>
      <c r="K3">
        <v>25.54037427902222</v>
      </c>
      <c r="L3">
        <v>160</v>
      </c>
      <c r="M3" s="2"/>
      <c r="N3">
        <f t="shared" ref="N3:N16" si="2">R3 - R2</f>
        <v>12</v>
      </c>
      <c r="O3" t="s">
        <v>5</v>
      </c>
      <c r="Q3">
        <v>1.956162214279175</v>
      </c>
      <c r="R3">
        <v>12</v>
      </c>
      <c r="S3" s="1"/>
      <c r="T3">
        <f t="shared" ref="T3:T15" si="3">X3 - X2</f>
        <v>19</v>
      </c>
      <c r="U3" t="s">
        <v>6</v>
      </c>
      <c r="W3">
        <v>15.753620862960821</v>
      </c>
      <c r="X3">
        <v>19</v>
      </c>
      <c r="Y3" s="2"/>
      <c r="Z3">
        <f t="shared" ref="Z3:Z16" si="4">AD3 - AD2</f>
        <v>10</v>
      </c>
      <c r="AA3" t="s">
        <v>7</v>
      </c>
      <c r="AC3">
        <v>1.210217952728271</v>
      </c>
      <c r="AD3">
        <v>10</v>
      </c>
      <c r="AE3" s="1"/>
      <c r="AF3">
        <f t="shared" ref="AF3:AF16" si="5">AJ3 - AJ2</f>
        <v>30</v>
      </c>
      <c r="AG3" t="s">
        <v>8</v>
      </c>
      <c r="AI3">
        <v>14.844734191894529</v>
      </c>
      <c r="AJ3">
        <v>30</v>
      </c>
      <c r="AK3" s="2"/>
      <c r="AL3">
        <f t="shared" ref="AL3:AL15" si="6">AP3 - AP2</f>
        <v>24</v>
      </c>
      <c r="AM3" t="s">
        <v>9</v>
      </c>
      <c r="AO3">
        <v>3.5657138824462891</v>
      </c>
      <c r="AP3">
        <v>24</v>
      </c>
      <c r="AQ3" s="1"/>
      <c r="AR3">
        <f t="shared" ref="AR3:AR14" si="7">AV3 - AV2</f>
        <v>40</v>
      </c>
      <c r="AS3" t="s">
        <v>10</v>
      </c>
      <c r="AU3">
        <v>16.846484422683719</v>
      </c>
      <c r="AV3">
        <v>40</v>
      </c>
      <c r="AW3" s="2"/>
      <c r="AX3">
        <f t="shared" ref="AX3:AX17" si="8">BB3 - BB2</f>
        <v>10</v>
      </c>
      <c r="AY3" t="s">
        <v>11</v>
      </c>
      <c r="BA3">
        <v>1.943993806838989</v>
      </c>
      <c r="BB3">
        <v>10</v>
      </c>
      <c r="BC3" s="1"/>
      <c r="BD3">
        <f t="shared" ref="BD3:BD17" si="9">BH3 - BH2</f>
        <v>25</v>
      </c>
      <c r="BE3" t="s">
        <v>12</v>
      </c>
      <c r="BG3">
        <v>15.489823341369631</v>
      </c>
      <c r="BH3">
        <v>25</v>
      </c>
      <c r="BI3" s="2"/>
      <c r="BJ3">
        <f t="shared" ref="BJ3:BJ16" si="10">BN3 - BN2</f>
        <v>9</v>
      </c>
      <c r="BK3" t="s">
        <v>13</v>
      </c>
      <c r="BM3">
        <v>2.5465424060821529</v>
      </c>
      <c r="BN3">
        <v>9</v>
      </c>
      <c r="BO3" s="1"/>
      <c r="BP3">
        <f t="shared" ref="BP3:BP15" si="11">BT3 - BT2</f>
        <v>20</v>
      </c>
      <c r="BQ3" t="s">
        <v>14</v>
      </c>
      <c r="BS3">
        <v>13.801031351089479</v>
      </c>
      <c r="BT3">
        <v>20</v>
      </c>
      <c r="BU3" s="2"/>
      <c r="BV3">
        <f t="shared" ref="BV3:BV15" si="12">BZ3 - BZ2</f>
        <v>62</v>
      </c>
      <c r="BW3" t="s">
        <v>15</v>
      </c>
      <c r="BY3">
        <v>49.612432479858398</v>
      </c>
      <c r="BZ3">
        <v>62</v>
      </c>
      <c r="CA3" s="1"/>
      <c r="CB3">
        <f t="shared" ref="CB3:CB14" si="13">CF3 - CF2</f>
        <v>28</v>
      </c>
      <c r="CC3" t="s">
        <v>16</v>
      </c>
      <c r="CE3">
        <v>17.90293192863464</v>
      </c>
      <c r="CF3">
        <v>28</v>
      </c>
      <c r="CG3" s="2"/>
      <c r="CH3">
        <f t="shared" ref="CH3:CH13" si="14">CL3 - CL2</f>
        <v>22</v>
      </c>
      <c r="CI3" t="s">
        <v>17</v>
      </c>
      <c r="CK3">
        <v>3.640790700912476</v>
      </c>
      <c r="CL3">
        <v>22</v>
      </c>
      <c r="CM3" s="1"/>
      <c r="CN3">
        <f t="shared" ref="CN3:CN13" si="15">CR3 - CR2</f>
        <v>80</v>
      </c>
      <c r="CO3" t="s">
        <v>18</v>
      </c>
      <c r="CQ3">
        <v>38.399768590927117</v>
      </c>
      <c r="CR3">
        <v>80</v>
      </c>
      <c r="CS3" s="2"/>
      <c r="CT3">
        <f t="shared" ref="CT3:CT20" si="16">CX3 - CX2</f>
        <v>24</v>
      </c>
      <c r="CU3" t="s">
        <v>19</v>
      </c>
      <c r="CW3">
        <v>3.6813642978668208</v>
      </c>
      <c r="CX3">
        <v>24</v>
      </c>
      <c r="CY3" s="1"/>
      <c r="CZ3">
        <f t="shared" ref="CZ3:CZ20" si="17">DD3 - DD2</f>
        <v>124</v>
      </c>
      <c r="DA3" t="s">
        <v>20</v>
      </c>
      <c r="DC3">
        <v>738.63165330886841</v>
      </c>
      <c r="DD3">
        <v>124</v>
      </c>
      <c r="DE3" s="2"/>
      <c r="DF3">
        <f t="shared" ref="DF3:DF16" si="18">DJ3 - DJ2</f>
        <v>14</v>
      </c>
      <c r="DG3" t="s">
        <v>21</v>
      </c>
      <c r="DI3">
        <v>3.2600910663604741</v>
      </c>
      <c r="DJ3">
        <v>14</v>
      </c>
      <c r="DK3" s="1"/>
      <c r="DL3">
        <f t="shared" ref="DL3:DL15" si="19">DP3 - DP2</f>
        <v>15</v>
      </c>
      <c r="DM3" t="s">
        <v>22</v>
      </c>
      <c r="DO3">
        <v>69.380835056304932</v>
      </c>
      <c r="DP3">
        <v>15</v>
      </c>
      <c r="DQ3" s="2"/>
      <c r="DR3">
        <f t="shared" ref="DR3:DR15" si="20">DV3 - DV2</f>
        <v>24</v>
      </c>
      <c r="DS3" t="s">
        <v>23</v>
      </c>
      <c r="DU3">
        <v>8.3946313858032227</v>
      </c>
      <c r="DV3">
        <v>24</v>
      </c>
      <c r="DW3" s="1"/>
      <c r="DX3">
        <f t="shared" ref="DX3:DX15" si="21">EB3 - EB2</f>
        <v>48</v>
      </c>
      <c r="DY3" t="s">
        <v>24</v>
      </c>
      <c r="EA3">
        <v>15.980938673019409</v>
      </c>
      <c r="EB3">
        <v>48</v>
      </c>
      <c r="EC3" s="2"/>
      <c r="ED3">
        <f t="shared" ref="ED3:ED14" si="22">EH3 - EH2</f>
        <v>18</v>
      </c>
      <c r="EE3" t="s">
        <v>25</v>
      </c>
      <c r="EG3">
        <v>2.6938719749450679</v>
      </c>
      <c r="EH3">
        <v>18</v>
      </c>
      <c r="EI3" s="1"/>
      <c r="EJ3">
        <f t="shared" ref="EJ3:EJ14" si="23">EN3 - EN2</f>
        <v>38</v>
      </c>
      <c r="EK3" t="s">
        <v>26</v>
      </c>
      <c r="EM3">
        <v>25.051452159881588</v>
      </c>
      <c r="EN3">
        <v>38</v>
      </c>
      <c r="EO3" s="2"/>
      <c r="EP3">
        <f t="shared" ref="EP3:EP17" si="24">ET3 - ET2</f>
        <v>14</v>
      </c>
      <c r="EQ3" t="s">
        <v>27</v>
      </c>
      <c r="ES3">
        <v>1.9632611274719241</v>
      </c>
      <c r="ET3">
        <v>14</v>
      </c>
      <c r="EU3" s="1"/>
      <c r="EV3">
        <f t="shared" ref="EV3:EV16" si="25">EZ3 - EZ2</f>
        <v>11</v>
      </c>
      <c r="EW3" t="s">
        <v>28</v>
      </c>
      <c r="EY3">
        <v>47.577508211135857</v>
      </c>
      <c r="EZ3">
        <v>11</v>
      </c>
      <c r="FA3" s="2"/>
      <c r="FB3">
        <f t="shared" ref="FB3:FB16" si="26">FF3 - FF2</f>
        <v>28</v>
      </c>
      <c r="FC3" t="s">
        <v>29</v>
      </c>
      <c r="FE3">
        <v>4.3495948314666748</v>
      </c>
      <c r="FF3">
        <v>28</v>
      </c>
      <c r="FG3" s="1"/>
      <c r="FH3">
        <f t="shared" ref="FH3:FH16" si="27">FL3 - FL2</f>
        <v>14</v>
      </c>
      <c r="FI3" t="s">
        <v>30</v>
      </c>
      <c r="FK3">
        <v>21.845410585403439</v>
      </c>
      <c r="FL3">
        <v>14</v>
      </c>
      <c r="FM3" s="2"/>
      <c r="FN3">
        <f t="shared" ref="FN3:FN16" si="28">FR3 - FR2</f>
        <v>64</v>
      </c>
      <c r="FO3" t="s">
        <v>31</v>
      </c>
      <c r="FQ3">
        <v>4.9049704074859619</v>
      </c>
      <c r="FR3">
        <v>64</v>
      </c>
      <c r="FS3" s="1"/>
      <c r="FT3">
        <f t="shared" ref="FT3:FT16" si="29">FX3 - FX2</f>
        <v>29</v>
      </c>
      <c r="FU3" t="s">
        <v>32</v>
      </c>
      <c r="FW3">
        <v>22.267556190490719</v>
      </c>
      <c r="FX3">
        <v>29</v>
      </c>
      <c r="FY3" s="2"/>
      <c r="FZ3">
        <f t="shared" ref="FZ3:FZ17" si="30">GD3 - GD2</f>
        <v>24</v>
      </c>
      <c r="GA3" t="s">
        <v>33</v>
      </c>
      <c r="GC3">
        <v>3.4043807983398442</v>
      </c>
      <c r="GD3">
        <v>24</v>
      </c>
      <c r="GE3" s="1"/>
      <c r="GF3">
        <f t="shared" ref="GF3:GF16" si="31">GJ3 - GJ2</f>
        <v>88</v>
      </c>
      <c r="GG3" t="s">
        <v>34</v>
      </c>
      <c r="GI3">
        <v>17.206573247909549</v>
      </c>
      <c r="GJ3">
        <v>88</v>
      </c>
      <c r="GK3" s="2"/>
      <c r="GL3">
        <f t="shared" ref="GL3:GL15" si="32">GP3 - GP2</f>
        <v>24</v>
      </c>
      <c r="GM3" t="s">
        <v>35</v>
      </c>
      <c r="GO3">
        <v>2.4397273063659668</v>
      </c>
      <c r="GP3">
        <v>24</v>
      </c>
      <c r="GQ3" s="1"/>
      <c r="GR3">
        <f t="shared" ref="GR3:GR15" si="33">GV3 - GV2</f>
        <v>23</v>
      </c>
      <c r="GS3" t="s">
        <v>36</v>
      </c>
      <c r="GU3">
        <v>15.52975916862488</v>
      </c>
      <c r="GV3">
        <v>23</v>
      </c>
      <c r="GW3" s="2"/>
      <c r="GX3">
        <f t="shared" ref="GX3:GX17" si="34">HB3 - HB2</f>
        <v>10</v>
      </c>
      <c r="GY3" t="s">
        <v>37</v>
      </c>
      <c r="HA3">
        <v>1.7384200096130371</v>
      </c>
      <c r="HB3">
        <v>10</v>
      </c>
      <c r="HC3" s="1"/>
      <c r="HD3">
        <f t="shared" ref="HD3:HD16" si="35">HH3 - HH2</f>
        <v>34</v>
      </c>
      <c r="HE3" t="s">
        <v>38</v>
      </c>
      <c r="HG3">
        <v>22.431714534759521</v>
      </c>
      <c r="HH3">
        <v>34</v>
      </c>
      <c r="HI3" s="2"/>
      <c r="HJ3">
        <f t="shared" ref="HJ3:HJ13" si="36">HN3 - HN2</f>
        <v>6</v>
      </c>
      <c r="HK3" t="s">
        <v>39</v>
      </c>
      <c r="HM3">
        <v>1.403317928314209</v>
      </c>
      <c r="HN3">
        <v>6</v>
      </c>
      <c r="HO3" s="1"/>
      <c r="HP3">
        <f t="shared" ref="HP3:HP13" si="37">HT3 - HT2</f>
        <v>64</v>
      </c>
      <c r="HQ3" t="s">
        <v>40</v>
      </c>
      <c r="HS3">
        <v>52.949897766113281</v>
      </c>
      <c r="HT3">
        <v>64</v>
      </c>
      <c r="HU3" s="2"/>
      <c r="HV3">
        <f t="shared" ref="HV3:HV15" si="38">HZ3 - HZ2</f>
        <v>26</v>
      </c>
      <c r="HW3" t="s">
        <v>41</v>
      </c>
      <c r="HY3">
        <v>4.0429415702819824</v>
      </c>
      <c r="HZ3">
        <v>26</v>
      </c>
      <c r="IA3" s="1"/>
      <c r="IB3">
        <f t="shared" ref="IB3:IB14" si="39">IF3 - IF2</f>
        <v>72</v>
      </c>
      <c r="IC3" t="s">
        <v>42</v>
      </c>
      <c r="IE3">
        <v>28.624305963516239</v>
      </c>
      <c r="IF3">
        <v>72</v>
      </c>
      <c r="IG3" s="2"/>
      <c r="IH3">
        <f t="shared" ref="IH3:IH19" si="40">IL3 - IL2</f>
        <v>22</v>
      </c>
      <c r="II3" t="s">
        <v>43</v>
      </c>
      <c r="IK3">
        <v>2.848575115203857</v>
      </c>
      <c r="IL3">
        <v>22</v>
      </c>
      <c r="IM3" s="1"/>
      <c r="IN3">
        <f t="shared" ref="IN3:IN18" si="41">IR3 - IR2</f>
        <v>142</v>
      </c>
      <c r="IO3" t="s">
        <v>44</v>
      </c>
      <c r="IQ3">
        <v>168.70357656478879</v>
      </c>
      <c r="IR3">
        <v>142</v>
      </c>
      <c r="IS3" s="2"/>
      <c r="IT3">
        <f t="shared" ref="IT3:IT16" si="42">IX3 - IX2</f>
        <v>30</v>
      </c>
      <c r="IU3" t="s">
        <v>45</v>
      </c>
      <c r="IW3">
        <v>3.018305778503418</v>
      </c>
      <c r="IX3">
        <v>30</v>
      </c>
      <c r="IY3" s="1"/>
      <c r="IZ3">
        <f t="shared" ref="IZ3:IZ16" si="43">JD3 - JD2</f>
        <v>23</v>
      </c>
      <c r="JA3" t="s">
        <v>46</v>
      </c>
      <c r="JC3">
        <v>13.709550380706791</v>
      </c>
      <c r="JD3">
        <v>23</v>
      </c>
      <c r="JE3" s="2"/>
      <c r="JF3">
        <f t="shared" ref="JF3:JF15" si="44">JJ3 - JJ2</f>
        <v>20</v>
      </c>
      <c r="JG3" t="s">
        <v>47</v>
      </c>
      <c r="JI3">
        <v>2.0086889266967769</v>
      </c>
      <c r="JJ3">
        <v>20</v>
      </c>
      <c r="JK3" s="1"/>
      <c r="JL3">
        <f t="shared" ref="JL3:JL15" si="45">JP3 - JP2</f>
        <v>24</v>
      </c>
      <c r="JM3" t="s">
        <v>48</v>
      </c>
      <c r="JO3">
        <v>11.88141298294067</v>
      </c>
      <c r="JP3">
        <v>24</v>
      </c>
      <c r="JQ3" s="2"/>
      <c r="JR3">
        <f t="shared" ref="JR3:JR17" si="46">JV3 - JV2</f>
        <v>18</v>
      </c>
      <c r="JS3" t="s">
        <v>49</v>
      </c>
      <c r="JU3">
        <v>2.561989545822144</v>
      </c>
      <c r="JV3">
        <v>18</v>
      </c>
      <c r="JW3" s="1"/>
      <c r="JX3">
        <f t="shared" ref="JX3:JX16" si="47">KB3 - KB2</f>
        <v>26</v>
      </c>
      <c r="JY3" t="s">
        <v>50</v>
      </c>
      <c r="KA3">
        <v>18.179534673690799</v>
      </c>
      <c r="KB3">
        <v>26</v>
      </c>
      <c r="KC3" s="2"/>
      <c r="KD3">
        <f t="shared" ref="KD3:KD16" si="48">KH3 - KH2</f>
        <v>24</v>
      </c>
      <c r="KE3" t="s">
        <v>51</v>
      </c>
      <c r="KG3">
        <v>2.120080947875977</v>
      </c>
      <c r="KH3">
        <v>24</v>
      </c>
      <c r="KI3" s="1"/>
      <c r="KJ3">
        <f t="shared" ref="KJ3:KJ16" si="49">KN3 - KN2</f>
        <v>50</v>
      </c>
      <c r="KK3" t="s">
        <v>52</v>
      </c>
      <c r="KM3">
        <v>16.25931811332703</v>
      </c>
      <c r="KN3">
        <v>50</v>
      </c>
      <c r="KO3" s="2"/>
      <c r="KP3">
        <f t="shared" ref="KP3:KP15" si="50">KT3 - KT2</f>
        <v>60</v>
      </c>
      <c r="KQ3" t="s">
        <v>53</v>
      </c>
      <c r="KS3">
        <v>41.064281702041633</v>
      </c>
      <c r="KT3">
        <v>60</v>
      </c>
      <c r="KU3" s="1"/>
      <c r="KV3">
        <f t="shared" ref="KV3:KV15" si="51">KZ3 - KZ2</f>
        <v>23</v>
      </c>
      <c r="KW3" t="s">
        <v>54</v>
      </c>
      <c r="KY3">
        <v>10.102213382720951</v>
      </c>
      <c r="KZ3">
        <v>23</v>
      </c>
      <c r="LA3" s="2"/>
      <c r="LB3">
        <f t="shared" ref="LB3:LB15" si="52">LF3 - LF2</f>
        <v>18</v>
      </c>
      <c r="LC3" t="s">
        <v>55</v>
      </c>
      <c r="LE3">
        <v>6.2058477401733398</v>
      </c>
      <c r="LF3">
        <v>18</v>
      </c>
      <c r="LG3" s="1"/>
      <c r="LH3">
        <f t="shared" ref="LH3:LH15" si="53">LL3 - LL2</f>
        <v>38</v>
      </c>
      <c r="LI3" t="s">
        <v>56</v>
      </c>
      <c r="LK3">
        <v>30.397765874862671</v>
      </c>
      <c r="LL3">
        <v>38</v>
      </c>
      <c r="LM3" s="2"/>
      <c r="LN3">
        <f t="shared" ref="LN3:LN16" si="54">LR3 - LR2</f>
        <v>26</v>
      </c>
      <c r="LO3" t="s">
        <v>57</v>
      </c>
      <c r="LQ3">
        <v>6.8459885120391846</v>
      </c>
      <c r="LR3">
        <v>26</v>
      </c>
      <c r="LS3" s="1"/>
      <c r="LT3">
        <f t="shared" ref="LT3:LT16" si="55">LX3 - LX2</f>
        <v>19</v>
      </c>
      <c r="LU3" t="s">
        <v>58</v>
      </c>
      <c r="LW3">
        <v>16.75791764259338</v>
      </c>
      <c r="LX3">
        <v>19</v>
      </c>
      <c r="LY3" s="2"/>
      <c r="LZ3">
        <f t="shared" ref="LZ3:LZ19" si="56">MD3 - MD2</f>
        <v>26</v>
      </c>
      <c r="MA3" t="s">
        <v>59</v>
      </c>
      <c r="MC3">
        <v>26.84664344787598</v>
      </c>
      <c r="MD3">
        <v>26</v>
      </c>
      <c r="ME3" s="1"/>
      <c r="MF3">
        <f t="shared" ref="MF3:MF19" si="57">MJ3 - MJ2</f>
        <v>36</v>
      </c>
      <c r="MG3" t="s">
        <v>60</v>
      </c>
      <c r="MI3">
        <v>27.143406391143799</v>
      </c>
      <c r="MJ3">
        <v>36</v>
      </c>
      <c r="MK3" s="2"/>
      <c r="ML3">
        <f t="shared" ref="ML3:ML16" si="58">MP3 - MP2</f>
        <v>20</v>
      </c>
      <c r="MM3" t="s">
        <v>61</v>
      </c>
      <c r="MO3">
        <v>5.2947258949279794</v>
      </c>
      <c r="MP3">
        <v>20</v>
      </c>
      <c r="MQ3" s="1"/>
      <c r="MR3">
        <f t="shared" ref="MR3:MR16" si="59">MV3 - MV2</f>
        <v>34</v>
      </c>
      <c r="MS3" t="s">
        <v>62</v>
      </c>
      <c r="MU3">
        <v>25.715910196304321</v>
      </c>
      <c r="MV3">
        <v>34</v>
      </c>
      <c r="MW3" s="2"/>
      <c r="MX3">
        <f t="shared" ref="MX3:MX19" si="60">NB3 - NB2</f>
        <v>22</v>
      </c>
      <c r="MY3" t="s">
        <v>63</v>
      </c>
      <c r="NA3">
        <v>5.4276199340820313</v>
      </c>
      <c r="NB3">
        <v>22</v>
      </c>
      <c r="NC3" s="1"/>
      <c r="ND3">
        <f t="shared" ref="ND3:ND19" si="61">NH3 - NH2</f>
        <v>26</v>
      </c>
      <c r="NE3" t="s">
        <v>64</v>
      </c>
      <c r="NG3">
        <v>13.34655404090881</v>
      </c>
      <c r="NH3">
        <v>26</v>
      </c>
      <c r="NI3" s="2"/>
      <c r="NJ3">
        <f t="shared" ref="NJ3:NJ16" si="62">NN3 - NN2</f>
        <v>10</v>
      </c>
      <c r="NK3" t="s">
        <v>65</v>
      </c>
      <c r="NM3">
        <v>1.796028614044189</v>
      </c>
      <c r="NN3">
        <v>10</v>
      </c>
      <c r="NO3" s="1"/>
      <c r="NP3">
        <f t="shared" ref="NP3:NP16" si="63">NT3 - NT2</f>
        <v>18</v>
      </c>
      <c r="NQ3" t="s">
        <v>66</v>
      </c>
      <c r="NS3">
        <v>13.09206581115723</v>
      </c>
      <c r="NT3">
        <v>18</v>
      </c>
      <c r="NU3" s="2"/>
      <c r="NV3">
        <f t="shared" ref="NV3:NV17" si="64">NZ3 - NZ2</f>
        <v>18</v>
      </c>
      <c r="NW3" t="s">
        <v>67</v>
      </c>
      <c r="NY3">
        <v>2.5569944381713872</v>
      </c>
      <c r="NZ3">
        <v>18</v>
      </c>
      <c r="OA3" s="1"/>
      <c r="OB3">
        <f t="shared" ref="OB3:OB17" si="65">OF3 - OF2</f>
        <v>24</v>
      </c>
      <c r="OC3" t="s">
        <v>68</v>
      </c>
      <c r="OE3">
        <v>12.54886436462402</v>
      </c>
      <c r="OF3">
        <v>24</v>
      </c>
      <c r="OG3" s="2"/>
      <c r="OH3">
        <f t="shared" ref="OH3:OH17" si="66">OL3 - OL2</f>
        <v>66</v>
      </c>
      <c r="OI3" t="s">
        <v>69</v>
      </c>
      <c r="OK3">
        <v>16.300550699234009</v>
      </c>
      <c r="OL3">
        <v>66</v>
      </c>
      <c r="OM3" s="1"/>
      <c r="ON3">
        <f t="shared" ref="ON3:ON17" si="67">OR3 - OR2</f>
        <v>24</v>
      </c>
      <c r="OO3" t="s">
        <v>70</v>
      </c>
      <c r="OQ3">
        <v>13.236159563064581</v>
      </c>
      <c r="OR3">
        <v>24</v>
      </c>
      <c r="OS3" s="2"/>
      <c r="OT3">
        <f t="shared" ref="OT3:OT17" si="68">OX3 - OX2</f>
        <v>28</v>
      </c>
      <c r="OU3" t="s">
        <v>71</v>
      </c>
      <c r="OW3">
        <v>4.0623593330383301</v>
      </c>
      <c r="OX3">
        <v>28</v>
      </c>
      <c r="OY3" s="1"/>
      <c r="OZ3">
        <f t="shared" ref="OZ3:OZ16" si="69">PD3 - PD2</f>
        <v>28</v>
      </c>
      <c r="PA3" t="s">
        <v>72</v>
      </c>
      <c r="PC3">
        <v>21.049981355667111</v>
      </c>
      <c r="PD3">
        <v>28</v>
      </c>
      <c r="PE3" s="2"/>
      <c r="PF3">
        <f t="shared" ref="PF3:PF15" si="70">PJ3 - PJ2</f>
        <v>22</v>
      </c>
      <c r="PG3" t="s">
        <v>73</v>
      </c>
      <c r="PI3">
        <v>2.653868436813354</v>
      </c>
      <c r="PJ3">
        <v>22</v>
      </c>
      <c r="PK3" s="1"/>
      <c r="PL3">
        <f t="shared" ref="PL3:PL15" si="71">PP3 - PP2</f>
        <v>34</v>
      </c>
      <c r="PM3" t="s">
        <v>74</v>
      </c>
      <c r="PO3">
        <v>21.903173208236691</v>
      </c>
      <c r="PP3">
        <v>34</v>
      </c>
      <c r="PQ3" s="2"/>
      <c r="PR3">
        <f t="shared" ref="PR3:PR16" si="72">PV3 - PV2</f>
        <v>22</v>
      </c>
      <c r="PS3" t="s">
        <v>75</v>
      </c>
      <c r="PU3">
        <v>3.372128009796143</v>
      </c>
      <c r="PV3">
        <v>22</v>
      </c>
      <c r="PW3" s="1"/>
      <c r="PX3">
        <f t="shared" ref="PX3:PX15" si="73">QB3 - QB2</f>
        <v>36</v>
      </c>
      <c r="PY3" t="s">
        <v>76</v>
      </c>
      <c r="QA3">
        <v>14.54423499107361</v>
      </c>
      <c r="QB3">
        <v>36</v>
      </c>
      <c r="QC3" s="2"/>
      <c r="QD3">
        <f t="shared" ref="QD3:QD15" si="74">QH3 - QH2</f>
        <v>28</v>
      </c>
      <c r="QE3" t="s">
        <v>77</v>
      </c>
      <c r="QG3">
        <v>5.4145350456237793</v>
      </c>
      <c r="QH3">
        <v>28</v>
      </c>
      <c r="QI3" s="1"/>
      <c r="QJ3">
        <f t="shared" ref="QJ3:QJ15" si="75">QN3 - QN2</f>
        <v>48</v>
      </c>
      <c r="QK3" t="s">
        <v>78</v>
      </c>
      <c r="QM3">
        <v>40.264893054962158</v>
      </c>
      <c r="QN3">
        <v>48</v>
      </c>
      <c r="QO3" s="2"/>
      <c r="QP3">
        <f t="shared" ref="QP3:QP16" si="76">QT3 - QT2</f>
        <v>14</v>
      </c>
      <c r="QQ3" t="s">
        <v>79</v>
      </c>
      <c r="QS3">
        <v>2.1877174377441411</v>
      </c>
      <c r="QT3">
        <v>14</v>
      </c>
      <c r="QU3" s="1"/>
      <c r="QV3">
        <f t="shared" ref="QV3:QV15" si="77">QZ3 - QZ2</f>
        <v>26</v>
      </c>
      <c r="QW3" t="s">
        <v>80</v>
      </c>
      <c r="QY3">
        <v>15.75279760360718</v>
      </c>
      <c r="QZ3">
        <v>26</v>
      </c>
      <c r="RA3" s="2"/>
      <c r="RB3">
        <f t="shared" ref="RB3:RB15" si="78">RF3 - RF2</f>
        <v>22</v>
      </c>
      <c r="RC3" t="s">
        <v>81</v>
      </c>
      <c r="RE3">
        <v>2.5833418369293208</v>
      </c>
      <c r="RF3">
        <v>22</v>
      </c>
      <c r="RG3" s="1"/>
      <c r="RH3">
        <f t="shared" ref="RH3:RH14" si="79">RL3 - RL2</f>
        <v>26</v>
      </c>
      <c r="RI3" t="s">
        <v>82</v>
      </c>
      <c r="RK3">
        <v>18.17956113815308</v>
      </c>
      <c r="RL3">
        <v>26</v>
      </c>
      <c r="RM3" s="2"/>
      <c r="RN3">
        <f t="shared" ref="RN3:RN18" si="80">RR3 - RR2</f>
        <v>26</v>
      </c>
      <c r="RO3" t="s">
        <v>83</v>
      </c>
      <c r="RQ3">
        <v>3.3032677173614502</v>
      </c>
      <c r="RR3">
        <v>26</v>
      </c>
      <c r="RS3" s="1"/>
      <c r="RT3">
        <f t="shared" ref="RT3:RT18" si="81">RX3 - RX2</f>
        <v>56</v>
      </c>
      <c r="RU3" t="s">
        <v>84</v>
      </c>
      <c r="RW3">
        <v>21.913585424423221</v>
      </c>
      <c r="RX3">
        <v>56</v>
      </c>
      <c r="RY3" s="2"/>
      <c r="RZ3">
        <f t="shared" ref="RZ3:RZ15" si="82">SD3 - SD2</f>
        <v>30</v>
      </c>
      <c r="SA3" t="s">
        <v>85</v>
      </c>
      <c r="SC3">
        <v>4.7620089054107666</v>
      </c>
      <c r="SD3">
        <v>30</v>
      </c>
      <c r="SE3" s="1"/>
      <c r="SF3">
        <f t="shared" ref="SF3:SF15" si="83">SJ3 - SJ2</f>
        <v>44</v>
      </c>
      <c r="SG3" t="s">
        <v>86</v>
      </c>
      <c r="SI3">
        <v>13.79158568382263</v>
      </c>
      <c r="SJ3">
        <v>44</v>
      </c>
      <c r="SK3" s="2"/>
      <c r="SL3">
        <f t="shared" ref="SL3:SL14" si="84">SP3 - SP2</f>
        <v>18</v>
      </c>
      <c r="SM3" t="s">
        <v>87</v>
      </c>
      <c r="SO3">
        <v>8.6500632762908936</v>
      </c>
      <c r="SP3">
        <v>18</v>
      </c>
      <c r="SQ3" s="1"/>
      <c r="SR3">
        <f t="shared" ref="SR3:SR14" si="85">SV3 - SV2</f>
        <v>34</v>
      </c>
      <c r="SS3" t="s">
        <v>88</v>
      </c>
      <c r="SU3">
        <v>36.660213232040412</v>
      </c>
      <c r="SV3">
        <v>34</v>
      </c>
      <c r="SW3" s="2"/>
      <c r="SX3">
        <f t="shared" ref="SX3:SX14" si="86">TB3 - TB2</f>
        <v>20</v>
      </c>
      <c r="SY3" t="s">
        <v>89</v>
      </c>
      <c r="TA3">
        <v>3.8818728923797612</v>
      </c>
      <c r="TB3">
        <v>20</v>
      </c>
      <c r="TC3" s="1"/>
      <c r="TD3">
        <f t="shared" ref="TD3:TD14" si="87">TH3 - TH2</f>
        <v>23</v>
      </c>
      <c r="TE3" t="s">
        <v>90</v>
      </c>
      <c r="TG3">
        <v>12.48849844932556</v>
      </c>
      <c r="TH3">
        <v>23</v>
      </c>
      <c r="TI3" s="2"/>
      <c r="TJ3">
        <f t="shared" ref="TJ3:TJ15" si="88">TN3 - TN2</f>
        <v>70</v>
      </c>
      <c r="TK3" t="s">
        <v>91</v>
      </c>
      <c r="TM3">
        <v>10.305619716644291</v>
      </c>
      <c r="TN3">
        <v>70</v>
      </c>
      <c r="TO3" s="1"/>
      <c r="TP3">
        <f t="shared" ref="TP3:TP15" si="89">TT3 - TT2</f>
        <v>11</v>
      </c>
      <c r="TQ3" t="s">
        <v>92</v>
      </c>
      <c r="TS3">
        <v>18.684882164001461</v>
      </c>
      <c r="TT3">
        <v>11</v>
      </c>
      <c r="TU3" s="2"/>
      <c r="TV3">
        <f t="shared" ref="TV3:TV16" si="90">TZ3 - TZ2</f>
        <v>28</v>
      </c>
      <c r="TW3" t="s">
        <v>93</v>
      </c>
      <c r="TY3">
        <v>2.7187883853912349</v>
      </c>
      <c r="TZ3">
        <v>28</v>
      </c>
      <c r="UA3" s="1"/>
      <c r="UB3">
        <f t="shared" ref="UB3:UB15" si="91">UF3 - UF2</f>
        <v>23</v>
      </c>
      <c r="UC3" t="s">
        <v>94</v>
      </c>
      <c r="UE3">
        <v>30.473824024200439</v>
      </c>
      <c r="UF3">
        <v>23</v>
      </c>
      <c r="UG3" s="2"/>
      <c r="UH3">
        <f t="shared" ref="UH3:UH19" si="92">UL3 - UL2</f>
        <v>20</v>
      </c>
      <c r="UI3" t="s">
        <v>95</v>
      </c>
      <c r="UK3">
        <v>3.1544332504272461</v>
      </c>
      <c r="UL3">
        <v>20</v>
      </c>
      <c r="UM3" s="1"/>
      <c r="UN3">
        <f t="shared" ref="UN3:UN18" si="93">UR3 - UR2</f>
        <v>62</v>
      </c>
      <c r="UO3" t="s">
        <v>96</v>
      </c>
      <c r="UQ3">
        <v>16.169810771942139</v>
      </c>
      <c r="UR3">
        <v>62</v>
      </c>
      <c r="US3" s="2"/>
      <c r="UT3">
        <f t="shared" ref="UT3:UT17" si="94">UX3 - UX2</f>
        <v>4</v>
      </c>
      <c r="UU3" t="s">
        <v>97</v>
      </c>
      <c r="UW3">
        <v>1.1479091644287109</v>
      </c>
      <c r="UX3">
        <v>4</v>
      </c>
      <c r="UY3" s="1"/>
      <c r="UZ3">
        <f t="shared" ref="UZ3:UZ16" si="95">VD3 - VD2</f>
        <v>8</v>
      </c>
      <c r="VA3" t="s">
        <v>98</v>
      </c>
      <c r="VC3">
        <v>29.84430289268494</v>
      </c>
      <c r="VD3">
        <v>8</v>
      </c>
      <c r="VE3" s="2"/>
      <c r="VF3">
        <f t="shared" ref="VF3:VF14" si="96">VJ3 - VJ2</f>
        <v>26</v>
      </c>
      <c r="VG3" t="s">
        <v>99</v>
      </c>
      <c r="VI3">
        <v>6.6556229591369629</v>
      </c>
      <c r="VJ3">
        <v>26</v>
      </c>
      <c r="VK3" s="1"/>
      <c r="VL3">
        <f t="shared" ref="VL3:VL14" si="97">VP3 - VP2</f>
        <v>38</v>
      </c>
      <c r="VM3" t="s">
        <v>100</v>
      </c>
      <c r="VO3">
        <v>25.731873989105221</v>
      </c>
      <c r="VP3">
        <v>38</v>
      </c>
      <c r="VQ3" s="2"/>
      <c r="VR3">
        <f t="shared" ref="VR3:VR16" si="98">VV3 - VV2</f>
        <v>6</v>
      </c>
      <c r="VS3" t="s">
        <v>101</v>
      </c>
      <c r="VU3">
        <v>1.603753805160522</v>
      </c>
      <c r="VV3">
        <v>6</v>
      </c>
      <c r="VW3" s="1"/>
      <c r="VX3">
        <f t="shared" ref="VX3:VX16" si="99">WB3 - WB2</f>
        <v>20</v>
      </c>
      <c r="VY3" t="s">
        <v>102</v>
      </c>
      <c r="WA3">
        <v>13.431370258331301</v>
      </c>
      <c r="WB3">
        <v>20</v>
      </c>
      <c r="WC3" s="2"/>
      <c r="WD3">
        <f t="shared" ref="WD3:WD14" si="100">WH3 - WH2</f>
        <v>30</v>
      </c>
      <c r="WE3" t="s">
        <v>103</v>
      </c>
      <c r="WG3">
        <v>5.3577790260314941</v>
      </c>
      <c r="WH3">
        <v>30</v>
      </c>
      <c r="WI3" s="1"/>
      <c r="WJ3">
        <f t="shared" ref="WJ3:WJ14" si="101">WN3 - WN2</f>
        <v>58</v>
      </c>
      <c r="WK3" t="s">
        <v>104</v>
      </c>
      <c r="WM3">
        <v>33.338573217391968</v>
      </c>
      <c r="WN3">
        <v>58</v>
      </c>
      <c r="WO3" s="4"/>
      <c r="WP3">
        <f t="shared" ref="WP3:WP16" si="102">WT3 - WT2</f>
        <v>18</v>
      </c>
      <c r="WQ3" t="s">
        <v>105</v>
      </c>
      <c r="WS3">
        <v>9.3057668209075928</v>
      </c>
      <c r="WT3">
        <v>18</v>
      </c>
      <c r="WU3" s="3"/>
      <c r="WV3">
        <f t="shared" ref="WV3:WV15" si="103">WZ3 - WZ2</f>
        <v>55</v>
      </c>
      <c r="WW3" t="s">
        <v>106</v>
      </c>
      <c r="WY3">
        <v>9.3710258007049561</v>
      </c>
      <c r="WZ3">
        <v>55</v>
      </c>
      <c r="XA3" s="2"/>
      <c r="XB3">
        <f t="shared" ref="XB3:XB14" si="104">XF3 - XF2</f>
        <v>0</v>
      </c>
      <c r="XE3">
        <v>20.91282486915588</v>
      </c>
      <c r="XF3">
        <v>0</v>
      </c>
      <c r="XG3" s="5"/>
      <c r="XH3">
        <f t="shared" ref="XH3:XH14" si="105">XL3 - XL2</f>
        <v>32</v>
      </c>
      <c r="XI3" t="s">
        <v>107</v>
      </c>
      <c r="XK3">
        <v>13.542841672897341</v>
      </c>
      <c r="XL3">
        <v>32</v>
      </c>
      <c r="XM3" s="2"/>
      <c r="XN3">
        <f t="shared" ref="XN3:XN15" si="106">XR3 - XR2</f>
        <v>9</v>
      </c>
      <c r="XO3" t="s">
        <v>108</v>
      </c>
      <c r="XQ3">
        <v>10.491657972335821</v>
      </c>
      <c r="XR3">
        <v>9</v>
      </c>
      <c r="XS3" s="5"/>
      <c r="XT3">
        <f t="shared" ref="XT3:XT15" si="107">XX3 - XX2</f>
        <v>26</v>
      </c>
      <c r="XU3" t="s">
        <v>109</v>
      </c>
      <c r="XW3">
        <v>8.0196175575256348</v>
      </c>
      <c r="XX3">
        <v>26</v>
      </c>
      <c r="XY3" s="2"/>
      <c r="XZ3">
        <f t="shared" ref="XZ3:XZ16" si="108">YD3 - YD2</f>
        <v>7</v>
      </c>
      <c r="YA3" t="s">
        <v>110</v>
      </c>
      <c r="YC3">
        <v>10.29035401344299</v>
      </c>
      <c r="YD3">
        <v>7</v>
      </c>
      <c r="YE3" s="5"/>
      <c r="YF3">
        <f t="shared" ref="YF3:YF15" si="109">YJ3 - YJ2</f>
        <v>20</v>
      </c>
      <c r="YG3" t="s">
        <v>111</v>
      </c>
      <c r="YI3">
        <v>3.6426150798797612</v>
      </c>
      <c r="YJ3">
        <v>20</v>
      </c>
      <c r="YK3" s="2"/>
      <c r="YL3">
        <f t="shared" ref="YL3:YL15" si="110">YP3 - YP2</f>
        <v>9</v>
      </c>
      <c r="YM3" t="s">
        <v>112</v>
      </c>
      <c r="YO3">
        <v>9.371922492980957</v>
      </c>
      <c r="YP3">
        <v>9</v>
      </c>
      <c r="YQ3" s="5"/>
      <c r="YR3">
        <f t="shared" ref="YR3:YR14" si="111">YV3 - YV2</f>
        <v>84</v>
      </c>
      <c r="YS3" t="s">
        <v>113</v>
      </c>
      <c r="YU3">
        <v>11.55630135536194</v>
      </c>
      <c r="YV3">
        <v>84</v>
      </c>
      <c r="YW3" s="2"/>
      <c r="YX3">
        <f t="shared" ref="YX3:YX17" si="112">ZB3 - ZB2</f>
        <v>8</v>
      </c>
      <c r="YY3" t="s">
        <v>114</v>
      </c>
      <c r="ZA3">
        <v>13.908401489257811</v>
      </c>
      <c r="ZB3">
        <v>8</v>
      </c>
      <c r="ZC3" s="5"/>
      <c r="ZD3">
        <f t="shared" ref="ZD3:ZD16" si="113">ZH3 - ZH2</f>
        <v>28</v>
      </c>
      <c r="ZE3" t="s">
        <v>115</v>
      </c>
      <c r="ZG3">
        <v>15.282540321350099</v>
      </c>
      <c r="ZH3">
        <v>28</v>
      </c>
      <c r="ZI3" s="2"/>
      <c r="ZJ3">
        <f t="shared" ref="ZJ3:ZJ14" si="114">ZN3 - ZN2</f>
        <v>34</v>
      </c>
      <c r="ZK3" t="s">
        <v>116</v>
      </c>
      <c r="ZM3">
        <v>9.1217720508575439</v>
      </c>
      <c r="ZN3">
        <v>34</v>
      </c>
      <c r="ZO3" s="5"/>
      <c r="ZP3">
        <f t="shared" ref="ZP3:ZP13" si="115">ZT3 - ZT2</f>
        <v>32</v>
      </c>
      <c r="ZQ3" t="s">
        <v>117</v>
      </c>
      <c r="ZS3">
        <v>10.48961019515991</v>
      </c>
      <c r="ZT3">
        <v>32</v>
      </c>
      <c r="ZU3" s="2"/>
      <c r="ZV3">
        <f t="shared" ref="ZV3:ZV18" si="116">ZZ3 - ZZ2</f>
        <v>0</v>
      </c>
      <c r="ZY3">
        <v>7.942164421081543</v>
      </c>
      <c r="ZZ3">
        <v>0</v>
      </c>
      <c r="AAA3" s="5"/>
      <c r="AAB3">
        <f t="shared" ref="AAB3:AAB17" si="117">AAF3 - AAF2</f>
        <v>28</v>
      </c>
      <c r="AAC3" t="s">
        <v>118</v>
      </c>
      <c r="AAE3">
        <v>9.3901677131652832</v>
      </c>
      <c r="AAF3">
        <v>28</v>
      </c>
      <c r="AAG3" s="2"/>
      <c r="AAH3">
        <f t="shared" ref="AAH3:AAH15" si="118">AAL3 - AAL2</f>
        <v>64</v>
      </c>
      <c r="AAI3" t="s">
        <v>119</v>
      </c>
      <c r="AAK3">
        <v>21.928429841995239</v>
      </c>
      <c r="AAL3">
        <v>64</v>
      </c>
      <c r="AAM3" s="5"/>
      <c r="AAN3">
        <f t="shared" ref="AAN3:AAN14" si="119">AAR3 - AAR2</f>
        <v>42</v>
      </c>
      <c r="AAO3" t="s">
        <v>120</v>
      </c>
      <c r="AAQ3">
        <v>56.978560447692871</v>
      </c>
      <c r="AAR3">
        <v>42</v>
      </c>
      <c r="AAS3" s="2"/>
      <c r="AAT3">
        <f t="shared" ref="AAT3:AAT15" si="120">AAX3 - AAX2</f>
        <v>0</v>
      </c>
      <c r="AAW3">
        <v>102.1557471752167</v>
      </c>
      <c r="AAX3">
        <v>0</v>
      </c>
      <c r="AAY3" s="5"/>
      <c r="AAZ3">
        <f t="shared" ref="AAZ3:AAZ15" si="121">ABD3 - ABD2</f>
        <v>20</v>
      </c>
      <c r="ABA3" t="s">
        <v>121</v>
      </c>
      <c r="ABC3">
        <v>6.4098079204559326</v>
      </c>
      <c r="ABD3">
        <v>20</v>
      </c>
      <c r="ABE3" s="2"/>
      <c r="ABF3">
        <f t="shared" ref="ABF3:ABF15" si="122">ABJ3 - ABJ2</f>
        <v>0</v>
      </c>
      <c r="ABI3">
        <v>15.159841537475589</v>
      </c>
      <c r="ABJ3">
        <v>0</v>
      </c>
      <c r="ABK3" s="5"/>
      <c r="ABL3">
        <f t="shared" ref="ABL3:ABL15" si="123">ABP3 - ABP2</f>
        <v>24</v>
      </c>
      <c r="ABM3" t="s">
        <v>122</v>
      </c>
      <c r="ABO3">
        <v>5.5457828044891357</v>
      </c>
      <c r="ABP3">
        <v>24</v>
      </c>
      <c r="ABQ3" s="2"/>
      <c r="ABR3">
        <f t="shared" ref="ABR3:ABR19" si="124">ABV3 - ABV2</f>
        <v>0</v>
      </c>
      <c r="ABU3">
        <v>18.424854516983029</v>
      </c>
      <c r="ABV3">
        <v>0</v>
      </c>
      <c r="ABW3" s="5"/>
      <c r="ABX3">
        <f t="shared" ref="ABX3:ABX19" si="125">ACB3 - ACB2</f>
        <v>24</v>
      </c>
      <c r="ABY3" t="s">
        <v>123</v>
      </c>
      <c r="ACA3">
        <v>32.740561723709114</v>
      </c>
      <c r="ACB3">
        <v>24</v>
      </c>
      <c r="ACC3" s="2"/>
      <c r="ACD3">
        <f t="shared" ref="ACD3:ACD15" si="126">ACH3 - ACH2</f>
        <v>0</v>
      </c>
      <c r="ACG3">
        <v>12.0199134349823</v>
      </c>
      <c r="ACH3">
        <v>0</v>
      </c>
      <c r="ACI3" s="5"/>
      <c r="ACJ3">
        <f t="shared" ref="ACJ3:ACJ14" si="127">ACN3 - ACN2</f>
        <v>26</v>
      </c>
      <c r="ACK3" t="s">
        <v>124</v>
      </c>
      <c r="ACM3">
        <v>8.0779733657836914</v>
      </c>
      <c r="ACN3">
        <v>26</v>
      </c>
      <c r="ACO3" s="2"/>
      <c r="ACP3">
        <f t="shared" ref="ACP3:ACP19" si="128">ACT3 - ACT2</f>
        <v>14</v>
      </c>
      <c r="ACQ3" t="s">
        <v>125</v>
      </c>
      <c r="ACS3">
        <v>13.4709255695343</v>
      </c>
      <c r="ACT3">
        <v>14</v>
      </c>
      <c r="ACU3" s="5"/>
      <c r="ACV3">
        <f t="shared" ref="ACV3:ACV18" si="129">ACZ3 - ACZ2</f>
        <v>86</v>
      </c>
      <c r="ACW3" t="s">
        <v>126</v>
      </c>
      <c r="ACY3">
        <v>32.742742776870728</v>
      </c>
      <c r="ACZ3">
        <v>86</v>
      </c>
      <c r="ADA3" s="2"/>
      <c r="ADB3">
        <f t="shared" ref="ADB3:ADB18" si="130">ADF3 - ADF2</f>
        <v>0</v>
      </c>
      <c r="ADE3">
        <v>10.413069725036619</v>
      </c>
      <c r="ADF3">
        <v>0</v>
      </c>
      <c r="ADG3" s="5"/>
      <c r="ADH3">
        <f t="shared" ref="ADH3:ADH17" si="131">ADL3 - ADL2</f>
        <v>9</v>
      </c>
      <c r="ADI3" t="s">
        <v>127</v>
      </c>
      <c r="ADK3">
        <v>1.930281400680542</v>
      </c>
      <c r="ADL3">
        <v>9</v>
      </c>
      <c r="ADM3" s="2"/>
      <c r="ADN3">
        <f t="shared" ref="ADN3:ADN19" si="132">ADR3 - ADR2</f>
        <v>0</v>
      </c>
      <c r="ADQ3">
        <v>9.8014206886291504</v>
      </c>
      <c r="ADR3">
        <v>0</v>
      </c>
      <c r="ADS3" s="5"/>
      <c r="ADT3">
        <f t="shared" ref="ADT3:ADT18" si="133">ADX3 - ADX2</f>
        <v>24</v>
      </c>
      <c r="ADU3" t="s">
        <v>128</v>
      </c>
      <c r="ADW3">
        <v>26.35155558586121</v>
      </c>
      <c r="ADX3">
        <v>24</v>
      </c>
      <c r="ADY3" s="2"/>
      <c r="ADZ3">
        <f t="shared" ref="ADZ3:ADZ20" si="134">AED3 - AED2</f>
        <v>0</v>
      </c>
      <c r="AEC3">
        <v>112.8830645084381</v>
      </c>
      <c r="AED3">
        <v>0</v>
      </c>
      <c r="AEE3" s="5"/>
      <c r="AEF3">
        <f t="shared" ref="AEF3:AEF20" si="135">AEJ3 - AEJ2</f>
        <v>9</v>
      </c>
      <c r="AEG3" t="s">
        <v>129</v>
      </c>
      <c r="AEI3">
        <v>1.7428281307220459</v>
      </c>
      <c r="AEJ3">
        <v>9</v>
      </c>
      <c r="AEK3" s="2"/>
      <c r="AEL3">
        <f t="shared" ref="AEL3:AEL18" si="136">AEP3 - AEP2</f>
        <v>0</v>
      </c>
      <c r="AEO3">
        <v>9.8324496746063232</v>
      </c>
      <c r="AEP3">
        <v>0</v>
      </c>
      <c r="AEQ3" s="5"/>
      <c r="AER3">
        <f t="shared" ref="AER3:AER17" si="137">AEV3 - AEV2</f>
        <v>9</v>
      </c>
      <c r="AES3" t="s">
        <v>130</v>
      </c>
      <c r="AEU3">
        <v>1.7053496837615969</v>
      </c>
      <c r="AEV3">
        <v>9</v>
      </c>
      <c r="AEW3" s="2"/>
      <c r="AEX3">
        <f t="shared" ref="AEX3:AEX16" si="138">AFB3 - AFB2</f>
        <v>4</v>
      </c>
      <c r="AEY3" t="s">
        <v>131</v>
      </c>
      <c r="AFA3">
        <v>18.992862224578861</v>
      </c>
      <c r="AFB3">
        <v>4</v>
      </c>
      <c r="AFC3" s="5"/>
      <c r="AFD3">
        <f t="shared" ref="AFD3:AFD16" si="139">AFH3 - AFH2</f>
        <v>25</v>
      </c>
      <c r="AFE3" t="s">
        <v>132</v>
      </c>
      <c r="AFG3">
        <v>1.988592863082886</v>
      </c>
      <c r="AFH3">
        <v>25</v>
      </c>
      <c r="AFI3" s="2"/>
      <c r="AFJ3">
        <f t="shared" ref="AFJ3:AFJ15" si="140">AFN3 - AFN2</f>
        <v>0</v>
      </c>
      <c r="AFM3">
        <v>86.026186466217041</v>
      </c>
      <c r="AFN3">
        <v>0</v>
      </c>
      <c r="AFO3" s="5"/>
      <c r="AFP3">
        <f t="shared" ref="AFP3:AFP15" si="141">AFT3 - AFT2</f>
        <v>10</v>
      </c>
      <c r="AFQ3" t="s">
        <v>133</v>
      </c>
      <c r="AFS3">
        <v>2.7379741668701172</v>
      </c>
      <c r="AFT3">
        <v>10</v>
      </c>
      <c r="AFU3" s="2"/>
      <c r="AFV3">
        <f t="shared" ref="AFV3:AFV18" si="142">AFZ3 - AFZ2</f>
        <v>9</v>
      </c>
      <c r="AFW3" t="s">
        <v>134</v>
      </c>
      <c r="AFY3">
        <v>18.156707048416141</v>
      </c>
      <c r="AFZ3">
        <v>9</v>
      </c>
      <c r="AGA3" s="5"/>
      <c r="AGB3">
        <f t="shared" ref="AGB3:AGB17" si="143">AGF3 - AGF2</f>
        <v>32</v>
      </c>
      <c r="AGC3" t="s">
        <v>135</v>
      </c>
      <c r="AGE3">
        <v>2.659612655639648</v>
      </c>
      <c r="AGF3">
        <v>32</v>
      </c>
      <c r="AGG3" s="2"/>
      <c r="AGH3">
        <f t="shared" ref="AGH3:AGH18" si="144">AGL3 - AGL2</f>
        <v>12</v>
      </c>
      <c r="AGI3" t="s">
        <v>136</v>
      </c>
      <c r="AGK3">
        <v>10.807003974914551</v>
      </c>
      <c r="AGL3">
        <v>12</v>
      </c>
      <c r="AGM3" s="5"/>
      <c r="AGN3">
        <f t="shared" ref="AGN3:AGN17" si="145">AGR3 - AGR2</f>
        <v>31</v>
      </c>
      <c r="AGO3" t="s">
        <v>137</v>
      </c>
      <c r="AGQ3">
        <v>6.2835469245910636</v>
      </c>
      <c r="AGR3">
        <v>31</v>
      </c>
      <c r="AGS3" s="2"/>
      <c r="AGT3">
        <f t="shared" ref="AGT3:AGT21" si="146">AGX3 - AGX2</f>
        <v>15</v>
      </c>
      <c r="AGU3" t="s">
        <v>138</v>
      </c>
      <c r="AGW3">
        <v>12.94492602348328</v>
      </c>
      <c r="AGX3">
        <v>15</v>
      </c>
      <c r="AGY3" s="5"/>
      <c r="AGZ3">
        <f t="shared" ref="AGZ3:AGZ20" si="147">AHD3 - AHD2</f>
        <v>26</v>
      </c>
      <c r="AHA3" t="s">
        <v>139</v>
      </c>
      <c r="AHC3">
        <v>5.6317856311798096</v>
      </c>
      <c r="AHD3">
        <v>26</v>
      </c>
      <c r="AHE3" s="2"/>
      <c r="AHF3">
        <f t="shared" ref="AHF3:AHF17" si="148">AHJ3 - AHJ2</f>
        <v>11</v>
      </c>
      <c r="AHG3" t="s">
        <v>140</v>
      </c>
      <c r="AHI3">
        <v>11.06877732276917</v>
      </c>
      <c r="AHJ3">
        <v>11</v>
      </c>
      <c r="AHK3" s="5"/>
      <c r="AHL3">
        <f t="shared" ref="AHL3:AHL17" si="149">AHP3 - AHP2</f>
        <v>20</v>
      </c>
      <c r="AHM3" t="s">
        <v>141</v>
      </c>
      <c r="AHO3">
        <v>6.2277002334594727</v>
      </c>
      <c r="AHP3">
        <v>20</v>
      </c>
      <c r="AHQ3" s="2"/>
      <c r="AHR3">
        <f t="shared" ref="AHR3:AHR17" si="150">AHV3 - AHV2</f>
        <v>0</v>
      </c>
      <c r="AHU3">
        <v>8.7888185977935791</v>
      </c>
      <c r="AHV3">
        <v>0</v>
      </c>
      <c r="AHW3" s="5"/>
      <c r="AHX3">
        <f t="shared" ref="AHX3:AHX17" si="151">AIB3 - AIB2</f>
        <v>30</v>
      </c>
      <c r="AHY3" t="s">
        <v>142</v>
      </c>
      <c r="AIA3">
        <v>19.203351736068729</v>
      </c>
      <c r="AIB3">
        <v>30</v>
      </c>
      <c r="AIC3" s="2"/>
      <c r="AID3">
        <f t="shared" ref="AID3:AID14" si="152">AIH3 - AIH2</f>
        <v>0</v>
      </c>
      <c r="AIG3">
        <v>14.68576502799988</v>
      </c>
      <c r="AIH3">
        <v>0</v>
      </c>
      <c r="AII3" s="5"/>
      <c r="AIJ3">
        <f t="shared" ref="AIJ3:AIJ13" si="153">AIN3 - AIN2</f>
        <v>11</v>
      </c>
      <c r="AIK3" t="s">
        <v>143</v>
      </c>
      <c r="AIM3">
        <v>2.517009973526001</v>
      </c>
      <c r="AIN3">
        <v>11</v>
      </c>
      <c r="AIO3" s="2"/>
      <c r="AIP3">
        <f t="shared" ref="AIP3:AIP15" si="154">AIT3 - AIT2</f>
        <v>14</v>
      </c>
      <c r="AIQ3" t="s">
        <v>144</v>
      </c>
      <c r="AIS3">
        <v>11.09074378013611</v>
      </c>
      <c r="AIT3">
        <v>14</v>
      </c>
      <c r="AIU3" s="5"/>
      <c r="AIV3">
        <f t="shared" ref="AIV3:AIV15" si="155">AIZ3 - AIZ2</f>
        <v>25</v>
      </c>
      <c r="AIW3" t="s">
        <v>145</v>
      </c>
      <c r="AIY3">
        <v>8.6209180355072021</v>
      </c>
      <c r="AIZ3">
        <v>25</v>
      </c>
      <c r="AJA3" s="2"/>
      <c r="AJB3">
        <f t="shared" ref="AJB3:AJB18" si="156">AJF3 - AJF2</f>
        <v>0</v>
      </c>
      <c r="AJE3">
        <v>9.74888014793396</v>
      </c>
      <c r="AJF3">
        <v>0</v>
      </c>
      <c r="AJG3" s="5"/>
      <c r="AJH3">
        <f t="shared" ref="AJH3:AJH17" si="157">AJL3 - AJL2</f>
        <v>28</v>
      </c>
      <c r="AJI3" t="s">
        <v>146</v>
      </c>
      <c r="AJK3">
        <v>4.3402454853057861</v>
      </c>
      <c r="AJL3">
        <v>28</v>
      </c>
      <c r="AJM3" s="2"/>
      <c r="AJN3">
        <f t="shared" ref="AJN3:AJN14" si="158">AJR3 - AJR2</f>
        <v>72</v>
      </c>
      <c r="AJO3" t="s">
        <v>147</v>
      </c>
      <c r="AJQ3">
        <v>19.373490810394291</v>
      </c>
      <c r="AJR3">
        <v>72</v>
      </c>
      <c r="AJS3" s="5"/>
      <c r="AJT3">
        <f t="shared" ref="AJT3:AJT14" si="159">AJX3 - AJX2</f>
        <v>100</v>
      </c>
      <c r="AJU3" t="s">
        <v>148</v>
      </c>
      <c r="AJW3">
        <v>24.561078786849979</v>
      </c>
      <c r="AJX3">
        <v>100</v>
      </c>
      <c r="AJY3" s="2"/>
      <c r="AJZ3">
        <f t="shared" ref="AJZ3:AJZ15" si="160">AKD3 - AKD2</f>
        <v>10</v>
      </c>
      <c r="AKA3" t="s">
        <v>149</v>
      </c>
      <c r="AKC3">
        <v>9.7019538879394531</v>
      </c>
      <c r="AKD3">
        <v>10</v>
      </c>
      <c r="AKE3" s="5"/>
      <c r="AKF3">
        <f t="shared" ref="AKF3:AKF14" si="161">AKJ3 - AKJ2</f>
        <v>27</v>
      </c>
      <c r="AKG3" t="s">
        <v>150</v>
      </c>
      <c r="AKI3">
        <v>6.899416446685791</v>
      </c>
      <c r="AKJ3">
        <v>27</v>
      </c>
      <c r="AKK3" s="2"/>
      <c r="AKL3">
        <f t="shared" ref="AKL3:AKL14" si="162">AKP3 - AKP2</f>
        <v>11</v>
      </c>
      <c r="AKM3" t="s">
        <v>151</v>
      </c>
      <c r="AKO3">
        <v>10.26805710792542</v>
      </c>
      <c r="AKP3">
        <v>11</v>
      </c>
      <c r="AKQ3" s="5"/>
      <c r="AKR3">
        <f t="shared" ref="AKR3:AKR14" si="163">AKV3 - AKV2</f>
        <v>28</v>
      </c>
      <c r="AKS3" t="s">
        <v>152</v>
      </c>
      <c r="AKU3">
        <v>13.38237833976746</v>
      </c>
      <c r="AKV3">
        <v>28</v>
      </c>
      <c r="AKW3" s="2"/>
      <c r="AKX3">
        <f t="shared" ref="AKX3:AKX19" si="164">ALB3 - ALB2</f>
        <v>7</v>
      </c>
      <c r="AKY3" t="s">
        <v>153</v>
      </c>
      <c r="ALA3">
        <v>10.369502305984501</v>
      </c>
      <c r="ALB3">
        <v>7</v>
      </c>
      <c r="ALC3" s="5"/>
      <c r="ALD3">
        <f t="shared" ref="ALD3:ALD19" si="165">ALH3 - ALH2</f>
        <v>37</v>
      </c>
      <c r="ALE3" t="s">
        <v>154</v>
      </c>
      <c r="ALG3">
        <v>8.1942102909088135</v>
      </c>
      <c r="ALH3">
        <v>37</v>
      </c>
      <c r="ALI3" s="2"/>
      <c r="ALJ3">
        <f t="shared" ref="ALJ3:ALJ17" si="166">ALN3 - ALN2</f>
        <v>0</v>
      </c>
      <c r="ALM3">
        <v>10.31083607673645</v>
      </c>
      <c r="ALN3">
        <v>0</v>
      </c>
      <c r="ALO3" s="5"/>
      <c r="ALP3">
        <f t="shared" ref="ALP3:ALP16" si="167">ALT3 - ALT2</f>
        <v>10</v>
      </c>
      <c r="ALQ3" t="s">
        <v>155</v>
      </c>
      <c r="ALS3">
        <v>1.3554661273956301</v>
      </c>
      <c r="ALT3">
        <v>10</v>
      </c>
      <c r="ALU3" s="2"/>
      <c r="ALV3">
        <f t="shared" ref="ALV3:ALV21" si="168">ALZ3 - ALZ2</f>
        <v>13</v>
      </c>
      <c r="ALW3" t="s">
        <v>156</v>
      </c>
      <c r="ALY3">
        <v>9.4757423400878906</v>
      </c>
      <c r="ALZ3">
        <v>13</v>
      </c>
      <c r="AMA3" s="5"/>
      <c r="AMB3">
        <f t="shared" ref="AMB3:AMB20" si="169">AMF3 - AMF2</f>
        <v>26</v>
      </c>
      <c r="AMC3" t="s">
        <v>157</v>
      </c>
      <c r="AME3">
        <v>9.3412821292877197</v>
      </c>
      <c r="AMF3">
        <v>26</v>
      </c>
      <c r="AMG3" s="2"/>
      <c r="AMH3">
        <f t="shared" ref="AMH3:AMH16" si="170">AML3 - AML2</f>
        <v>0</v>
      </c>
      <c r="AMK3">
        <v>15.737762212753299</v>
      </c>
      <c r="AML3">
        <v>0</v>
      </c>
      <c r="AMM3" s="5"/>
      <c r="AMN3">
        <f t="shared" ref="AMN3:AMN16" si="171">AMR3 - AMR2</f>
        <v>70</v>
      </c>
      <c r="AMO3" t="s">
        <v>158</v>
      </c>
      <c r="AMQ3">
        <v>18.950426816940311</v>
      </c>
      <c r="AMR3">
        <v>70</v>
      </c>
      <c r="AMS3" s="2"/>
      <c r="AMT3">
        <f t="shared" ref="AMT3:AMT16" si="172">AMX3 - AMX2</f>
        <v>0</v>
      </c>
      <c r="AMW3">
        <v>53.678927183151252</v>
      </c>
      <c r="AMX3">
        <v>0</v>
      </c>
      <c r="AMY3" s="5"/>
      <c r="AMZ3">
        <f t="shared" ref="AMZ3:AMZ15" si="173">AND3 - AND2</f>
        <v>26</v>
      </c>
      <c r="ANA3" t="s">
        <v>159</v>
      </c>
      <c r="ANC3">
        <v>6.6631650924682617</v>
      </c>
      <c r="AND3">
        <v>26</v>
      </c>
      <c r="ANE3" s="2"/>
      <c r="ANF3">
        <f t="shared" ref="ANF3:ANF16" si="174">ANJ3 - ANJ2</f>
        <v>0</v>
      </c>
      <c r="ANI3">
        <v>10.26552844047546</v>
      </c>
      <c r="ANJ3">
        <v>0</v>
      </c>
      <c r="ANK3" s="5"/>
      <c r="ANL3">
        <f t="shared" ref="ANL3:ANL16" si="175">ANP3 - ANP2</f>
        <v>22</v>
      </c>
      <c r="ANM3" t="s">
        <v>160</v>
      </c>
      <c r="ANO3">
        <v>3.2760369777679439</v>
      </c>
      <c r="ANP3">
        <v>22</v>
      </c>
      <c r="ANQ3" s="2"/>
      <c r="ANR3">
        <f t="shared" ref="ANR3:ANR17" si="176">ANV3 - ANV2</f>
        <v>0</v>
      </c>
      <c r="ANU3">
        <v>7.7233936786651611</v>
      </c>
      <c r="ANV3">
        <v>0</v>
      </c>
      <c r="ANW3" s="5"/>
      <c r="ANX3">
        <f t="shared" ref="ANX3:ANX16" si="177">AOB3 - AOB2</f>
        <v>28</v>
      </c>
      <c r="ANY3" t="s">
        <v>161</v>
      </c>
      <c r="AOA3">
        <v>6.9520158767700204</v>
      </c>
      <c r="AOB3">
        <v>28</v>
      </c>
      <c r="AOC3" s="2"/>
      <c r="AOD3">
        <f t="shared" ref="AOD3:AOD15" si="178">AOH3 - AOH2</f>
        <v>11</v>
      </c>
      <c r="AOE3" t="s">
        <v>162</v>
      </c>
      <c r="AOG3">
        <v>9.4213714599609375</v>
      </c>
      <c r="AOH3">
        <v>11</v>
      </c>
      <c r="AOI3" s="5"/>
      <c r="AOJ3">
        <f t="shared" ref="AOJ3:AOJ15" si="179">AON3 - AON2</f>
        <v>26</v>
      </c>
      <c r="AOK3" t="s">
        <v>163</v>
      </c>
      <c r="AOM3">
        <v>9.8875124454498291</v>
      </c>
      <c r="AON3">
        <v>26</v>
      </c>
      <c r="AOO3" s="2"/>
      <c r="AOP3">
        <f t="shared" ref="AOP3:AOP15" si="180">AOT3 - AOT2</f>
        <v>66</v>
      </c>
      <c r="AOQ3" t="s">
        <v>164</v>
      </c>
      <c r="AOS3">
        <v>14.95861196517944</v>
      </c>
      <c r="AOT3">
        <v>66</v>
      </c>
      <c r="AOU3" s="5"/>
      <c r="AOV3">
        <f t="shared" ref="AOV3:AOV14" si="181">AOZ3 - AOZ2</f>
        <v>23</v>
      </c>
      <c r="AOW3" t="s">
        <v>165</v>
      </c>
      <c r="AOY3">
        <v>2.21686863899231</v>
      </c>
      <c r="AOZ3">
        <v>23</v>
      </c>
      <c r="APA3" s="2"/>
      <c r="APB3">
        <f t="shared" ref="APB3:APB16" si="182">APF3 - APF2</f>
        <v>0</v>
      </c>
      <c r="APE3">
        <v>49.022484540939331</v>
      </c>
      <c r="APF3">
        <v>0</v>
      </c>
      <c r="APG3" s="5"/>
      <c r="APH3">
        <f t="shared" ref="APH3:APH16" si="183">APL3 - APL2</f>
        <v>28</v>
      </c>
      <c r="API3" t="s">
        <v>166</v>
      </c>
      <c r="APK3">
        <v>3.464363574981689</v>
      </c>
      <c r="APL3">
        <v>28</v>
      </c>
      <c r="APM3" s="2"/>
      <c r="APN3">
        <f t="shared" ref="APN3:APN16" si="184">APR3 - APR2</f>
        <v>0</v>
      </c>
      <c r="APQ3">
        <v>11.820128202438349</v>
      </c>
      <c r="APR3">
        <v>0</v>
      </c>
      <c r="APS3" s="5"/>
      <c r="APT3">
        <f t="shared" ref="APT3:APT16" si="185">APX3 - APX2</f>
        <v>20</v>
      </c>
      <c r="APU3" t="s">
        <v>167</v>
      </c>
      <c r="APW3">
        <v>7.5523736476898193</v>
      </c>
      <c r="APX3">
        <v>20</v>
      </c>
      <c r="APY3" s="2"/>
      <c r="APZ3">
        <f t="shared" ref="APZ3:APZ14" si="186">AQD3 - AQD2</f>
        <v>0</v>
      </c>
      <c r="AQC3">
        <v>11.89432859420776</v>
      </c>
      <c r="AQD3">
        <v>0</v>
      </c>
      <c r="AQE3" s="5"/>
      <c r="AQF3">
        <f t="shared" ref="AQF3:AQF13" si="187">AQJ3 - AQJ2</f>
        <v>10</v>
      </c>
      <c r="AQG3" t="s">
        <v>168</v>
      </c>
      <c r="AQI3">
        <v>2.680392742156982</v>
      </c>
      <c r="AQJ3">
        <v>10</v>
      </c>
      <c r="AQK3" s="2"/>
      <c r="AQL3">
        <f t="shared" ref="AQL3:AQL14" si="188">AQP3 - AQP2</f>
        <v>9</v>
      </c>
      <c r="AQM3" t="s">
        <v>129</v>
      </c>
      <c r="AQO3">
        <v>10.059738636016849</v>
      </c>
      <c r="AQP3">
        <v>9</v>
      </c>
      <c r="AQQ3" s="5"/>
      <c r="AQR3">
        <f t="shared" ref="AQR3:AQR14" si="189">AQV3 - AQV2</f>
        <v>46</v>
      </c>
      <c r="AQS3" t="s">
        <v>169</v>
      </c>
      <c r="AQU3">
        <v>6.4454998970031738</v>
      </c>
      <c r="AQV3">
        <v>46</v>
      </c>
      <c r="AQW3" s="2"/>
      <c r="AQX3">
        <f t="shared" ref="AQX3:AQX14" si="190">ARB3 - ARB2</f>
        <v>13</v>
      </c>
      <c r="AQY3" t="s">
        <v>170</v>
      </c>
      <c r="ARA3">
        <v>59.103275775909417</v>
      </c>
      <c r="ARB3">
        <v>13</v>
      </c>
      <c r="ARC3" s="5"/>
      <c r="ARD3">
        <f t="shared" ref="ARD3:ARD14" si="191">ARH3 - ARH2</f>
        <v>75</v>
      </c>
      <c r="ARE3" t="s">
        <v>171</v>
      </c>
      <c r="ARG3">
        <v>59.466110229492188</v>
      </c>
      <c r="ARH3">
        <v>75</v>
      </c>
      <c r="ARI3" s="2"/>
      <c r="ARJ3">
        <f t="shared" ref="ARJ3:ARJ17" si="192">ARN3 - ARN2</f>
        <v>7</v>
      </c>
      <c r="ARK3" t="s">
        <v>172</v>
      </c>
      <c r="ARM3">
        <v>13.21969842910767</v>
      </c>
      <c r="ARN3">
        <v>7</v>
      </c>
      <c r="ARO3" s="5"/>
      <c r="ARP3">
        <f t="shared" ref="ARP3:ARP16" si="193">ART3 - ART2</f>
        <v>32</v>
      </c>
      <c r="ARQ3" t="s">
        <v>173</v>
      </c>
      <c r="ARS3">
        <v>7.2444620132446289</v>
      </c>
      <c r="ART3">
        <v>32</v>
      </c>
      <c r="ARU3" s="2"/>
      <c r="ARV3">
        <f t="shared" ref="ARV3:ARV15" si="194">ARZ3 - ARZ2</f>
        <v>66</v>
      </c>
      <c r="ARW3" t="s">
        <v>174</v>
      </c>
      <c r="ARY3">
        <v>10.79560375213623</v>
      </c>
      <c r="ARZ3">
        <v>66</v>
      </c>
      <c r="ASA3" s="5"/>
      <c r="ASB3">
        <f t="shared" ref="ASB3:ASB15" si="195">ASF3 - ASF2</f>
        <v>34</v>
      </c>
      <c r="ASC3" t="s">
        <v>175</v>
      </c>
      <c r="ASE3">
        <v>6.2341432571411133</v>
      </c>
      <c r="ASF3">
        <v>34</v>
      </c>
      <c r="ASG3" s="2"/>
      <c r="ASH3">
        <f t="shared" ref="ASH3:ASH18" si="196">ASL3 - ASL2</f>
        <v>0</v>
      </c>
      <c r="ASK3">
        <v>19.857238292694088</v>
      </c>
      <c r="ASL3">
        <v>0</v>
      </c>
      <c r="ASM3" s="5"/>
      <c r="ASN3">
        <f t="shared" ref="ASN3:ASN17" si="197">ASR3 - ASR2</f>
        <v>20</v>
      </c>
      <c r="ASO3" t="s">
        <v>176</v>
      </c>
      <c r="ASQ3">
        <v>2.3304557800292969</v>
      </c>
      <c r="ASR3">
        <v>20</v>
      </c>
      <c r="ASS3" s="2"/>
      <c r="AST3">
        <f t="shared" ref="AST3:AST17" si="198">ASX3 - ASX2</f>
        <v>8</v>
      </c>
      <c r="ASU3" t="s">
        <v>177</v>
      </c>
      <c r="ASW3">
        <v>11.79004788398743</v>
      </c>
      <c r="ASX3">
        <v>8</v>
      </c>
      <c r="ASY3" s="5"/>
      <c r="ASZ3">
        <f t="shared" ref="ASZ3:ASZ17" si="199">ATD3 - ATD2</f>
        <v>23</v>
      </c>
      <c r="ATA3" t="s">
        <v>178</v>
      </c>
      <c r="ATC3">
        <v>1.893051862716675</v>
      </c>
      <c r="ATD3">
        <v>23</v>
      </c>
      <c r="ATE3" s="2"/>
      <c r="ATF3">
        <f t="shared" ref="ATF3:ATF15" si="200">ATJ3 - ATJ2</f>
        <v>9</v>
      </c>
      <c r="ATG3" t="s">
        <v>179</v>
      </c>
      <c r="ATI3">
        <v>12.747278451919559</v>
      </c>
      <c r="ATJ3">
        <v>9</v>
      </c>
      <c r="ATK3" s="5"/>
      <c r="ATL3">
        <f t="shared" ref="ATL3:ATL14" si="201">ATP3 - ATP2</f>
        <v>26</v>
      </c>
      <c r="ATM3" t="s">
        <v>180</v>
      </c>
      <c r="ATO3">
        <v>8.7477765083312988</v>
      </c>
      <c r="ATP3">
        <v>26</v>
      </c>
      <c r="ATQ3" s="2"/>
      <c r="ATR3">
        <f t="shared" ref="ATR3:ATR14" si="202">ATV3 - ATV2</f>
        <v>14</v>
      </c>
      <c r="ATS3" t="s">
        <v>181</v>
      </c>
      <c r="ATU3">
        <v>10.0567729473114</v>
      </c>
      <c r="ATV3">
        <v>14</v>
      </c>
      <c r="ATW3" s="5"/>
      <c r="ATX3">
        <f t="shared" ref="ATX3:ATX14" si="203">AUB3 - AUB2</f>
        <v>112</v>
      </c>
      <c r="ATY3" t="s">
        <v>182</v>
      </c>
      <c r="AUA3">
        <v>227.976927280426</v>
      </c>
      <c r="AUB3">
        <v>112</v>
      </c>
      <c r="AUC3" s="2"/>
    </row>
    <row r="4" spans="2:1225" x14ac:dyDescent="0.25">
      <c r="B4">
        <f t="shared" si="0"/>
        <v>24</v>
      </c>
      <c r="C4" t="s">
        <v>183</v>
      </c>
      <c r="D4" t="s">
        <v>184</v>
      </c>
      <c r="E4">
        <v>13.829003572463989</v>
      </c>
      <c r="F4">
        <v>52</v>
      </c>
      <c r="G4" s="1"/>
      <c r="H4">
        <f t="shared" si="1"/>
        <v>33</v>
      </c>
      <c r="I4" t="s">
        <v>185</v>
      </c>
      <c r="J4" t="s">
        <v>186</v>
      </c>
      <c r="K4">
        <v>20.36154222488403</v>
      </c>
      <c r="L4">
        <v>193</v>
      </c>
      <c r="M4" s="2"/>
      <c r="N4">
        <f t="shared" si="2"/>
        <v>30</v>
      </c>
      <c r="O4" t="s">
        <v>187</v>
      </c>
      <c r="P4" t="s">
        <v>188</v>
      </c>
      <c r="Q4">
        <v>8.827221155166626</v>
      </c>
      <c r="R4">
        <v>42</v>
      </c>
      <c r="S4" s="1"/>
      <c r="T4">
        <f t="shared" si="3"/>
        <v>25</v>
      </c>
      <c r="U4" t="s">
        <v>189</v>
      </c>
      <c r="V4" t="s">
        <v>190</v>
      </c>
      <c r="W4">
        <v>16.901923894882199</v>
      </c>
      <c r="X4">
        <v>44</v>
      </c>
      <c r="Y4" s="2"/>
      <c r="Z4">
        <f t="shared" si="4"/>
        <v>17</v>
      </c>
      <c r="AA4" t="s">
        <v>117</v>
      </c>
      <c r="AB4" t="s">
        <v>191</v>
      </c>
      <c r="AC4">
        <v>5.769808292388916</v>
      </c>
      <c r="AD4">
        <v>27</v>
      </c>
      <c r="AE4" s="1"/>
      <c r="AF4">
        <f t="shared" si="5"/>
        <v>27</v>
      </c>
      <c r="AG4" t="s">
        <v>192</v>
      </c>
      <c r="AH4" t="s">
        <v>193</v>
      </c>
      <c r="AI4">
        <v>18.974267244338989</v>
      </c>
      <c r="AJ4">
        <v>57</v>
      </c>
      <c r="AK4" s="2"/>
      <c r="AL4">
        <f t="shared" si="6"/>
        <v>33</v>
      </c>
      <c r="AM4" t="s">
        <v>194</v>
      </c>
      <c r="AN4" t="s">
        <v>195</v>
      </c>
      <c r="AO4">
        <v>12.965424299240111</v>
      </c>
      <c r="AP4">
        <v>57</v>
      </c>
      <c r="AQ4" s="1"/>
      <c r="AR4">
        <f t="shared" si="7"/>
        <v>64</v>
      </c>
      <c r="AS4" t="s">
        <v>196</v>
      </c>
      <c r="AT4" t="s">
        <v>197</v>
      </c>
      <c r="AU4">
        <v>105.3157918453217</v>
      </c>
      <c r="AV4">
        <v>104</v>
      </c>
      <c r="AW4" s="2"/>
      <c r="AX4">
        <f t="shared" si="8"/>
        <v>52</v>
      </c>
      <c r="AY4" t="s">
        <v>198</v>
      </c>
      <c r="AZ4" t="s">
        <v>199</v>
      </c>
      <c r="BA4">
        <v>16.70180249214172</v>
      </c>
      <c r="BB4">
        <v>62</v>
      </c>
      <c r="BC4" s="1"/>
      <c r="BD4">
        <f t="shared" si="9"/>
        <v>26</v>
      </c>
      <c r="BE4" t="s">
        <v>200</v>
      </c>
      <c r="BF4" t="s">
        <v>201</v>
      </c>
      <c r="BG4">
        <v>9.8104395866394043</v>
      </c>
      <c r="BH4">
        <v>51</v>
      </c>
      <c r="BI4" s="2"/>
      <c r="BJ4">
        <f t="shared" si="10"/>
        <v>23</v>
      </c>
      <c r="BK4" t="s">
        <v>202</v>
      </c>
      <c r="BL4" t="s">
        <v>203</v>
      </c>
      <c r="BM4">
        <v>9.5252923965454102</v>
      </c>
      <c r="BN4">
        <v>32</v>
      </c>
      <c r="BO4" s="1"/>
      <c r="BP4">
        <f t="shared" si="11"/>
        <v>27</v>
      </c>
      <c r="BQ4" t="s">
        <v>204</v>
      </c>
      <c r="BR4" t="s">
        <v>205</v>
      </c>
      <c r="BS4">
        <v>18.119381427764889</v>
      </c>
      <c r="BT4">
        <v>47</v>
      </c>
      <c r="BU4" s="2"/>
      <c r="BV4">
        <f t="shared" si="12"/>
        <v>76</v>
      </c>
      <c r="BW4" t="s">
        <v>206</v>
      </c>
      <c r="BX4" t="s">
        <v>207</v>
      </c>
      <c r="BY4">
        <v>16.718922853469849</v>
      </c>
      <c r="BZ4">
        <v>138</v>
      </c>
      <c r="CA4" s="1"/>
      <c r="CB4">
        <f t="shared" si="13"/>
        <v>88</v>
      </c>
      <c r="CC4" t="s">
        <v>208</v>
      </c>
      <c r="CD4" t="s">
        <v>209</v>
      </c>
      <c r="CE4">
        <v>21.180595636367801</v>
      </c>
      <c r="CF4">
        <v>116</v>
      </c>
      <c r="CG4" s="2"/>
      <c r="CH4">
        <f t="shared" si="14"/>
        <v>45</v>
      </c>
      <c r="CI4" t="s">
        <v>210</v>
      </c>
      <c r="CJ4" t="s">
        <v>211</v>
      </c>
      <c r="CK4">
        <v>20.378001689910889</v>
      </c>
      <c r="CL4">
        <v>67</v>
      </c>
      <c r="CM4" s="1"/>
      <c r="CN4">
        <f t="shared" si="15"/>
        <v>84</v>
      </c>
      <c r="CO4" t="s">
        <v>212</v>
      </c>
      <c r="CP4" t="s">
        <v>213</v>
      </c>
      <c r="CQ4">
        <v>27.725871801376339</v>
      </c>
      <c r="CR4">
        <v>164</v>
      </c>
      <c r="CS4" s="2"/>
      <c r="CT4">
        <f t="shared" si="16"/>
        <v>34</v>
      </c>
      <c r="CU4" t="s">
        <v>214</v>
      </c>
      <c r="CV4" t="s">
        <v>215</v>
      </c>
      <c r="CW4">
        <v>21.465819120407101</v>
      </c>
      <c r="CX4">
        <v>58</v>
      </c>
      <c r="CY4" s="1"/>
      <c r="CZ4">
        <f t="shared" si="17"/>
        <v>30</v>
      </c>
      <c r="DA4" t="s">
        <v>216</v>
      </c>
      <c r="DB4" t="s">
        <v>217</v>
      </c>
      <c r="DC4">
        <v>21.01053428649902</v>
      </c>
      <c r="DD4">
        <v>154</v>
      </c>
      <c r="DE4" s="2"/>
      <c r="DF4">
        <f t="shared" si="18"/>
        <v>32</v>
      </c>
      <c r="DG4" t="s">
        <v>218</v>
      </c>
      <c r="DH4" t="s">
        <v>219</v>
      </c>
      <c r="DI4">
        <v>11.85456824302673</v>
      </c>
      <c r="DJ4">
        <v>46</v>
      </c>
      <c r="DK4" s="1"/>
      <c r="DL4">
        <f t="shared" si="19"/>
        <v>88</v>
      </c>
      <c r="DM4" t="s">
        <v>220</v>
      </c>
      <c r="DN4" t="s">
        <v>221</v>
      </c>
      <c r="DO4">
        <v>231.17032122612</v>
      </c>
      <c r="DP4">
        <v>103</v>
      </c>
      <c r="DQ4" s="2"/>
      <c r="DR4">
        <f t="shared" si="20"/>
        <v>33</v>
      </c>
      <c r="DS4" t="s">
        <v>222</v>
      </c>
      <c r="DT4" t="s">
        <v>223</v>
      </c>
      <c r="DU4">
        <v>10.831196546554571</v>
      </c>
      <c r="DV4">
        <v>57</v>
      </c>
      <c r="DW4" s="1"/>
      <c r="DX4">
        <f t="shared" si="21"/>
        <v>36</v>
      </c>
      <c r="DY4" t="s">
        <v>224</v>
      </c>
      <c r="DZ4" t="s">
        <v>225</v>
      </c>
      <c r="EA4">
        <v>13.858402967452999</v>
      </c>
      <c r="EB4">
        <v>84</v>
      </c>
      <c r="EC4" s="2"/>
      <c r="ED4">
        <f t="shared" si="22"/>
        <v>42</v>
      </c>
      <c r="EE4" t="s">
        <v>226</v>
      </c>
      <c r="EF4" t="s">
        <v>227</v>
      </c>
      <c r="EG4">
        <v>10.25899600982666</v>
      </c>
      <c r="EH4">
        <v>60</v>
      </c>
      <c r="EI4" s="1"/>
      <c r="EJ4">
        <f t="shared" si="23"/>
        <v>36</v>
      </c>
      <c r="EK4" t="s">
        <v>228</v>
      </c>
      <c r="EL4" t="s">
        <v>229</v>
      </c>
      <c r="EM4">
        <v>31.971604585647579</v>
      </c>
      <c r="EN4">
        <v>74</v>
      </c>
      <c r="EO4" s="2"/>
      <c r="EP4">
        <f t="shared" si="24"/>
        <v>38</v>
      </c>
      <c r="EQ4" t="s">
        <v>230</v>
      </c>
      <c r="ER4" t="s">
        <v>231</v>
      </c>
      <c r="ES4">
        <v>8.5197796821594238</v>
      </c>
      <c r="ET4">
        <v>52</v>
      </c>
      <c r="EU4" s="1"/>
      <c r="EV4">
        <f t="shared" si="25"/>
        <v>26</v>
      </c>
      <c r="EW4" t="s">
        <v>232</v>
      </c>
      <c r="EX4" t="s">
        <v>233</v>
      </c>
      <c r="EY4">
        <v>140.12338328361511</v>
      </c>
      <c r="EZ4">
        <v>37</v>
      </c>
      <c r="FA4" s="2"/>
      <c r="FB4">
        <f t="shared" si="26"/>
        <v>62</v>
      </c>
      <c r="FC4" t="s">
        <v>234</v>
      </c>
      <c r="FD4" t="s">
        <v>235</v>
      </c>
      <c r="FE4">
        <v>125.7929630279541</v>
      </c>
      <c r="FF4">
        <v>90</v>
      </c>
      <c r="FG4" s="1"/>
      <c r="FH4">
        <f t="shared" si="27"/>
        <v>64</v>
      </c>
      <c r="FI4" t="s">
        <v>236</v>
      </c>
      <c r="FJ4" t="s">
        <v>237</v>
      </c>
      <c r="FK4">
        <v>25.33403849601746</v>
      </c>
      <c r="FL4">
        <v>78</v>
      </c>
      <c r="FM4" s="2"/>
      <c r="FN4">
        <f t="shared" si="28"/>
        <v>86</v>
      </c>
      <c r="FO4" t="s">
        <v>238</v>
      </c>
      <c r="FP4" t="s">
        <v>239</v>
      </c>
      <c r="FQ4">
        <v>86.865345001220703</v>
      </c>
      <c r="FR4">
        <v>150</v>
      </c>
      <c r="FS4" s="1"/>
      <c r="FT4">
        <f t="shared" si="29"/>
        <v>32</v>
      </c>
      <c r="FU4" t="s">
        <v>240</v>
      </c>
      <c r="FV4" t="s">
        <v>241</v>
      </c>
      <c r="FW4">
        <v>35.671181440353386</v>
      </c>
      <c r="FX4">
        <v>61</v>
      </c>
      <c r="FY4" s="2"/>
      <c r="FZ4">
        <f t="shared" si="30"/>
        <v>88</v>
      </c>
      <c r="GA4" t="s">
        <v>242</v>
      </c>
      <c r="GB4" t="s">
        <v>243</v>
      </c>
      <c r="GC4">
        <v>130.8137845993042</v>
      </c>
      <c r="GD4">
        <v>112</v>
      </c>
      <c r="GE4" s="1"/>
      <c r="GF4">
        <f t="shared" si="31"/>
        <v>99</v>
      </c>
      <c r="GG4" t="s">
        <v>244</v>
      </c>
      <c r="GH4" t="s">
        <v>245</v>
      </c>
      <c r="GI4">
        <v>25.73357009887695</v>
      </c>
      <c r="GJ4">
        <v>187</v>
      </c>
      <c r="GK4" s="2"/>
      <c r="GL4">
        <f t="shared" si="32"/>
        <v>28</v>
      </c>
      <c r="GM4" t="s">
        <v>246</v>
      </c>
      <c r="GN4" t="s">
        <v>247</v>
      </c>
      <c r="GO4">
        <v>11.830792188644409</v>
      </c>
      <c r="GP4">
        <v>52</v>
      </c>
      <c r="GQ4" s="1"/>
      <c r="GR4">
        <f t="shared" si="33"/>
        <v>42</v>
      </c>
      <c r="GS4" t="s">
        <v>248</v>
      </c>
      <c r="GT4" t="s">
        <v>249</v>
      </c>
      <c r="GU4">
        <v>16.25941276550293</v>
      </c>
      <c r="GV4">
        <v>65</v>
      </c>
      <c r="GW4" s="2"/>
      <c r="GX4">
        <f t="shared" si="34"/>
        <v>21</v>
      </c>
      <c r="GY4" t="s">
        <v>250</v>
      </c>
      <c r="GZ4" t="s">
        <v>251</v>
      </c>
      <c r="HA4">
        <v>4.7928371429443359</v>
      </c>
      <c r="HB4">
        <v>31</v>
      </c>
      <c r="HC4" s="1"/>
      <c r="HD4">
        <f t="shared" si="35"/>
        <v>44</v>
      </c>
      <c r="HE4" t="s">
        <v>252</v>
      </c>
      <c r="HF4" t="s">
        <v>253</v>
      </c>
      <c r="HG4">
        <v>17.04694223403931</v>
      </c>
      <c r="HH4">
        <v>78</v>
      </c>
      <c r="HI4" s="2"/>
      <c r="HJ4">
        <f t="shared" si="36"/>
        <v>33</v>
      </c>
      <c r="HK4" t="s">
        <v>254</v>
      </c>
      <c r="HL4" t="s">
        <v>255</v>
      </c>
      <c r="HM4">
        <v>4.839923620223999</v>
      </c>
      <c r="HN4">
        <v>39</v>
      </c>
      <c r="HO4" s="1"/>
      <c r="HP4">
        <f t="shared" si="37"/>
        <v>40</v>
      </c>
      <c r="HQ4" t="s">
        <v>256</v>
      </c>
      <c r="HR4" t="s">
        <v>257</v>
      </c>
      <c r="HS4">
        <v>39.891721725463867</v>
      </c>
      <c r="HT4">
        <v>104</v>
      </c>
      <c r="HU4" s="2"/>
      <c r="HV4">
        <f t="shared" si="38"/>
        <v>32</v>
      </c>
      <c r="HW4" t="s">
        <v>258</v>
      </c>
      <c r="HX4" t="s">
        <v>259</v>
      </c>
      <c r="HY4">
        <v>5.8022117614746094</v>
      </c>
      <c r="HZ4">
        <v>58</v>
      </c>
      <c r="IA4" s="1"/>
      <c r="IB4">
        <f t="shared" si="39"/>
        <v>42</v>
      </c>
      <c r="IC4" t="s">
        <v>260</v>
      </c>
      <c r="ID4" t="s">
        <v>261</v>
      </c>
      <c r="IE4">
        <v>12.440969944000241</v>
      </c>
      <c r="IF4">
        <v>114</v>
      </c>
      <c r="IG4" s="2"/>
      <c r="IH4">
        <f t="shared" si="40"/>
        <v>36</v>
      </c>
      <c r="II4" t="s">
        <v>262</v>
      </c>
      <c r="IJ4" t="s">
        <v>263</v>
      </c>
      <c r="IK4">
        <v>10.37103533744812</v>
      </c>
      <c r="IL4">
        <v>58</v>
      </c>
      <c r="IM4" s="1"/>
      <c r="IN4">
        <f t="shared" si="41"/>
        <v>26</v>
      </c>
      <c r="IO4" t="s">
        <v>264</v>
      </c>
      <c r="IP4" t="s">
        <v>265</v>
      </c>
      <c r="IQ4">
        <v>28.10141134262085</v>
      </c>
      <c r="IR4">
        <v>168</v>
      </c>
      <c r="IS4" s="2"/>
      <c r="IT4">
        <f t="shared" si="42"/>
        <v>78</v>
      </c>
      <c r="IU4" t="s">
        <v>266</v>
      </c>
      <c r="IV4" t="s">
        <v>267</v>
      </c>
      <c r="IW4">
        <v>18.460972309112549</v>
      </c>
      <c r="IX4">
        <v>108</v>
      </c>
      <c r="IY4" s="1"/>
      <c r="IZ4">
        <f t="shared" si="43"/>
        <v>45</v>
      </c>
      <c r="JA4" t="s">
        <v>268</v>
      </c>
      <c r="JB4" t="s">
        <v>269</v>
      </c>
      <c r="JC4">
        <v>22.64730978012085</v>
      </c>
      <c r="JD4">
        <v>68</v>
      </c>
      <c r="JE4" s="2"/>
      <c r="JF4">
        <f t="shared" si="44"/>
        <v>31</v>
      </c>
      <c r="JG4" t="s">
        <v>270</v>
      </c>
      <c r="JH4" t="s">
        <v>271</v>
      </c>
      <c r="JI4">
        <v>14.42273163795471</v>
      </c>
      <c r="JJ4">
        <v>51</v>
      </c>
      <c r="JK4" s="1"/>
      <c r="JL4">
        <f t="shared" si="45"/>
        <v>42</v>
      </c>
      <c r="JM4" t="s">
        <v>272</v>
      </c>
      <c r="JN4" t="s">
        <v>273</v>
      </c>
      <c r="JO4">
        <v>13.78318762779236</v>
      </c>
      <c r="JP4">
        <v>66</v>
      </c>
      <c r="JQ4" s="2"/>
      <c r="JR4">
        <f t="shared" si="46"/>
        <v>16</v>
      </c>
      <c r="JS4" t="s">
        <v>274</v>
      </c>
      <c r="JT4" t="s">
        <v>275</v>
      </c>
      <c r="JU4">
        <v>2.5565018653869629</v>
      </c>
      <c r="JV4">
        <v>34</v>
      </c>
      <c r="JW4" s="1"/>
      <c r="JX4">
        <f t="shared" si="47"/>
        <v>31</v>
      </c>
      <c r="JY4" t="s">
        <v>276</v>
      </c>
      <c r="JZ4" t="s">
        <v>277</v>
      </c>
      <c r="KA4">
        <v>14.45871067047119</v>
      </c>
      <c r="KB4">
        <v>57</v>
      </c>
      <c r="KC4" s="2"/>
      <c r="KD4">
        <f t="shared" si="48"/>
        <v>30</v>
      </c>
      <c r="KE4" t="s">
        <v>278</v>
      </c>
      <c r="KF4" t="s">
        <v>279</v>
      </c>
      <c r="KG4">
        <v>7.1068644523620614</v>
      </c>
      <c r="KH4">
        <v>54</v>
      </c>
      <c r="KI4" s="1"/>
      <c r="KJ4">
        <f t="shared" si="49"/>
        <v>48</v>
      </c>
      <c r="KK4" t="s">
        <v>280</v>
      </c>
      <c r="KL4" t="s">
        <v>281</v>
      </c>
      <c r="KM4">
        <v>18.052752494812012</v>
      </c>
      <c r="KN4">
        <v>98</v>
      </c>
      <c r="KO4" s="2"/>
      <c r="KP4">
        <f t="shared" si="50"/>
        <v>27</v>
      </c>
      <c r="KQ4" t="s">
        <v>282</v>
      </c>
      <c r="KR4" t="s">
        <v>283</v>
      </c>
      <c r="KS4">
        <v>6.0085670948028556</v>
      </c>
      <c r="KT4">
        <v>87</v>
      </c>
      <c r="KU4" s="1"/>
      <c r="KV4">
        <f t="shared" si="51"/>
        <v>56</v>
      </c>
      <c r="KW4" t="s">
        <v>284</v>
      </c>
      <c r="KX4" t="s">
        <v>285</v>
      </c>
      <c r="KY4">
        <v>20.44498443603516</v>
      </c>
      <c r="KZ4">
        <v>79</v>
      </c>
      <c r="LA4" s="2"/>
      <c r="LB4">
        <f t="shared" si="52"/>
        <v>61</v>
      </c>
      <c r="LC4" t="s">
        <v>286</v>
      </c>
      <c r="LD4" t="s">
        <v>287</v>
      </c>
      <c r="LE4">
        <v>14.1899356842041</v>
      </c>
      <c r="LF4">
        <v>79</v>
      </c>
      <c r="LG4" s="1"/>
      <c r="LH4">
        <f t="shared" si="53"/>
        <v>78</v>
      </c>
      <c r="LI4" t="s">
        <v>288</v>
      </c>
      <c r="LJ4" t="s">
        <v>289</v>
      </c>
      <c r="LK4">
        <v>23.611361503601071</v>
      </c>
      <c r="LL4">
        <v>116</v>
      </c>
      <c r="LM4" s="2"/>
      <c r="LN4">
        <f t="shared" si="54"/>
        <v>28</v>
      </c>
      <c r="LO4" t="s">
        <v>290</v>
      </c>
      <c r="LP4" t="s">
        <v>291</v>
      </c>
      <c r="LQ4">
        <v>11.98916935920715</v>
      </c>
      <c r="LR4">
        <v>54</v>
      </c>
      <c r="LS4" s="1"/>
      <c r="LT4">
        <f t="shared" si="55"/>
        <v>36</v>
      </c>
      <c r="LU4" t="s">
        <v>292</v>
      </c>
      <c r="LV4" t="s">
        <v>293</v>
      </c>
      <c r="LW4">
        <v>52.178827047348022</v>
      </c>
      <c r="LX4">
        <v>55</v>
      </c>
      <c r="LY4" s="2"/>
      <c r="LZ4">
        <f t="shared" si="56"/>
        <v>26</v>
      </c>
      <c r="MA4" t="s">
        <v>294</v>
      </c>
      <c r="MB4" t="s">
        <v>295</v>
      </c>
      <c r="MC4">
        <v>7.2937221527099609</v>
      </c>
      <c r="MD4">
        <v>52</v>
      </c>
      <c r="ME4" s="1"/>
      <c r="MF4">
        <f t="shared" si="57"/>
        <v>32</v>
      </c>
      <c r="MG4" t="s">
        <v>296</v>
      </c>
      <c r="MH4" t="s">
        <v>297</v>
      </c>
      <c r="MI4">
        <v>21.43449234962463</v>
      </c>
      <c r="MJ4">
        <v>68</v>
      </c>
      <c r="MK4" s="2"/>
      <c r="ML4">
        <f t="shared" si="58"/>
        <v>56</v>
      </c>
      <c r="MM4" t="s">
        <v>298</v>
      </c>
      <c r="MN4" t="s">
        <v>299</v>
      </c>
      <c r="MO4">
        <v>27.166410446166989</v>
      </c>
      <c r="MP4">
        <v>76</v>
      </c>
      <c r="MQ4" s="1"/>
      <c r="MR4">
        <f t="shared" si="59"/>
        <v>33</v>
      </c>
      <c r="MS4" t="s">
        <v>300</v>
      </c>
      <c r="MT4" t="s">
        <v>301</v>
      </c>
      <c r="MU4">
        <v>28.261979579925541</v>
      </c>
      <c r="MV4">
        <v>67</v>
      </c>
      <c r="MW4" s="2"/>
      <c r="MX4">
        <f t="shared" si="60"/>
        <v>37</v>
      </c>
      <c r="MY4" t="s">
        <v>302</v>
      </c>
      <c r="MZ4" t="s">
        <v>303</v>
      </c>
      <c r="NA4">
        <v>8.3617050647735596</v>
      </c>
      <c r="NB4">
        <v>59</v>
      </c>
      <c r="NC4" s="1"/>
      <c r="ND4">
        <f t="shared" si="61"/>
        <v>26</v>
      </c>
      <c r="NE4" t="s">
        <v>304</v>
      </c>
      <c r="NF4" t="s">
        <v>305</v>
      </c>
      <c r="NG4">
        <v>15.33780145645142</v>
      </c>
      <c r="NH4">
        <v>52</v>
      </c>
      <c r="NI4" s="2"/>
      <c r="NJ4">
        <f t="shared" si="62"/>
        <v>25</v>
      </c>
      <c r="NK4" t="s">
        <v>306</v>
      </c>
      <c r="NL4" t="s">
        <v>307</v>
      </c>
      <c r="NM4">
        <v>4.5565166473388672</v>
      </c>
      <c r="NN4">
        <v>35</v>
      </c>
      <c r="NO4" s="1"/>
      <c r="NP4">
        <f t="shared" si="63"/>
        <v>66</v>
      </c>
      <c r="NQ4" t="s">
        <v>308</v>
      </c>
      <c r="NR4" t="s">
        <v>309</v>
      </c>
      <c r="NS4">
        <v>17.699086666107181</v>
      </c>
      <c r="NT4">
        <v>84</v>
      </c>
      <c r="NU4" s="2"/>
      <c r="NV4">
        <f t="shared" si="64"/>
        <v>60</v>
      </c>
      <c r="NW4" t="s">
        <v>310</v>
      </c>
      <c r="NX4" t="s">
        <v>311</v>
      </c>
      <c r="NY4">
        <v>23.013647556304932</v>
      </c>
      <c r="NZ4">
        <v>78</v>
      </c>
      <c r="OA4" s="1"/>
      <c r="OB4">
        <f t="shared" si="65"/>
        <v>28</v>
      </c>
      <c r="OC4" t="s">
        <v>312</v>
      </c>
      <c r="OD4" t="s">
        <v>313</v>
      </c>
      <c r="OE4">
        <v>21.290548801422119</v>
      </c>
      <c r="OF4">
        <v>52</v>
      </c>
      <c r="OG4" s="2"/>
      <c r="OH4">
        <f t="shared" si="66"/>
        <v>26</v>
      </c>
      <c r="OI4" t="s">
        <v>314</v>
      </c>
      <c r="OJ4" t="s">
        <v>315</v>
      </c>
      <c r="OK4">
        <v>8.6627099514007568</v>
      </c>
      <c r="OL4">
        <v>92</v>
      </c>
      <c r="OM4" s="1"/>
      <c r="ON4">
        <f t="shared" si="67"/>
        <v>31</v>
      </c>
      <c r="OO4" t="s">
        <v>316</v>
      </c>
      <c r="OP4" t="s">
        <v>317</v>
      </c>
      <c r="OQ4">
        <v>21.178691864013668</v>
      </c>
      <c r="OR4">
        <v>55</v>
      </c>
      <c r="OS4" s="2"/>
      <c r="OT4">
        <f t="shared" si="68"/>
        <v>37</v>
      </c>
      <c r="OU4" t="s">
        <v>318</v>
      </c>
      <c r="OV4" t="s">
        <v>319</v>
      </c>
      <c r="OW4">
        <v>8.7557427883148193</v>
      </c>
      <c r="OX4">
        <v>65</v>
      </c>
      <c r="OY4" s="1"/>
      <c r="OZ4">
        <f t="shared" si="69"/>
        <v>35</v>
      </c>
      <c r="PA4" t="s">
        <v>320</v>
      </c>
      <c r="PB4" t="s">
        <v>321</v>
      </c>
      <c r="PC4">
        <v>36.323445796966553</v>
      </c>
      <c r="PD4">
        <v>63</v>
      </c>
      <c r="PE4" s="2"/>
      <c r="PF4">
        <f t="shared" si="70"/>
        <v>33</v>
      </c>
      <c r="PG4" t="s">
        <v>322</v>
      </c>
      <c r="PH4" t="s">
        <v>323</v>
      </c>
      <c r="PI4">
        <v>4.9680461883544922</v>
      </c>
      <c r="PJ4">
        <v>55</v>
      </c>
      <c r="PK4" s="1"/>
      <c r="PL4">
        <f t="shared" si="71"/>
        <v>28</v>
      </c>
      <c r="PM4" t="s">
        <v>324</v>
      </c>
      <c r="PN4" t="s">
        <v>325</v>
      </c>
      <c r="PO4">
        <v>13.53511381149292</v>
      </c>
      <c r="PP4">
        <v>62</v>
      </c>
      <c r="PQ4" s="2"/>
      <c r="PR4">
        <f t="shared" si="72"/>
        <v>78</v>
      </c>
      <c r="PS4" t="s">
        <v>326</v>
      </c>
      <c r="PT4" t="s">
        <v>327</v>
      </c>
      <c r="PU4">
        <v>18.692214965820309</v>
      </c>
      <c r="PV4">
        <v>100</v>
      </c>
      <c r="PW4" s="1"/>
      <c r="PX4">
        <f t="shared" si="73"/>
        <v>78</v>
      </c>
      <c r="PY4" t="s">
        <v>328</v>
      </c>
      <c r="PZ4" t="s">
        <v>329</v>
      </c>
      <c r="QA4">
        <v>238.6304497718811</v>
      </c>
      <c r="QB4">
        <v>114</v>
      </c>
      <c r="QC4" s="2"/>
      <c r="QD4">
        <f t="shared" si="74"/>
        <v>57</v>
      </c>
      <c r="QE4" t="s">
        <v>330</v>
      </c>
      <c r="QF4" t="s">
        <v>331</v>
      </c>
      <c r="QG4">
        <v>39.315063953399658</v>
      </c>
      <c r="QH4">
        <v>85</v>
      </c>
      <c r="QI4" s="1"/>
      <c r="QJ4">
        <f t="shared" si="75"/>
        <v>28</v>
      </c>
      <c r="QK4" t="s">
        <v>332</v>
      </c>
      <c r="QL4" t="s">
        <v>333</v>
      </c>
      <c r="QM4">
        <v>14.63769102096558</v>
      </c>
      <c r="QN4">
        <v>76</v>
      </c>
      <c r="QO4" s="2"/>
      <c r="QP4">
        <f t="shared" si="76"/>
        <v>34</v>
      </c>
      <c r="QQ4" t="s">
        <v>334</v>
      </c>
      <c r="QR4" t="s">
        <v>335</v>
      </c>
      <c r="QS4">
        <v>5.4115087985992432</v>
      </c>
      <c r="QT4">
        <v>48</v>
      </c>
      <c r="QU4" s="1"/>
      <c r="QV4">
        <f t="shared" si="77"/>
        <v>74</v>
      </c>
      <c r="QW4" t="s">
        <v>336</v>
      </c>
      <c r="QX4" t="s">
        <v>337</v>
      </c>
      <c r="QY4">
        <v>15.772481918334959</v>
      </c>
      <c r="QZ4">
        <v>100</v>
      </c>
      <c r="RA4" s="2"/>
      <c r="RB4">
        <f t="shared" si="78"/>
        <v>48</v>
      </c>
      <c r="RC4" t="s">
        <v>338</v>
      </c>
      <c r="RD4" t="s">
        <v>339</v>
      </c>
      <c r="RE4">
        <v>14.04598164558411</v>
      </c>
      <c r="RF4">
        <v>70</v>
      </c>
      <c r="RG4" s="1"/>
      <c r="RH4">
        <f t="shared" si="79"/>
        <v>17</v>
      </c>
      <c r="RI4" t="s">
        <v>340</v>
      </c>
      <c r="RJ4" t="s">
        <v>341</v>
      </c>
      <c r="RK4">
        <v>33.335429906845093</v>
      </c>
      <c r="RL4">
        <v>43</v>
      </c>
      <c r="RM4" s="2"/>
      <c r="RN4">
        <f t="shared" si="80"/>
        <v>62</v>
      </c>
      <c r="RO4" t="s">
        <v>342</v>
      </c>
      <c r="RP4" t="s">
        <v>343</v>
      </c>
      <c r="RQ4">
        <v>21.309014558792111</v>
      </c>
      <c r="RR4">
        <v>88</v>
      </c>
      <c r="RS4" s="1"/>
      <c r="RT4">
        <f t="shared" si="81"/>
        <v>56</v>
      </c>
      <c r="RU4" t="s">
        <v>344</v>
      </c>
      <c r="RV4" t="s">
        <v>345</v>
      </c>
      <c r="RW4">
        <v>38.633499145507813</v>
      </c>
      <c r="RX4">
        <v>112</v>
      </c>
      <c r="RY4" s="2"/>
      <c r="RZ4">
        <f t="shared" si="82"/>
        <v>79</v>
      </c>
      <c r="SA4" t="s">
        <v>346</v>
      </c>
      <c r="SB4" t="s">
        <v>347</v>
      </c>
      <c r="SC4">
        <v>212.59848403930661</v>
      </c>
      <c r="SD4">
        <v>109</v>
      </c>
      <c r="SE4" s="1"/>
      <c r="SF4">
        <f t="shared" si="83"/>
        <v>21</v>
      </c>
      <c r="SG4" t="s">
        <v>348</v>
      </c>
      <c r="SH4" t="s">
        <v>349</v>
      </c>
      <c r="SI4">
        <v>19.965882539749149</v>
      </c>
      <c r="SJ4">
        <v>65</v>
      </c>
      <c r="SK4" s="2"/>
      <c r="SL4">
        <f t="shared" si="84"/>
        <v>30</v>
      </c>
      <c r="SM4" t="s">
        <v>350</v>
      </c>
      <c r="SN4" t="s">
        <v>351</v>
      </c>
      <c r="SO4">
        <v>60.990994691848748</v>
      </c>
      <c r="SP4">
        <v>48</v>
      </c>
      <c r="SQ4" s="1"/>
      <c r="SR4">
        <f t="shared" si="85"/>
        <v>62</v>
      </c>
      <c r="SS4" t="s">
        <v>352</v>
      </c>
      <c r="ST4" t="s">
        <v>353</v>
      </c>
      <c r="SU4">
        <v>36.56166410446167</v>
      </c>
      <c r="SV4">
        <v>96</v>
      </c>
      <c r="SW4" s="2"/>
      <c r="SX4">
        <f t="shared" si="86"/>
        <v>28</v>
      </c>
      <c r="SY4" t="s">
        <v>354</v>
      </c>
      <c r="SZ4" t="s">
        <v>355</v>
      </c>
      <c r="TA4">
        <v>5.9892184734344482</v>
      </c>
      <c r="TB4">
        <v>48</v>
      </c>
      <c r="TC4" s="1"/>
      <c r="TD4">
        <f t="shared" si="87"/>
        <v>27</v>
      </c>
      <c r="TE4" t="s">
        <v>356</v>
      </c>
      <c r="TF4" t="s">
        <v>357</v>
      </c>
      <c r="TG4">
        <v>11.96577739715576</v>
      </c>
      <c r="TH4">
        <v>50</v>
      </c>
      <c r="TI4" s="2"/>
      <c r="TJ4">
        <f t="shared" si="88"/>
        <v>67</v>
      </c>
      <c r="TK4" t="s">
        <v>358</v>
      </c>
      <c r="TL4" t="s">
        <v>359</v>
      </c>
      <c r="TM4">
        <v>101.27674865722661</v>
      </c>
      <c r="TN4">
        <v>137</v>
      </c>
      <c r="TO4" s="1"/>
      <c r="TP4">
        <f t="shared" si="89"/>
        <v>21</v>
      </c>
      <c r="TQ4" t="s">
        <v>360</v>
      </c>
      <c r="TR4" t="s">
        <v>361</v>
      </c>
      <c r="TS4">
        <v>12.794517278671259</v>
      </c>
      <c r="TT4">
        <v>32</v>
      </c>
      <c r="TU4" s="2"/>
      <c r="TV4">
        <f t="shared" si="90"/>
        <v>59</v>
      </c>
      <c r="TW4" t="s">
        <v>362</v>
      </c>
      <c r="TX4" t="s">
        <v>363</v>
      </c>
      <c r="TY4">
        <v>56.43707013130188</v>
      </c>
      <c r="TZ4">
        <v>87</v>
      </c>
      <c r="UA4" s="1"/>
      <c r="UB4">
        <f t="shared" si="91"/>
        <v>66</v>
      </c>
      <c r="UC4" t="s">
        <v>364</v>
      </c>
      <c r="UD4" t="s">
        <v>365</v>
      </c>
      <c r="UE4">
        <v>29.288540363311771</v>
      </c>
      <c r="UF4">
        <v>89</v>
      </c>
      <c r="UG4" s="2"/>
      <c r="UH4">
        <f t="shared" si="92"/>
        <v>20</v>
      </c>
      <c r="UI4" t="s">
        <v>366</v>
      </c>
      <c r="UJ4" t="s">
        <v>367</v>
      </c>
      <c r="UK4">
        <v>5.6065809726715088</v>
      </c>
      <c r="UL4">
        <v>40</v>
      </c>
      <c r="UM4" s="1"/>
      <c r="UN4">
        <f t="shared" si="93"/>
        <v>42</v>
      </c>
      <c r="UO4" t="s">
        <v>368</v>
      </c>
      <c r="UP4" t="s">
        <v>369</v>
      </c>
      <c r="UQ4">
        <v>14.22631168365479</v>
      </c>
      <c r="UR4">
        <v>104</v>
      </c>
      <c r="US4" s="2"/>
      <c r="UT4">
        <f t="shared" si="94"/>
        <v>16</v>
      </c>
      <c r="UU4" t="s">
        <v>370</v>
      </c>
      <c r="UV4" t="s">
        <v>371</v>
      </c>
      <c r="UW4">
        <v>3.5485587120056148</v>
      </c>
      <c r="UX4">
        <v>20</v>
      </c>
      <c r="UY4" s="1"/>
      <c r="UZ4">
        <f t="shared" si="95"/>
        <v>60</v>
      </c>
      <c r="VA4" t="s">
        <v>372</v>
      </c>
      <c r="VB4" t="s">
        <v>373</v>
      </c>
      <c r="VC4">
        <v>33.302510261535637</v>
      </c>
      <c r="VD4">
        <v>68</v>
      </c>
      <c r="VE4" s="2"/>
      <c r="VF4">
        <f t="shared" si="96"/>
        <v>88</v>
      </c>
      <c r="VG4" t="s">
        <v>374</v>
      </c>
      <c r="VH4" t="s">
        <v>375</v>
      </c>
      <c r="VI4">
        <v>6.1753427982330322</v>
      </c>
      <c r="VJ4">
        <v>114</v>
      </c>
      <c r="VK4" s="1"/>
      <c r="VL4">
        <f t="shared" si="97"/>
        <v>40</v>
      </c>
      <c r="VM4" t="s">
        <v>376</v>
      </c>
      <c r="VN4" t="s">
        <v>377</v>
      </c>
      <c r="VO4">
        <v>47.691105127334588</v>
      </c>
      <c r="VP4">
        <v>78</v>
      </c>
      <c r="VQ4" s="2"/>
      <c r="VR4">
        <f t="shared" si="98"/>
        <v>27</v>
      </c>
      <c r="VS4" t="s">
        <v>378</v>
      </c>
      <c r="VT4" t="s">
        <v>379</v>
      </c>
      <c r="VU4">
        <v>2.800958395004272</v>
      </c>
      <c r="VV4">
        <v>33</v>
      </c>
      <c r="VW4" s="1"/>
      <c r="VX4">
        <f t="shared" si="99"/>
        <v>0</v>
      </c>
      <c r="VZ4" t="s">
        <v>380</v>
      </c>
      <c r="WA4">
        <v>55.205783843994141</v>
      </c>
      <c r="WB4">
        <v>20</v>
      </c>
      <c r="WC4" s="2"/>
      <c r="WD4">
        <f t="shared" si="100"/>
        <v>124</v>
      </c>
      <c r="WE4" t="s">
        <v>381</v>
      </c>
      <c r="WF4" t="s">
        <v>382</v>
      </c>
      <c r="WG4">
        <v>15.28297662734985</v>
      </c>
      <c r="WH4">
        <v>154</v>
      </c>
      <c r="WI4" s="1"/>
      <c r="WJ4">
        <f t="shared" si="101"/>
        <v>36</v>
      </c>
      <c r="WK4" t="s">
        <v>383</v>
      </c>
      <c r="WL4" t="s">
        <v>384</v>
      </c>
      <c r="WM4">
        <v>16.66972637176514</v>
      </c>
      <c r="WN4">
        <v>94</v>
      </c>
      <c r="WO4" s="4"/>
      <c r="WP4">
        <f t="shared" si="102"/>
        <v>84</v>
      </c>
      <c r="WQ4" t="s">
        <v>385</v>
      </c>
      <c r="WR4" t="s">
        <v>386</v>
      </c>
      <c r="WS4">
        <v>65.460976839065552</v>
      </c>
      <c r="WT4">
        <v>102</v>
      </c>
      <c r="WU4" s="3"/>
      <c r="WV4">
        <f t="shared" si="103"/>
        <v>40</v>
      </c>
      <c r="WW4" t="s">
        <v>387</v>
      </c>
      <c r="WX4" t="s">
        <v>388</v>
      </c>
      <c r="WY4">
        <v>27.36353588104248</v>
      </c>
      <c r="WZ4">
        <v>95</v>
      </c>
      <c r="XA4" s="2"/>
      <c r="XB4">
        <f t="shared" si="104"/>
        <v>48</v>
      </c>
      <c r="XC4" t="s">
        <v>389</v>
      </c>
      <c r="XD4" t="s">
        <v>390</v>
      </c>
      <c r="XE4">
        <v>37.019888162612922</v>
      </c>
      <c r="XF4">
        <v>48</v>
      </c>
      <c r="XG4" s="5"/>
      <c r="XH4">
        <f t="shared" si="105"/>
        <v>42</v>
      </c>
      <c r="XI4" t="s">
        <v>391</v>
      </c>
      <c r="XJ4" t="s">
        <v>392</v>
      </c>
      <c r="XK4">
        <v>10.62159252166748</v>
      </c>
      <c r="XL4">
        <v>74</v>
      </c>
      <c r="XM4" s="2"/>
      <c r="XN4">
        <f t="shared" si="106"/>
        <v>34</v>
      </c>
      <c r="XO4" t="s">
        <v>393</v>
      </c>
      <c r="XP4" t="s">
        <v>394</v>
      </c>
      <c r="XQ4">
        <v>25.281271457672119</v>
      </c>
      <c r="XR4">
        <v>43</v>
      </c>
      <c r="XS4" s="5"/>
      <c r="XT4">
        <f t="shared" si="107"/>
        <v>40</v>
      </c>
      <c r="XU4" t="s">
        <v>395</v>
      </c>
      <c r="XV4" t="s">
        <v>396</v>
      </c>
      <c r="XW4">
        <v>9.4608585834503174</v>
      </c>
      <c r="XX4">
        <v>66</v>
      </c>
      <c r="XY4" s="2"/>
      <c r="XZ4">
        <f t="shared" si="108"/>
        <v>72</v>
      </c>
      <c r="YA4" t="s">
        <v>397</v>
      </c>
      <c r="YB4" t="s">
        <v>398</v>
      </c>
      <c r="YC4">
        <v>23.085527420043949</v>
      </c>
      <c r="YD4">
        <v>79</v>
      </c>
      <c r="YE4" s="5"/>
      <c r="YF4">
        <f t="shared" si="109"/>
        <v>24</v>
      </c>
      <c r="YG4" t="s">
        <v>399</v>
      </c>
      <c r="YH4" t="s">
        <v>400</v>
      </c>
      <c r="YI4">
        <v>9.1030781269073486</v>
      </c>
      <c r="YJ4">
        <v>44</v>
      </c>
      <c r="YK4" s="2"/>
      <c r="YL4">
        <f t="shared" si="110"/>
        <v>32</v>
      </c>
      <c r="YM4" t="s">
        <v>401</v>
      </c>
      <c r="YN4" t="s">
        <v>402</v>
      </c>
      <c r="YO4">
        <v>24.286341667175289</v>
      </c>
      <c r="YP4">
        <v>41</v>
      </c>
      <c r="YQ4" s="5"/>
      <c r="YR4">
        <f t="shared" si="111"/>
        <v>51</v>
      </c>
      <c r="YS4" t="s">
        <v>403</v>
      </c>
      <c r="YT4" t="s">
        <v>404</v>
      </c>
      <c r="YU4">
        <v>18.9122748374939</v>
      </c>
      <c r="YV4">
        <v>135</v>
      </c>
      <c r="YW4" s="2"/>
      <c r="YX4">
        <f t="shared" si="112"/>
        <v>17</v>
      </c>
      <c r="YY4" t="s">
        <v>405</v>
      </c>
      <c r="YZ4" t="s">
        <v>406</v>
      </c>
      <c r="ZA4">
        <v>18.070661306381229</v>
      </c>
      <c r="ZB4">
        <v>25</v>
      </c>
      <c r="ZC4" s="5"/>
      <c r="ZD4">
        <f t="shared" si="113"/>
        <v>48</v>
      </c>
      <c r="ZE4" t="s">
        <v>407</v>
      </c>
      <c r="ZF4" t="s">
        <v>408</v>
      </c>
      <c r="ZG4">
        <v>28.55239367485046</v>
      </c>
      <c r="ZH4">
        <v>76</v>
      </c>
      <c r="ZI4" s="2"/>
      <c r="ZJ4">
        <f t="shared" si="114"/>
        <v>80</v>
      </c>
      <c r="ZK4" t="s">
        <v>409</v>
      </c>
      <c r="ZL4" t="s">
        <v>410</v>
      </c>
      <c r="ZM4">
        <v>34.224472284317017</v>
      </c>
      <c r="ZN4">
        <v>114</v>
      </c>
      <c r="ZO4" s="5"/>
      <c r="ZP4">
        <f t="shared" si="115"/>
        <v>40</v>
      </c>
      <c r="ZQ4" t="s">
        <v>411</v>
      </c>
      <c r="ZR4" t="s">
        <v>412</v>
      </c>
      <c r="ZS4">
        <v>24.787939310073849</v>
      </c>
      <c r="ZT4">
        <v>72</v>
      </c>
      <c r="ZU4" s="2"/>
      <c r="ZV4">
        <f t="shared" si="116"/>
        <v>38</v>
      </c>
      <c r="ZW4" t="s">
        <v>413</v>
      </c>
      <c r="ZX4" t="s">
        <v>414</v>
      </c>
      <c r="ZY4">
        <v>24.83835864067078</v>
      </c>
      <c r="ZZ4">
        <v>38</v>
      </c>
      <c r="AAA4" s="5"/>
      <c r="AAB4">
        <f t="shared" si="117"/>
        <v>33</v>
      </c>
      <c r="AAC4" t="s">
        <v>415</v>
      </c>
      <c r="AAD4" t="s">
        <v>416</v>
      </c>
      <c r="AAE4">
        <v>11.52914190292358</v>
      </c>
      <c r="AAF4">
        <v>61</v>
      </c>
      <c r="AAG4" s="2"/>
      <c r="AAH4">
        <f t="shared" si="118"/>
        <v>56</v>
      </c>
      <c r="AAI4" t="s">
        <v>417</v>
      </c>
      <c r="AAJ4" t="s">
        <v>418</v>
      </c>
      <c r="AAK4">
        <v>27.26128268241882</v>
      </c>
      <c r="AAL4">
        <v>120</v>
      </c>
      <c r="AAM4" s="5"/>
      <c r="AAN4">
        <f t="shared" si="119"/>
        <v>39</v>
      </c>
      <c r="AAO4" t="s">
        <v>419</v>
      </c>
      <c r="AAP4" t="s">
        <v>420</v>
      </c>
      <c r="AAQ4">
        <v>8.855189323425293</v>
      </c>
      <c r="AAR4">
        <v>81</v>
      </c>
      <c r="AAS4" s="2"/>
      <c r="AAT4">
        <f t="shared" si="120"/>
        <v>92</v>
      </c>
      <c r="AAU4" t="s">
        <v>421</v>
      </c>
      <c r="AAV4" t="s">
        <v>422</v>
      </c>
      <c r="AAW4">
        <v>191.60207176208499</v>
      </c>
      <c r="AAX4">
        <v>92</v>
      </c>
      <c r="AAY4" s="5"/>
      <c r="AAZ4">
        <f t="shared" si="121"/>
        <v>43</v>
      </c>
      <c r="ABA4" t="s">
        <v>222</v>
      </c>
      <c r="ABB4" t="s">
        <v>423</v>
      </c>
      <c r="ABC4">
        <v>42.155770301818848</v>
      </c>
      <c r="ABD4">
        <v>63</v>
      </c>
      <c r="ABE4" s="2"/>
      <c r="ABF4">
        <f t="shared" si="122"/>
        <v>16</v>
      </c>
      <c r="ABG4" t="s">
        <v>131</v>
      </c>
      <c r="ABH4" t="s">
        <v>424</v>
      </c>
      <c r="ABI4">
        <v>42.96335768699646</v>
      </c>
      <c r="ABJ4">
        <v>16</v>
      </c>
      <c r="ABK4" s="5"/>
      <c r="ABL4">
        <f t="shared" si="123"/>
        <v>61</v>
      </c>
      <c r="ABM4" t="s">
        <v>425</v>
      </c>
      <c r="ABN4" t="s">
        <v>426</v>
      </c>
      <c r="ABO4">
        <v>15.32049608230591</v>
      </c>
      <c r="ABP4">
        <v>85</v>
      </c>
      <c r="ABQ4" s="2"/>
      <c r="ABR4">
        <f t="shared" si="124"/>
        <v>64</v>
      </c>
      <c r="ABS4" t="s">
        <v>427</v>
      </c>
      <c r="ABT4" t="s">
        <v>428</v>
      </c>
      <c r="ABU4">
        <v>28.97092247009277</v>
      </c>
      <c r="ABV4">
        <v>64</v>
      </c>
      <c r="ABW4" s="5"/>
      <c r="ABX4">
        <f t="shared" si="125"/>
        <v>37</v>
      </c>
      <c r="ABY4" t="s">
        <v>429</v>
      </c>
      <c r="ABZ4" t="s">
        <v>430</v>
      </c>
      <c r="ACA4">
        <v>14.736764907836911</v>
      </c>
      <c r="ACB4">
        <v>61</v>
      </c>
      <c r="ACC4" s="2"/>
      <c r="ACD4">
        <f t="shared" si="126"/>
        <v>4</v>
      </c>
      <c r="ACE4" t="s">
        <v>232</v>
      </c>
      <c r="ACF4" t="s">
        <v>431</v>
      </c>
      <c r="ACG4">
        <v>34.99539041519165</v>
      </c>
      <c r="ACH4">
        <v>4</v>
      </c>
      <c r="ACI4" s="5"/>
      <c r="ACJ4">
        <f t="shared" si="127"/>
        <v>124</v>
      </c>
      <c r="ACK4" t="s">
        <v>432</v>
      </c>
      <c r="ACL4" t="s">
        <v>433</v>
      </c>
      <c r="ACM4">
        <v>201.66814422607419</v>
      </c>
      <c r="ACN4">
        <v>150</v>
      </c>
      <c r="ACO4" s="2"/>
      <c r="ACP4">
        <f t="shared" si="128"/>
        <v>82</v>
      </c>
      <c r="ACQ4" t="s">
        <v>434</v>
      </c>
      <c r="ACR4" t="s">
        <v>435</v>
      </c>
      <c r="ACS4">
        <v>43.619980335235603</v>
      </c>
      <c r="ACT4">
        <v>96</v>
      </c>
      <c r="ACU4" s="5"/>
      <c r="ACV4">
        <f t="shared" si="129"/>
        <v>51</v>
      </c>
      <c r="ACW4" t="s">
        <v>436</v>
      </c>
      <c r="ACX4" t="s">
        <v>437</v>
      </c>
      <c r="ACY4">
        <v>26.84568619728088</v>
      </c>
      <c r="ACZ4">
        <v>137</v>
      </c>
      <c r="ADA4" s="2"/>
      <c r="ADB4">
        <f t="shared" si="130"/>
        <v>56</v>
      </c>
      <c r="ADC4" t="s">
        <v>438</v>
      </c>
      <c r="ADD4" t="s">
        <v>439</v>
      </c>
      <c r="ADE4">
        <v>22.487124919891361</v>
      </c>
      <c r="ADF4">
        <v>56</v>
      </c>
      <c r="ADG4" s="5"/>
      <c r="ADH4">
        <f t="shared" si="131"/>
        <v>33</v>
      </c>
      <c r="ADI4" t="s">
        <v>440</v>
      </c>
      <c r="ADJ4" t="s">
        <v>441</v>
      </c>
      <c r="ADK4">
        <v>5.6211793422698966</v>
      </c>
      <c r="ADL4">
        <v>42</v>
      </c>
      <c r="ADM4" s="2"/>
      <c r="ADN4">
        <f t="shared" si="132"/>
        <v>20</v>
      </c>
      <c r="ADO4" t="s">
        <v>442</v>
      </c>
      <c r="ADP4" t="s">
        <v>443</v>
      </c>
      <c r="ADQ4">
        <v>13.022667646408079</v>
      </c>
      <c r="ADR4">
        <v>20</v>
      </c>
      <c r="ADS4" s="5"/>
      <c r="ADT4">
        <f t="shared" si="133"/>
        <v>46</v>
      </c>
      <c r="ADU4" t="s">
        <v>444</v>
      </c>
      <c r="ADV4" t="s">
        <v>445</v>
      </c>
      <c r="ADW4">
        <v>9.9770538806915283</v>
      </c>
      <c r="ADX4">
        <v>70</v>
      </c>
      <c r="ADY4" s="2"/>
      <c r="ADZ4">
        <f t="shared" si="134"/>
        <v>65</v>
      </c>
      <c r="AEA4" t="s">
        <v>446</v>
      </c>
      <c r="AEB4" t="s">
        <v>447</v>
      </c>
      <c r="AEC4">
        <v>348.01330661773682</v>
      </c>
      <c r="AED4">
        <v>65</v>
      </c>
      <c r="AEE4" s="5"/>
      <c r="AEF4">
        <f t="shared" si="135"/>
        <v>27</v>
      </c>
      <c r="AEG4" t="s">
        <v>448</v>
      </c>
      <c r="AEH4" t="s">
        <v>449</v>
      </c>
      <c r="AEI4">
        <v>8.1987557411193848</v>
      </c>
      <c r="AEJ4">
        <v>36</v>
      </c>
      <c r="AEK4" s="2"/>
      <c r="AEL4">
        <f t="shared" si="136"/>
        <v>36</v>
      </c>
      <c r="AEM4" t="s">
        <v>450</v>
      </c>
      <c r="AEN4" t="s">
        <v>451</v>
      </c>
      <c r="AEO4">
        <v>19.34294509887695</v>
      </c>
      <c r="AEP4">
        <v>36</v>
      </c>
      <c r="AEQ4" s="5"/>
      <c r="AER4">
        <f t="shared" si="137"/>
        <v>21</v>
      </c>
      <c r="AES4" t="s">
        <v>452</v>
      </c>
      <c r="AET4" t="s">
        <v>453</v>
      </c>
      <c r="AEU4">
        <v>3.1852180957794189</v>
      </c>
      <c r="AEV4">
        <v>30</v>
      </c>
      <c r="AEW4" s="2"/>
      <c r="AEX4">
        <f t="shared" si="138"/>
        <v>35</v>
      </c>
      <c r="AEY4" t="s">
        <v>454</v>
      </c>
      <c r="AEZ4" t="s">
        <v>455</v>
      </c>
      <c r="AFA4">
        <v>25.831785678863529</v>
      </c>
      <c r="AFB4">
        <v>39</v>
      </c>
      <c r="AFC4" s="5"/>
      <c r="AFD4">
        <f t="shared" si="139"/>
        <v>14</v>
      </c>
      <c r="AFE4" t="s">
        <v>456</v>
      </c>
      <c r="AFF4" t="s">
        <v>457</v>
      </c>
      <c r="AFG4">
        <v>2.3320553302764888</v>
      </c>
      <c r="AFH4">
        <v>39</v>
      </c>
      <c r="AFI4" s="2"/>
      <c r="AFJ4">
        <f t="shared" si="140"/>
        <v>112</v>
      </c>
      <c r="AFK4" t="s">
        <v>458</v>
      </c>
      <c r="AFL4" t="s">
        <v>459</v>
      </c>
      <c r="AFM4">
        <v>148.45908951759341</v>
      </c>
      <c r="AFN4">
        <v>112</v>
      </c>
      <c r="AFO4" s="5"/>
      <c r="AFP4">
        <f t="shared" si="141"/>
        <v>36</v>
      </c>
      <c r="AFQ4" t="s">
        <v>460</v>
      </c>
      <c r="AFR4" t="s">
        <v>461</v>
      </c>
      <c r="AFS4">
        <v>17.525635957717899</v>
      </c>
      <c r="AFT4">
        <v>46</v>
      </c>
      <c r="AFU4" s="2"/>
      <c r="AFV4">
        <f t="shared" si="142"/>
        <v>27</v>
      </c>
      <c r="AFW4" t="s">
        <v>462</v>
      </c>
      <c r="AFX4" t="s">
        <v>463</v>
      </c>
      <c r="AFY4">
        <v>25.78027868270874</v>
      </c>
      <c r="AFZ4">
        <v>36</v>
      </c>
      <c r="AGA4" s="5"/>
      <c r="AGB4">
        <f t="shared" si="143"/>
        <v>36</v>
      </c>
      <c r="AGC4" t="s">
        <v>464</v>
      </c>
      <c r="AGD4" t="s">
        <v>465</v>
      </c>
      <c r="AGE4">
        <v>4.9729413986206046</v>
      </c>
      <c r="AGF4">
        <v>68</v>
      </c>
      <c r="AGG4" s="2"/>
      <c r="AGH4">
        <f t="shared" si="144"/>
        <v>26</v>
      </c>
      <c r="AGI4" t="s">
        <v>466</v>
      </c>
      <c r="AGJ4" t="s">
        <v>467</v>
      </c>
      <c r="AGK4">
        <v>19.026550531387329</v>
      </c>
      <c r="AGL4">
        <v>38</v>
      </c>
      <c r="AGM4" s="5"/>
      <c r="AGN4">
        <f t="shared" si="145"/>
        <v>71</v>
      </c>
      <c r="AGO4" t="s">
        <v>468</v>
      </c>
      <c r="AGP4" t="s">
        <v>469</v>
      </c>
      <c r="AGQ4">
        <v>4.7271010875701904</v>
      </c>
      <c r="AGR4">
        <v>102</v>
      </c>
      <c r="AGS4" s="2"/>
      <c r="AGT4">
        <f t="shared" si="146"/>
        <v>36</v>
      </c>
      <c r="AGU4" t="s">
        <v>470</v>
      </c>
      <c r="AGV4" t="s">
        <v>471</v>
      </c>
      <c r="AGW4">
        <v>61.784844160079963</v>
      </c>
      <c r="AGX4">
        <v>51</v>
      </c>
      <c r="AGY4" s="5"/>
      <c r="AGZ4">
        <f t="shared" si="147"/>
        <v>44</v>
      </c>
      <c r="AHA4" t="s">
        <v>472</v>
      </c>
      <c r="AHB4" t="s">
        <v>473</v>
      </c>
      <c r="AHC4">
        <v>6.5660357475280762</v>
      </c>
      <c r="AHD4">
        <v>70</v>
      </c>
      <c r="AHE4" s="2"/>
      <c r="AHF4">
        <f t="shared" si="148"/>
        <v>32</v>
      </c>
      <c r="AHG4" t="s">
        <v>474</v>
      </c>
      <c r="AHH4" t="s">
        <v>475</v>
      </c>
      <c r="AHI4">
        <v>36.027408361434937</v>
      </c>
      <c r="AHJ4">
        <v>43</v>
      </c>
      <c r="AHK4" s="5"/>
      <c r="AHL4">
        <f t="shared" si="149"/>
        <v>25</v>
      </c>
      <c r="AHM4" t="s">
        <v>476</v>
      </c>
      <c r="AHN4" t="s">
        <v>477</v>
      </c>
      <c r="AHO4">
        <v>3.200993537902832</v>
      </c>
      <c r="AHP4">
        <v>45</v>
      </c>
      <c r="AHQ4" s="2"/>
      <c r="AHR4">
        <f t="shared" si="150"/>
        <v>68</v>
      </c>
      <c r="AHS4" t="s">
        <v>478</v>
      </c>
      <c r="AHT4" t="s">
        <v>479</v>
      </c>
      <c r="AHU4">
        <v>29.039100170135502</v>
      </c>
      <c r="AHV4">
        <v>68</v>
      </c>
      <c r="AHW4" s="5"/>
      <c r="AHX4">
        <f t="shared" si="151"/>
        <v>45</v>
      </c>
      <c r="AHY4" t="s">
        <v>480</v>
      </c>
      <c r="AHZ4" t="s">
        <v>481</v>
      </c>
      <c r="AIA4">
        <v>5.2982378005981454</v>
      </c>
      <c r="AIB4">
        <v>75</v>
      </c>
      <c r="AIC4" s="2"/>
      <c r="AID4">
        <f t="shared" si="152"/>
        <v>12</v>
      </c>
      <c r="AIE4" t="s">
        <v>482</v>
      </c>
      <c r="AIF4" t="s">
        <v>483</v>
      </c>
      <c r="AIG4">
        <v>16.165816307067871</v>
      </c>
      <c r="AIH4">
        <v>12</v>
      </c>
      <c r="AII4" s="5"/>
      <c r="AIJ4">
        <f t="shared" si="153"/>
        <v>34</v>
      </c>
      <c r="AIK4" t="s">
        <v>484</v>
      </c>
      <c r="AIL4" t="s">
        <v>485</v>
      </c>
      <c r="AIM4">
        <v>20.460271596908569</v>
      </c>
      <c r="AIN4">
        <v>45</v>
      </c>
      <c r="AIO4" s="2"/>
      <c r="AIP4">
        <f t="shared" si="154"/>
        <v>34</v>
      </c>
      <c r="AIQ4" t="s">
        <v>486</v>
      </c>
      <c r="AIR4" t="s">
        <v>487</v>
      </c>
      <c r="AIS4">
        <v>18.448712587356571</v>
      </c>
      <c r="AIT4">
        <v>48</v>
      </c>
      <c r="AIU4" s="5"/>
      <c r="AIV4">
        <f t="shared" si="155"/>
        <v>54</v>
      </c>
      <c r="AIW4" t="s">
        <v>488</v>
      </c>
      <c r="AIX4" t="s">
        <v>489</v>
      </c>
      <c r="AIY4">
        <v>35.092120885848999</v>
      </c>
      <c r="AIZ4">
        <v>79</v>
      </c>
      <c r="AJA4" s="2"/>
      <c r="AJB4">
        <f t="shared" si="156"/>
        <v>24</v>
      </c>
      <c r="AJC4" t="s">
        <v>43</v>
      </c>
      <c r="AJD4" t="s">
        <v>490</v>
      </c>
      <c r="AJE4">
        <v>21.518525362014771</v>
      </c>
      <c r="AJF4">
        <v>24</v>
      </c>
      <c r="AJG4" s="5"/>
      <c r="AJH4">
        <f t="shared" si="157"/>
        <v>40</v>
      </c>
      <c r="AJI4" t="s">
        <v>491</v>
      </c>
      <c r="AJJ4" t="s">
        <v>492</v>
      </c>
      <c r="AJK4">
        <v>16.300924062728878</v>
      </c>
      <c r="AJL4">
        <v>68</v>
      </c>
      <c r="AJM4" s="2"/>
      <c r="AJN4">
        <f t="shared" si="158"/>
        <v>27</v>
      </c>
      <c r="AJO4" t="s">
        <v>493</v>
      </c>
      <c r="AJP4" t="s">
        <v>494</v>
      </c>
      <c r="AJQ4">
        <v>20.01349139213562</v>
      </c>
      <c r="AJR4">
        <v>99</v>
      </c>
      <c r="AJS4" s="5"/>
      <c r="AJT4">
        <f t="shared" si="159"/>
        <v>68</v>
      </c>
      <c r="AJU4" t="s">
        <v>495</v>
      </c>
      <c r="AJV4" t="s">
        <v>496</v>
      </c>
      <c r="AJW4">
        <v>97.389497756958008</v>
      </c>
      <c r="AJX4">
        <v>168</v>
      </c>
      <c r="AJY4" s="2"/>
      <c r="AJZ4">
        <f t="shared" si="160"/>
        <v>36</v>
      </c>
      <c r="AKA4" t="s">
        <v>497</v>
      </c>
      <c r="AKB4" t="s">
        <v>498</v>
      </c>
      <c r="AKC4">
        <v>13.71345853805542</v>
      </c>
      <c r="AKD4">
        <v>46</v>
      </c>
      <c r="AKE4" s="5"/>
      <c r="AKF4">
        <f t="shared" si="161"/>
        <v>64</v>
      </c>
      <c r="AKG4" t="s">
        <v>499</v>
      </c>
      <c r="AKH4" t="s">
        <v>500</v>
      </c>
      <c r="AKI4">
        <v>63.130066633224487</v>
      </c>
      <c r="AKJ4">
        <v>91</v>
      </c>
      <c r="AKK4" s="2"/>
      <c r="AKL4">
        <f t="shared" si="162"/>
        <v>72</v>
      </c>
      <c r="AKM4" t="s">
        <v>501</v>
      </c>
      <c r="AKN4" t="s">
        <v>502</v>
      </c>
      <c r="AKO4">
        <v>24.583179950714111</v>
      </c>
      <c r="AKP4">
        <v>83</v>
      </c>
      <c r="AKQ4" s="5"/>
      <c r="AKR4">
        <f t="shared" si="163"/>
        <v>40</v>
      </c>
      <c r="AKS4" t="s">
        <v>503</v>
      </c>
      <c r="AKT4" t="s">
        <v>504</v>
      </c>
      <c r="AKU4">
        <v>130.49949169158941</v>
      </c>
      <c r="AKV4">
        <v>68</v>
      </c>
      <c r="AKW4" s="2"/>
      <c r="AKX4">
        <f t="shared" si="164"/>
        <v>84</v>
      </c>
      <c r="AKY4" t="s">
        <v>505</v>
      </c>
      <c r="AKZ4" t="s">
        <v>506</v>
      </c>
      <c r="ALA4">
        <v>18.030347108840939</v>
      </c>
      <c r="ALB4">
        <v>91</v>
      </c>
      <c r="ALC4" s="5"/>
      <c r="ALD4">
        <f t="shared" si="165"/>
        <v>69</v>
      </c>
      <c r="ALE4" t="s">
        <v>507</v>
      </c>
      <c r="ALF4" t="s">
        <v>508</v>
      </c>
      <c r="ALG4">
        <v>131.40854072570801</v>
      </c>
      <c r="ALH4">
        <v>106</v>
      </c>
      <c r="ALI4" s="2"/>
      <c r="ALJ4">
        <f t="shared" si="166"/>
        <v>13</v>
      </c>
      <c r="ALK4" t="s">
        <v>509</v>
      </c>
      <c r="ALL4" t="s">
        <v>510</v>
      </c>
      <c r="ALM4">
        <v>16.179594039916989</v>
      </c>
      <c r="ALN4">
        <v>13</v>
      </c>
      <c r="ALO4" s="5"/>
      <c r="ALP4">
        <f t="shared" si="167"/>
        <v>17</v>
      </c>
      <c r="ALQ4" t="s">
        <v>511</v>
      </c>
      <c r="ALR4" t="s">
        <v>512</v>
      </c>
      <c r="ALS4">
        <v>2.6157486438751221</v>
      </c>
      <c r="ALT4">
        <v>27</v>
      </c>
      <c r="ALU4" s="2"/>
      <c r="ALV4">
        <f t="shared" si="168"/>
        <v>32</v>
      </c>
      <c r="ALW4" t="s">
        <v>74</v>
      </c>
      <c r="ALX4" t="s">
        <v>513</v>
      </c>
      <c r="ALY4">
        <v>17.712296485900879</v>
      </c>
      <c r="ALZ4">
        <v>45</v>
      </c>
      <c r="AMA4" s="5"/>
      <c r="AMB4">
        <f t="shared" si="169"/>
        <v>36</v>
      </c>
      <c r="AMC4" t="s">
        <v>514</v>
      </c>
      <c r="AMD4" t="s">
        <v>515</v>
      </c>
      <c r="AME4">
        <v>5.1946871280670166</v>
      </c>
      <c r="AMF4">
        <v>62</v>
      </c>
      <c r="AMG4" s="2"/>
      <c r="AMH4">
        <f t="shared" si="170"/>
        <v>154</v>
      </c>
      <c r="AMI4" t="s">
        <v>516</v>
      </c>
      <c r="AMJ4" t="s">
        <v>517</v>
      </c>
      <c r="AMK4">
        <v>46.756041526794426</v>
      </c>
      <c r="AML4">
        <v>154</v>
      </c>
      <c r="AMM4" s="5"/>
      <c r="AMN4">
        <f t="shared" si="171"/>
        <v>54</v>
      </c>
      <c r="AMO4" t="s">
        <v>518</v>
      </c>
      <c r="AMP4" t="s">
        <v>519</v>
      </c>
      <c r="AMQ4">
        <v>136.70528125762939</v>
      </c>
      <c r="AMR4">
        <v>124</v>
      </c>
      <c r="AMS4" s="2"/>
      <c r="AMT4">
        <f t="shared" si="172"/>
        <v>124</v>
      </c>
      <c r="AMU4" t="s">
        <v>520</v>
      </c>
      <c r="AMV4" t="s">
        <v>521</v>
      </c>
      <c r="AMW4">
        <v>426.67351365089422</v>
      </c>
      <c r="AMX4">
        <v>124</v>
      </c>
      <c r="AMY4" s="5"/>
      <c r="AMZ4">
        <f t="shared" si="173"/>
        <v>42</v>
      </c>
      <c r="ANA4" t="s">
        <v>174</v>
      </c>
      <c r="ANB4" t="s">
        <v>522</v>
      </c>
      <c r="ANC4">
        <v>13.374956369400021</v>
      </c>
      <c r="AND4">
        <v>68</v>
      </c>
      <c r="ANE4" s="2"/>
      <c r="ANF4">
        <f t="shared" si="174"/>
        <v>30</v>
      </c>
      <c r="ANG4" t="s">
        <v>523</v>
      </c>
      <c r="ANH4" t="s">
        <v>524</v>
      </c>
      <c r="ANI4">
        <v>21.98006796836853</v>
      </c>
      <c r="ANJ4">
        <v>30</v>
      </c>
      <c r="ANK4" s="5"/>
      <c r="ANL4">
        <f t="shared" si="175"/>
        <v>25</v>
      </c>
      <c r="ANM4" t="s">
        <v>525</v>
      </c>
      <c r="ANN4" t="s">
        <v>526</v>
      </c>
      <c r="ANO4">
        <v>6.3570101261138916</v>
      </c>
      <c r="ANP4">
        <v>47</v>
      </c>
      <c r="ANQ4" s="2"/>
      <c r="ANR4">
        <f t="shared" si="176"/>
        <v>32</v>
      </c>
      <c r="ANS4" t="s">
        <v>527</v>
      </c>
      <c r="ANT4" t="s">
        <v>528</v>
      </c>
      <c r="ANU4">
        <v>31.06372690200806</v>
      </c>
      <c r="ANV4">
        <v>32</v>
      </c>
      <c r="ANW4" s="5"/>
      <c r="ANX4">
        <f t="shared" si="177"/>
        <v>46</v>
      </c>
      <c r="ANY4" t="s">
        <v>529</v>
      </c>
      <c r="ANZ4" t="s">
        <v>530</v>
      </c>
      <c r="AOA4">
        <v>18.718206405639648</v>
      </c>
      <c r="AOB4">
        <v>74</v>
      </c>
      <c r="AOC4" s="2"/>
      <c r="AOD4">
        <f t="shared" si="178"/>
        <v>42</v>
      </c>
      <c r="AOE4" t="s">
        <v>531</v>
      </c>
      <c r="AOF4" t="s">
        <v>532</v>
      </c>
      <c r="AOG4">
        <v>16.635640621185299</v>
      </c>
      <c r="AOH4">
        <v>53</v>
      </c>
      <c r="AOI4" s="5"/>
      <c r="AOJ4">
        <f t="shared" si="179"/>
        <v>66</v>
      </c>
      <c r="AOK4" t="s">
        <v>533</v>
      </c>
      <c r="AOL4" t="s">
        <v>534</v>
      </c>
      <c r="AOM4">
        <v>57.699481248855591</v>
      </c>
      <c r="AON4">
        <v>92</v>
      </c>
      <c r="AOO4" s="2"/>
      <c r="AOP4">
        <f t="shared" si="180"/>
        <v>77</v>
      </c>
      <c r="AOQ4" t="s">
        <v>535</v>
      </c>
      <c r="AOR4" t="s">
        <v>536</v>
      </c>
      <c r="AOS4">
        <v>250.04102301597601</v>
      </c>
      <c r="AOT4">
        <v>143</v>
      </c>
      <c r="AOU4" s="5"/>
      <c r="AOV4">
        <f t="shared" si="181"/>
        <v>26</v>
      </c>
      <c r="AOW4" t="s">
        <v>537</v>
      </c>
      <c r="AOX4" t="s">
        <v>538</v>
      </c>
      <c r="AOY4">
        <v>16.119098424911499</v>
      </c>
      <c r="AOZ4">
        <v>49</v>
      </c>
      <c r="APA4" s="2"/>
      <c r="APB4">
        <f t="shared" si="182"/>
        <v>68</v>
      </c>
      <c r="APC4" t="s">
        <v>539</v>
      </c>
      <c r="APD4" t="s">
        <v>540</v>
      </c>
      <c r="APE4">
        <v>225.30968165397641</v>
      </c>
      <c r="APF4">
        <v>68</v>
      </c>
      <c r="APG4" s="5"/>
      <c r="APH4">
        <f t="shared" si="183"/>
        <v>39</v>
      </c>
      <c r="API4" t="s">
        <v>541</v>
      </c>
      <c r="APJ4" t="s">
        <v>542</v>
      </c>
      <c r="APK4">
        <v>19.022909641265869</v>
      </c>
      <c r="APL4">
        <v>67</v>
      </c>
      <c r="APM4" s="2"/>
      <c r="APN4">
        <f t="shared" si="184"/>
        <v>82</v>
      </c>
      <c r="APO4" t="s">
        <v>543</v>
      </c>
      <c r="APP4" t="s">
        <v>544</v>
      </c>
      <c r="APQ4">
        <v>23.406456470489498</v>
      </c>
      <c r="APR4">
        <v>82</v>
      </c>
      <c r="APS4" s="5"/>
      <c r="APT4">
        <f t="shared" si="185"/>
        <v>124</v>
      </c>
      <c r="APU4" t="s">
        <v>545</v>
      </c>
      <c r="APV4" t="s">
        <v>546</v>
      </c>
      <c r="APW4">
        <v>198.51315760612491</v>
      </c>
      <c r="APX4">
        <v>144</v>
      </c>
      <c r="APY4" s="2"/>
      <c r="APZ4">
        <f t="shared" si="186"/>
        <v>60</v>
      </c>
      <c r="AQA4" t="s">
        <v>547</v>
      </c>
      <c r="AQB4" t="s">
        <v>548</v>
      </c>
      <c r="AQC4">
        <v>28.613724946975712</v>
      </c>
      <c r="AQD4">
        <v>60</v>
      </c>
      <c r="AQE4" s="5"/>
      <c r="AQF4">
        <f t="shared" si="187"/>
        <v>45</v>
      </c>
      <c r="AQG4" t="s">
        <v>549</v>
      </c>
      <c r="AQH4" t="s">
        <v>550</v>
      </c>
      <c r="AQI4">
        <v>22.251406192779541</v>
      </c>
      <c r="AQJ4">
        <v>55</v>
      </c>
      <c r="AQK4" s="2"/>
      <c r="AQL4">
        <f t="shared" si="188"/>
        <v>38</v>
      </c>
      <c r="AQM4" t="s">
        <v>551</v>
      </c>
      <c r="AQN4" t="s">
        <v>552</v>
      </c>
      <c r="AQO4">
        <v>22.25038385391235</v>
      </c>
      <c r="AQP4">
        <v>47</v>
      </c>
      <c r="AQQ4" s="5"/>
      <c r="AQR4">
        <f t="shared" si="189"/>
        <v>22</v>
      </c>
      <c r="AQS4" t="s">
        <v>553</v>
      </c>
      <c r="AQT4" t="s">
        <v>554</v>
      </c>
      <c r="AQU4">
        <v>3.70384693145752</v>
      </c>
      <c r="AQV4">
        <v>68</v>
      </c>
      <c r="AQW4" s="2"/>
      <c r="AQX4">
        <f t="shared" si="190"/>
        <v>66</v>
      </c>
      <c r="AQY4" t="s">
        <v>555</v>
      </c>
      <c r="AQZ4" t="s">
        <v>556</v>
      </c>
      <c r="ARA4">
        <v>194.4282269477844</v>
      </c>
      <c r="ARB4">
        <v>79</v>
      </c>
      <c r="ARC4" s="5"/>
      <c r="ARD4">
        <f t="shared" si="191"/>
        <v>57</v>
      </c>
      <c r="ARE4" t="s">
        <v>557</v>
      </c>
      <c r="ARF4" t="s">
        <v>558</v>
      </c>
      <c r="ARG4">
        <v>31.19334602355957</v>
      </c>
      <c r="ARH4">
        <v>132</v>
      </c>
      <c r="ARI4" s="2"/>
      <c r="ARJ4">
        <f t="shared" si="192"/>
        <v>30</v>
      </c>
      <c r="ARK4" t="s">
        <v>559</v>
      </c>
      <c r="ARL4" t="s">
        <v>560</v>
      </c>
      <c r="ARM4">
        <v>18.73065447807312</v>
      </c>
      <c r="ARN4">
        <v>37</v>
      </c>
      <c r="ARO4" s="5"/>
      <c r="ARP4">
        <f t="shared" si="193"/>
        <v>51</v>
      </c>
      <c r="ARQ4" t="s">
        <v>561</v>
      </c>
      <c r="ARR4" t="s">
        <v>562</v>
      </c>
      <c r="ARS4">
        <v>135.12283086776731</v>
      </c>
      <c r="ART4">
        <v>83</v>
      </c>
      <c r="ARU4" s="2"/>
      <c r="ARV4">
        <f t="shared" si="194"/>
        <v>48</v>
      </c>
      <c r="ARW4" t="s">
        <v>563</v>
      </c>
      <c r="ARX4" t="s">
        <v>564</v>
      </c>
      <c r="ARY4">
        <v>131.0402455329895</v>
      </c>
      <c r="ARZ4">
        <v>114</v>
      </c>
      <c r="ASA4" s="5"/>
      <c r="ASB4">
        <f t="shared" si="195"/>
        <v>42</v>
      </c>
      <c r="ASC4" t="s">
        <v>565</v>
      </c>
      <c r="ASD4" t="s">
        <v>566</v>
      </c>
      <c r="ASE4">
        <v>24.989003419876099</v>
      </c>
      <c r="ASF4">
        <v>76</v>
      </c>
      <c r="ASG4" s="2"/>
      <c r="ASH4">
        <f t="shared" si="196"/>
        <v>118</v>
      </c>
      <c r="ASI4" t="s">
        <v>567</v>
      </c>
      <c r="ASJ4" t="s">
        <v>568</v>
      </c>
      <c r="ASK4">
        <v>311.88357853889471</v>
      </c>
      <c r="ASL4">
        <v>118</v>
      </c>
      <c r="ASM4" s="5"/>
      <c r="ASN4">
        <f t="shared" si="197"/>
        <v>56</v>
      </c>
      <c r="ASO4" t="s">
        <v>569</v>
      </c>
      <c r="ASP4" t="s">
        <v>570</v>
      </c>
      <c r="ASQ4">
        <v>8.2917366027832031</v>
      </c>
      <c r="ASR4">
        <v>76</v>
      </c>
      <c r="ASS4" s="2"/>
      <c r="AST4">
        <f t="shared" si="198"/>
        <v>8</v>
      </c>
      <c r="ASU4" t="s">
        <v>571</v>
      </c>
      <c r="ASV4" t="s">
        <v>572</v>
      </c>
      <c r="ASW4">
        <v>25.153918504714969</v>
      </c>
      <c r="ASX4">
        <v>16</v>
      </c>
      <c r="ASY4" s="5"/>
      <c r="ASZ4">
        <f t="shared" si="199"/>
        <v>26</v>
      </c>
      <c r="ATA4" t="s">
        <v>573</v>
      </c>
      <c r="ATB4" t="s">
        <v>574</v>
      </c>
      <c r="ATC4">
        <v>3.3196630477905269</v>
      </c>
      <c r="ATD4">
        <v>49</v>
      </c>
      <c r="ATE4" s="2"/>
      <c r="ATF4">
        <f t="shared" si="200"/>
        <v>54</v>
      </c>
      <c r="ATG4" t="s">
        <v>575</v>
      </c>
      <c r="ATH4" t="s">
        <v>576</v>
      </c>
      <c r="ATI4">
        <v>27.140523672103878</v>
      </c>
      <c r="ATJ4">
        <v>63</v>
      </c>
      <c r="ATK4" s="5"/>
      <c r="ATL4">
        <f t="shared" si="201"/>
        <v>72</v>
      </c>
      <c r="ATM4" t="s">
        <v>577</v>
      </c>
      <c r="ATN4" t="s">
        <v>578</v>
      </c>
      <c r="ATO4">
        <v>18.643632411956791</v>
      </c>
      <c r="ATP4">
        <v>98</v>
      </c>
      <c r="ATQ4" s="2"/>
      <c r="ATR4">
        <f t="shared" si="202"/>
        <v>82</v>
      </c>
      <c r="ATS4" t="s">
        <v>579</v>
      </c>
      <c r="ATT4" t="s">
        <v>580</v>
      </c>
      <c r="ATU4">
        <v>29.325300216674801</v>
      </c>
      <c r="ATV4">
        <v>96</v>
      </c>
      <c r="ATW4" s="5"/>
      <c r="ATX4">
        <f t="shared" si="203"/>
        <v>39</v>
      </c>
      <c r="ATY4" t="s">
        <v>581</v>
      </c>
      <c r="ATZ4" t="s">
        <v>582</v>
      </c>
      <c r="AUA4">
        <v>11.019447088241581</v>
      </c>
      <c r="AUB4">
        <v>151</v>
      </c>
      <c r="AUC4" s="2"/>
    </row>
    <row r="5" spans="2:1225" x14ac:dyDescent="0.25">
      <c r="B5">
        <f t="shared" si="0"/>
        <v>42</v>
      </c>
      <c r="C5" t="s">
        <v>583</v>
      </c>
      <c r="D5" t="s">
        <v>584</v>
      </c>
      <c r="E5">
        <v>21.602971315383911</v>
      </c>
      <c r="F5">
        <v>94</v>
      </c>
      <c r="G5" s="1"/>
      <c r="H5">
        <f t="shared" si="1"/>
        <v>24</v>
      </c>
      <c r="I5" t="s">
        <v>585</v>
      </c>
      <c r="J5" t="s">
        <v>586</v>
      </c>
      <c r="K5">
        <v>15.4622859954834</v>
      </c>
      <c r="L5">
        <v>217</v>
      </c>
      <c r="M5" s="2"/>
      <c r="N5">
        <f t="shared" si="2"/>
        <v>44</v>
      </c>
      <c r="O5" t="s">
        <v>254</v>
      </c>
      <c r="P5" t="s">
        <v>587</v>
      </c>
      <c r="Q5">
        <v>77.803900718688965</v>
      </c>
      <c r="R5">
        <v>86</v>
      </c>
      <c r="S5" s="1"/>
      <c r="T5">
        <f t="shared" si="3"/>
        <v>33</v>
      </c>
      <c r="U5" t="s">
        <v>588</v>
      </c>
      <c r="V5" t="s">
        <v>589</v>
      </c>
      <c r="W5">
        <v>24.483411550521851</v>
      </c>
      <c r="X5">
        <v>77</v>
      </c>
      <c r="Y5" s="2"/>
      <c r="Z5">
        <f t="shared" si="4"/>
        <v>28</v>
      </c>
      <c r="AA5" t="s">
        <v>590</v>
      </c>
      <c r="AB5" t="s">
        <v>591</v>
      </c>
      <c r="AC5">
        <v>4.0354492664337158</v>
      </c>
      <c r="AD5">
        <v>55</v>
      </c>
      <c r="AE5" s="1"/>
      <c r="AF5">
        <f t="shared" si="5"/>
        <v>40</v>
      </c>
      <c r="AG5" t="s">
        <v>592</v>
      </c>
      <c r="AH5" t="s">
        <v>593</v>
      </c>
      <c r="AI5">
        <v>39.625997304916382</v>
      </c>
      <c r="AJ5">
        <v>97</v>
      </c>
      <c r="AK5" s="2"/>
      <c r="AL5">
        <f t="shared" si="6"/>
        <v>42</v>
      </c>
      <c r="AM5" t="s">
        <v>594</v>
      </c>
      <c r="AN5" t="s">
        <v>595</v>
      </c>
      <c r="AO5">
        <v>10.599157094955441</v>
      </c>
      <c r="AP5">
        <v>99</v>
      </c>
      <c r="AQ5" s="1"/>
      <c r="AR5">
        <f t="shared" si="7"/>
        <v>33</v>
      </c>
      <c r="AS5" t="s">
        <v>596</v>
      </c>
      <c r="AT5" t="s">
        <v>597</v>
      </c>
      <c r="AU5">
        <v>20.312121868133541</v>
      </c>
      <c r="AV5">
        <v>137</v>
      </c>
      <c r="AW5" s="2"/>
      <c r="AX5">
        <f t="shared" si="8"/>
        <v>32</v>
      </c>
      <c r="AY5" t="s">
        <v>598</v>
      </c>
      <c r="AZ5" t="s">
        <v>599</v>
      </c>
      <c r="BA5">
        <v>7.197052001953125</v>
      </c>
      <c r="BB5">
        <v>94</v>
      </c>
      <c r="BC5" s="1"/>
      <c r="BD5">
        <f t="shared" si="9"/>
        <v>17</v>
      </c>
      <c r="BE5" t="s">
        <v>600</v>
      </c>
      <c r="BF5" t="s">
        <v>601</v>
      </c>
      <c r="BG5">
        <v>9.343980073928833</v>
      </c>
      <c r="BH5">
        <v>68</v>
      </c>
      <c r="BI5" s="2"/>
      <c r="BJ5">
        <f t="shared" si="10"/>
        <v>36</v>
      </c>
      <c r="BK5" t="s">
        <v>602</v>
      </c>
      <c r="BL5" t="s">
        <v>603</v>
      </c>
      <c r="BM5">
        <v>23.284257411956791</v>
      </c>
      <c r="BN5">
        <v>68</v>
      </c>
      <c r="BO5" s="1"/>
      <c r="BP5">
        <f t="shared" si="11"/>
        <v>76</v>
      </c>
      <c r="BQ5" t="s">
        <v>604</v>
      </c>
      <c r="BR5" t="s">
        <v>605</v>
      </c>
      <c r="BS5">
        <v>273.77523326873779</v>
      </c>
      <c r="BT5">
        <v>123</v>
      </c>
      <c r="BU5" s="2"/>
      <c r="BV5">
        <f t="shared" si="12"/>
        <v>46</v>
      </c>
      <c r="BW5" t="s">
        <v>606</v>
      </c>
      <c r="BX5" t="s">
        <v>607</v>
      </c>
      <c r="BY5">
        <v>14.40575051307678</v>
      </c>
      <c r="BZ5">
        <v>184</v>
      </c>
      <c r="CA5" s="1"/>
      <c r="CB5">
        <f t="shared" si="13"/>
        <v>39</v>
      </c>
      <c r="CC5" t="s">
        <v>608</v>
      </c>
      <c r="CD5" t="s">
        <v>609</v>
      </c>
      <c r="CE5">
        <v>31.645096302032471</v>
      </c>
      <c r="CF5">
        <v>155</v>
      </c>
      <c r="CG5" s="2"/>
      <c r="CH5">
        <f t="shared" si="14"/>
        <v>37</v>
      </c>
      <c r="CI5" t="s">
        <v>610</v>
      </c>
      <c r="CJ5" t="s">
        <v>611</v>
      </c>
      <c r="CK5">
        <v>34.080102443695068</v>
      </c>
      <c r="CL5">
        <v>104</v>
      </c>
      <c r="CM5" s="1"/>
      <c r="CN5">
        <f t="shared" si="15"/>
        <v>48</v>
      </c>
      <c r="CO5" t="s">
        <v>612</v>
      </c>
      <c r="CP5" t="s">
        <v>613</v>
      </c>
      <c r="CQ5">
        <v>12.57998967170715</v>
      </c>
      <c r="CR5">
        <v>212</v>
      </c>
      <c r="CS5" s="2"/>
      <c r="CT5">
        <f t="shared" si="16"/>
        <v>36</v>
      </c>
      <c r="CU5" t="s">
        <v>614</v>
      </c>
      <c r="CV5" t="s">
        <v>615</v>
      </c>
      <c r="CW5">
        <v>20.735795259475712</v>
      </c>
      <c r="CX5">
        <v>94</v>
      </c>
      <c r="CY5" s="1"/>
      <c r="CZ5">
        <f t="shared" si="17"/>
        <v>26</v>
      </c>
      <c r="DA5" t="s">
        <v>616</v>
      </c>
      <c r="DB5" t="s">
        <v>617</v>
      </c>
      <c r="DC5">
        <v>16.22930812835693</v>
      </c>
      <c r="DD5">
        <v>180</v>
      </c>
      <c r="DE5" s="2"/>
      <c r="DF5">
        <f t="shared" si="18"/>
        <v>48</v>
      </c>
      <c r="DG5" t="s">
        <v>618</v>
      </c>
      <c r="DH5" t="s">
        <v>619</v>
      </c>
      <c r="DI5">
        <v>11.755926847457889</v>
      </c>
      <c r="DJ5">
        <v>94</v>
      </c>
      <c r="DK5" s="1"/>
      <c r="DL5">
        <f t="shared" si="19"/>
        <v>22</v>
      </c>
      <c r="DM5" t="s">
        <v>620</v>
      </c>
      <c r="DN5" t="s">
        <v>621</v>
      </c>
      <c r="DO5">
        <v>16.43443393707275</v>
      </c>
      <c r="DP5">
        <v>125</v>
      </c>
      <c r="DQ5" s="2"/>
      <c r="DR5">
        <f t="shared" si="20"/>
        <v>50</v>
      </c>
      <c r="DS5" t="s">
        <v>13</v>
      </c>
      <c r="DT5" t="s">
        <v>622</v>
      </c>
      <c r="DU5">
        <v>10.99355053901672</v>
      </c>
      <c r="DV5">
        <v>107</v>
      </c>
      <c r="DW5" s="1"/>
      <c r="DX5">
        <f t="shared" si="21"/>
        <v>22</v>
      </c>
      <c r="DY5" t="s">
        <v>623</v>
      </c>
      <c r="DZ5" t="s">
        <v>624</v>
      </c>
      <c r="EA5">
        <v>11.882360219955441</v>
      </c>
      <c r="EB5">
        <v>106</v>
      </c>
      <c r="EC5" s="2"/>
      <c r="ED5">
        <f t="shared" si="22"/>
        <v>19</v>
      </c>
      <c r="EE5" t="s">
        <v>625</v>
      </c>
      <c r="EF5" t="s">
        <v>626</v>
      </c>
      <c r="EG5">
        <v>2.749999046325684</v>
      </c>
      <c r="EH5">
        <v>79</v>
      </c>
      <c r="EI5" s="1"/>
      <c r="EJ5">
        <f t="shared" si="23"/>
        <v>19</v>
      </c>
      <c r="EK5" t="s">
        <v>627</v>
      </c>
      <c r="EL5" t="s">
        <v>628</v>
      </c>
      <c r="EM5">
        <v>16.3580756187439</v>
      </c>
      <c r="EN5">
        <v>93</v>
      </c>
      <c r="EO5" s="2"/>
      <c r="EP5">
        <f t="shared" si="24"/>
        <v>30</v>
      </c>
      <c r="EQ5" t="s">
        <v>629</v>
      </c>
      <c r="ER5" t="s">
        <v>630</v>
      </c>
      <c r="ES5">
        <v>5.8880622386932373</v>
      </c>
      <c r="ET5">
        <v>82</v>
      </c>
      <c r="EU5" s="1"/>
      <c r="EV5">
        <f t="shared" si="25"/>
        <v>68</v>
      </c>
      <c r="EW5" t="s">
        <v>631</v>
      </c>
      <c r="EX5" t="s">
        <v>632</v>
      </c>
      <c r="EY5">
        <v>271.99144721031189</v>
      </c>
      <c r="EZ5">
        <v>105</v>
      </c>
      <c r="FA5" s="2"/>
      <c r="FB5">
        <f t="shared" si="26"/>
        <v>71</v>
      </c>
      <c r="FC5" t="s">
        <v>633</v>
      </c>
      <c r="FD5" t="s">
        <v>634</v>
      </c>
      <c r="FE5">
        <v>14.608335494995121</v>
      </c>
      <c r="FF5">
        <v>161</v>
      </c>
      <c r="FG5" s="1"/>
      <c r="FH5">
        <f t="shared" si="27"/>
        <v>39</v>
      </c>
      <c r="FI5" t="s">
        <v>635</v>
      </c>
      <c r="FJ5" t="s">
        <v>636</v>
      </c>
      <c r="FK5">
        <v>44.142465353012078</v>
      </c>
      <c r="FL5">
        <v>117</v>
      </c>
      <c r="FM5" s="2"/>
      <c r="FN5">
        <f t="shared" si="28"/>
        <v>45</v>
      </c>
      <c r="FO5" t="s">
        <v>637</v>
      </c>
      <c r="FP5" t="s">
        <v>638</v>
      </c>
      <c r="FQ5">
        <v>16.379450798034672</v>
      </c>
      <c r="FR5">
        <v>195</v>
      </c>
      <c r="FS5" s="1"/>
      <c r="FT5">
        <f t="shared" si="29"/>
        <v>27</v>
      </c>
      <c r="FU5" t="s">
        <v>639</v>
      </c>
      <c r="FV5" t="s">
        <v>640</v>
      </c>
      <c r="FW5">
        <v>23.000632047653198</v>
      </c>
      <c r="FX5">
        <v>88</v>
      </c>
      <c r="FY5" s="2"/>
      <c r="FZ5">
        <f t="shared" si="30"/>
        <v>40</v>
      </c>
      <c r="GA5" t="s">
        <v>641</v>
      </c>
      <c r="GB5" t="s">
        <v>642</v>
      </c>
      <c r="GC5">
        <v>21.812246322631839</v>
      </c>
      <c r="GD5">
        <v>152</v>
      </c>
      <c r="GE5" s="1"/>
      <c r="GF5">
        <f t="shared" si="31"/>
        <v>21</v>
      </c>
      <c r="GG5" t="s">
        <v>643</v>
      </c>
      <c r="GH5" t="s">
        <v>644</v>
      </c>
      <c r="GI5">
        <v>11.75471138954163</v>
      </c>
      <c r="GJ5">
        <v>208</v>
      </c>
      <c r="GK5" s="2"/>
      <c r="GL5">
        <f t="shared" si="32"/>
        <v>22</v>
      </c>
      <c r="GM5" t="s">
        <v>645</v>
      </c>
      <c r="GN5" t="s">
        <v>646</v>
      </c>
      <c r="GO5">
        <v>17.43163013458252</v>
      </c>
      <c r="GP5">
        <v>74</v>
      </c>
      <c r="GQ5" s="1"/>
      <c r="GR5">
        <f t="shared" si="33"/>
        <v>33</v>
      </c>
      <c r="GS5" t="s">
        <v>647</v>
      </c>
      <c r="GT5" t="s">
        <v>648</v>
      </c>
      <c r="GU5">
        <v>12.80837178230286</v>
      </c>
      <c r="GV5">
        <v>98</v>
      </c>
      <c r="GW5" s="2"/>
      <c r="GX5">
        <f t="shared" si="34"/>
        <v>25</v>
      </c>
      <c r="GY5" t="s">
        <v>649</v>
      </c>
      <c r="GZ5" t="s">
        <v>650</v>
      </c>
      <c r="HA5">
        <v>5.4277768135070801</v>
      </c>
      <c r="HB5">
        <v>56</v>
      </c>
      <c r="HC5" s="1"/>
      <c r="HD5">
        <f t="shared" si="35"/>
        <v>51</v>
      </c>
      <c r="HE5" t="s">
        <v>651</v>
      </c>
      <c r="HF5" t="s">
        <v>652</v>
      </c>
      <c r="HG5">
        <v>18.56271576881409</v>
      </c>
      <c r="HH5">
        <v>129</v>
      </c>
      <c r="HI5" s="2"/>
      <c r="HJ5">
        <f t="shared" si="36"/>
        <v>31</v>
      </c>
      <c r="HK5" t="s">
        <v>653</v>
      </c>
      <c r="HL5" t="s">
        <v>654</v>
      </c>
      <c r="HM5">
        <v>19.395167589187619</v>
      </c>
      <c r="HN5">
        <v>70</v>
      </c>
      <c r="HO5" s="1"/>
      <c r="HP5">
        <f t="shared" si="37"/>
        <v>47</v>
      </c>
      <c r="HQ5" t="s">
        <v>655</v>
      </c>
      <c r="HR5" t="s">
        <v>656</v>
      </c>
      <c r="HS5">
        <v>21.579044580459591</v>
      </c>
      <c r="HT5">
        <v>151</v>
      </c>
      <c r="HU5" s="2"/>
      <c r="HV5">
        <f t="shared" si="38"/>
        <v>34</v>
      </c>
      <c r="HW5" t="s">
        <v>657</v>
      </c>
      <c r="HX5" t="s">
        <v>658</v>
      </c>
      <c r="HY5">
        <v>12.92967653274536</v>
      </c>
      <c r="HZ5">
        <v>92</v>
      </c>
      <c r="IA5" s="1"/>
      <c r="IB5">
        <f t="shared" si="39"/>
        <v>36</v>
      </c>
      <c r="IC5" t="s">
        <v>659</v>
      </c>
      <c r="ID5" t="s">
        <v>660</v>
      </c>
      <c r="IE5">
        <v>22.044869422912601</v>
      </c>
      <c r="IF5">
        <v>150</v>
      </c>
      <c r="IG5" s="2"/>
      <c r="IH5">
        <f t="shared" si="40"/>
        <v>24</v>
      </c>
      <c r="II5" t="s">
        <v>661</v>
      </c>
      <c r="IJ5" t="s">
        <v>662</v>
      </c>
      <c r="IK5">
        <v>14.336560010910031</v>
      </c>
      <c r="IL5">
        <v>82</v>
      </c>
      <c r="IM5" s="1"/>
      <c r="IN5">
        <f t="shared" si="41"/>
        <v>70</v>
      </c>
      <c r="IO5" t="s">
        <v>663</v>
      </c>
      <c r="IP5" t="s">
        <v>664</v>
      </c>
      <c r="IQ5">
        <v>46.340876340866089</v>
      </c>
      <c r="IR5">
        <v>238</v>
      </c>
      <c r="IS5" s="2"/>
      <c r="IT5">
        <f t="shared" si="42"/>
        <v>59</v>
      </c>
      <c r="IU5" t="s">
        <v>665</v>
      </c>
      <c r="IV5" t="s">
        <v>666</v>
      </c>
      <c r="IW5">
        <v>19.29387283325195</v>
      </c>
      <c r="IX5">
        <v>167</v>
      </c>
      <c r="IY5" s="1"/>
      <c r="IZ5">
        <f t="shared" si="43"/>
        <v>45</v>
      </c>
      <c r="JA5" t="s">
        <v>667</v>
      </c>
      <c r="JB5" t="s">
        <v>668</v>
      </c>
      <c r="JC5">
        <v>15.721382141113279</v>
      </c>
      <c r="JD5">
        <v>113</v>
      </c>
      <c r="JE5" s="2"/>
      <c r="JF5">
        <f t="shared" si="44"/>
        <v>33</v>
      </c>
      <c r="JG5" t="s">
        <v>669</v>
      </c>
      <c r="JH5" t="s">
        <v>670</v>
      </c>
      <c r="JI5">
        <v>10.58923768997192</v>
      </c>
      <c r="JJ5">
        <v>84</v>
      </c>
      <c r="JK5" s="1"/>
      <c r="JL5">
        <f t="shared" si="45"/>
        <v>32</v>
      </c>
      <c r="JM5" t="s">
        <v>671</v>
      </c>
      <c r="JN5" t="s">
        <v>672</v>
      </c>
      <c r="JO5">
        <v>17.576062440872189</v>
      </c>
      <c r="JP5">
        <v>98</v>
      </c>
      <c r="JQ5" s="2"/>
      <c r="JR5">
        <f t="shared" si="46"/>
        <v>14</v>
      </c>
      <c r="JS5" t="s">
        <v>673</v>
      </c>
      <c r="JT5" t="s">
        <v>674</v>
      </c>
      <c r="JU5">
        <v>2.6182410717010498</v>
      </c>
      <c r="JV5">
        <v>48</v>
      </c>
      <c r="JW5" s="1"/>
      <c r="JX5">
        <f t="shared" si="47"/>
        <v>62</v>
      </c>
      <c r="JY5" t="s">
        <v>675</v>
      </c>
      <c r="JZ5" t="s">
        <v>676</v>
      </c>
      <c r="KA5">
        <v>106.0402042865753</v>
      </c>
      <c r="KB5">
        <v>119</v>
      </c>
      <c r="KC5" s="2"/>
      <c r="KD5">
        <f t="shared" si="48"/>
        <v>73</v>
      </c>
      <c r="KE5" t="s">
        <v>677</v>
      </c>
      <c r="KF5" t="s">
        <v>678</v>
      </c>
      <c r="KG5">
        <v>102.60512089729311</v>
      </c>
      <c r="KH5">
        <v>127</v>
      </c>
      <c r="KI5" s="1"/>
      <c r="KJ5">
        <f t="shared" si="49"/>
        <v>32</v>
      </c>
      <c r="KK5" t="s">
        <v>679</v>
      </c>
      <c r="KL5" t="s">
        <v>680</v>
      </c>
      <c r="KM5">
        <v>28.982851028442379</v>
      </c>
      <c r="KN5">
        <v>130</v>
      </c>
      <c r="KO5" s="2"/>
      <c r="KP5">
        <f t="shared" si="50"/>
        <v>28</v>
      </c>
      <c r="KQ5" t="s">
        <v>139</v>
      </c>
      <c r="KR5" t="s">
        <v>681</v>
      </c>
      <c r="KS5">
        <v>5.6210525035858154</v>
      </c>
      <c r="KT5">
        <v>115</v>
      </c>
      <c r="KU5" s="1"/>
      <c r="KV5">
        <f t="shared" si="51"/>
        <v>35</v>
      </c>
      <c r="KW5" t="s">
        <v>682</v>
      </c>
      <c r="KX5" t="s">
        <v>683</v>
      </c>
      <c r="KY5">
        <v>28.778788805007931</v>
      </c>
      <c r="KZ5">
        <v>114</v>
      </c>
      <c r="LA5" s="2"/>
      <c r="LB5">
        <f t="shared" si="52"/>
        <v>68</v>
      </c>
      <c r="LC5" t="s">
        <v>684</v>
      </c>
      <c r="LD5" t="s">
        <v>685</v>
      </c>
      <c r="LE5">
        <v>43.150321483612061</v>
      </c>
      <c r="LF5">
        <v>147</v>
      </c>
      <c r="LG5" s="1"/>
      <c r="LH5">
        <f t="shared" si="53"/>
        <v>66</v>
      </c>
      <c r="LI5" t="s">
        <v>686</v>
      </c>
      <c r="LJ5" t="s">
        <v>687</v>
      </c>
      <c r="LK5">
        <v>37.290450811386108</v>
      </c>
      <c r="LL5">
        <v>182</v>
      </c>
      <c r="LM5" s="2"/>
      <c r="LN5">
        <f t="shared" si="54"/>
        <v>30</v>
      </c>
      <c r="LO5" t="s">
        <v>688</v>
      </c>
      <c r="LP5" t="s">
        <v>689</v>
      </c>
      <c r="LQ5">
        <v>6.2656161785125732</v>
      </c>
      <c r="LR5">
        <v>84</v>
      </c>
      <c r="LS5" s="1"/>
      <c r="LT5">
        <f t="shared" si="55"/>
        <v>25</v>
      </c>
      <c r="LU5" t="s">
        <v>690</v>
      </c>
      <c r="LV5" t="s">
        <v>691</v>
      </c>
      <c r="LW5">
        <v>25.065893650054932</v>
      </c>
      <c r="LX5">
        <v>80</v>
      </c>
      <c r="LY5" s="2"/>
      <c r="LZ5">
        <f t="shared" si="56"/>
        <v>24</v>
      </c>
      <c r="MA5" t="s">
        <v>692</v>
      </c>
      <c r="MB5" t="s">
        <v>693</v>
      </c>
      <c r="MC5">
        <v>8.8885829448699951</v>
      </c>
      <c r="MD5">
        <v>76</v>
      </c>
      <c r="ME5" s="1"/>
      <c r="MF5">
        <f t="shared" si="57"/>
        <v>24</v>
      </c>
      <c r="MG5" t="s">
        <v>694</v>
      </c>
      <c r="MH5" t="s">
        <v>695</v>
      </c>
      <c r="MI5">
        <v>12.26779007911682</v>
      </c>
      <c r="MJ5">
        <v>92</v>
      </c>
      <c r="MK5" s="2"/>
      <c r="ML5">
        <f t="shared" si="58"/>
        <v>28</v>
      </c>
      <c r="MM5" t="s">
        <v>696</v>
      </c>
      <c r="MN5" t="s">
        <v>697</v>
      </c>
      <c r="MO5">
        <v>6.0389406681060791</v>
      </c>
      <c r="MP5">
        <v>104</v>
      </c>
      <c r="MQ5" s="1"/>
      <c r="MR5">
        <f t="shared" si="59"/>
        <v>36</v>
      </c>
      <c r="MS5" t="s">
        <v>698</v>
      </c>
      <c r="MT5" t="s">
        <v>699</v>
      </c>
      <c r="MU5">
        <v>50.197752714157097</v>
      </c>
      <c r="MV5">
        <v>103</v>
      </c>
      <c r="MW5" s="2"/>
      <c r="MX5">
        <f t="shared" si="60"/>
        <v>38</v>
      </c>
      <c r="MY5" t="s">
        <v>700</v>
      </c>
      <c r="MZ5" t="s">
        <v>701</v>
      </c>
      <c r="NA5">
        <v>12.874937772750849</v>
      </c>
      <c r="NB5">
        <v>97</v>
      </c>
      <c r="NC5" s="1"/>
      <c r="ND5">
        <f t="shared" si="61"/>
        <v>0</v>
      </c>
      <c r="NF5" t="s">
        <v>702</v>
      </c>
      <c r="NG5">
        <v>17.84359502792358</v>
      </c>
      <c r="NH5">
        <v>52</v>
      </c>
      <c r="NI5" s="2"/>
      <c r="NJ5">
        <f t="shared" si="62"/>
        <v>27</v>
      </c>
      <c r="NK5" t="s">
        <v>703</v>
      </c>
      <c r="NL5" t="s">
        <v>704</v>
      </c>
      <c r="NM5">
        <v>7.007054328918457</v>
      </c>
      <c r="NN5">
        <v>62</v>
      </c>
      <c r="NO5" s="1"/>
      <c r="NP5">
        <f t="shared" si="63"/>
        <v>28</v>
      </c>
      <c r="NQ5" t="s">
        <v>705</v>
      </c>
      <c r="NR5" t="s">
        <v>706</v>
      </c>
      <c r="NS5">
        <v>24.827150344848629</v>
      </c>
      <c r="NT5">
        <v>112</v>
      </c>
      <c r="NU5" s="2"/>
      <c r="NV5">
        <f t="shared" si="64"/>
        <v>25</v>
      </c>
      <c r="NW5" t="s">
        <v>707</v>
      </c>
      <c r="NX5" t="s">
        <v>708</v>
      </c>
      <c r="NY5">
        <v>15.18120670318604</v>
      </c>
      <c r="NZ5">
        <v>103</v>
      </c>
      <c r="OA5" s="1"/>
      <c r="OB5">
        <f t="shared" si="65"/>
        <v>8</v>
      </c>
      <c r="OC5" t="s">
        <v>709</v>
      </c>
      <c r="OD5" t="s">
        <v>710</v>
      </c>
      <c r="OE5">
        <v>48.720896005630493</v>
      </c>
      <c r="OF5">
        <v>60</v>
      </c>
      <c r="OG5" s="2"/>
      <c r="OH5">
        <f t="shared" si="66"/>
        <v>34</v>
      </c>
      <c r="OI5" t="s">
        <v>711</v>
      </c>
      <c r="OJ5" t="s">
        <v>712</v>
      </c>
      <c r="OK5">
        <v>11.31042385101318</v>
      </c>
      <c r="OL5">
        <v>126</v>
      </c>
      <c r="OM5" s="1"/>
      <c r="ON5">
        <f t="shared" si="67"/>
        <v>52</v>
      </c>
      <c r="OO5" t="s">
        <v>713</v>
      </c>
      <c r="OP5" t="s">
        <v>714</v>
      </c>
      <c r="OQ5">
        <v>21.372200727462769</v>
      </c>
      <c r="OR5">
        <v>107</v>
      </c>
      <c r="OS5" s="2"/>
      <c r="OT5">
        <f t="shared" si="68"/>
        <v>25</v>
      </c>
      <c r="OU5" t="s">
        <v>715</v>
      </c>
      <c r="OV5" t="s">
        <v>716</v>
      </c>
      <c r="OW5">
        <v>2.7242105007171631</v>
      </c>
      <c r="OX5">
        <v>90</v>
      </c>
      <c r="OY5" s="1"/>
      <c r="OZ5">
        <f t="shared" si="69"/>
        <v>26</v>
      </c>
      <c r="PA5" t="s">
        <v>717</v>
      </c>
      <c r="PB5" t="s">
        <v>718</v>
      </c>
      <c r="PC5">
        <v>22.202454328536991</v>
      </c>
      <c r="PD5">
        <v>89</v>
      </c>
      <c r="PE5" s="2"/>
      <c r="PF5">
        <f t="shared" si="70"/>
        <v>40</v>
      </c>
      <c r="PG5" t="s">
        <v>476</v>
      </c>
      <c r="PH5" t="s">
        <v>719</v>
      </c>
      <c r="PI5">
        <v>10.353837490081791</v>
      </c>
      <c r="PJ5">
        <v>95</v>
      </c>
      <c r="PK5" s="1"/>
      <c r="PL5">
        <f t="shared" si="71"/>
        <v>28</v>
      </c>
      <c r="PM5" t="s">
        <v>720</v>
      </c>
      <c r="PN5" t="s">
        <v>721</v>
      </c>
      <c r="PO5">
        <v>32.168896198272712</v>
      </c>
      <c r="PP5">
        <v>90</v>
      </c>
      <c r="PQ5" s="2"/>
      <c r="PR5">
        <f t="shared" si="72"/>
        <v>45</v>
      </c>
      <c r="PS5" t="s">
        <v>722</v>
      </c>
      <c r="PT5" t="s">
        <v>723</v>
      </c>
      <c r="PU5">
        <v>22.883143424987789</v>
      </c>
      <c r="PV5">
        <v>145</v>
      </c>
      <c r="PW5" s="1"/>
      <c r="PX5">
        <f t="shared" si="73"/>
        <v>27</v>
      </c>
      <c r="PY5" t="s">
        <v>724</v>
      </c>
      <c r="PZ5" t="s">
        <v>725</v>
      </c>
      <c r="QA5">
        <v>39.703194379806519</v>
      </c>
      <c r="QB5">
        <v>141</v>
      </c>
      <c r="QC5" s="2"/>
      <c r="QD5">
        <f t="shared" si="74"/>
        <v>39</v>
      </c>
      <c r="QE5" t="s">
        <v>726</v>
      </c>
      <c r="QF5" t="s">
        <v>727</v>
      </c>
      <c r="QG5">
        <v>6.0447077751159668</v>
      </c>
      <c r="QH5">
        <v>124</v>
      </c>
      <c r="QI5" s="1"/>
      <c r="QJ5">
        <f t="shared" si="75"/>
        <v>24</v>
      </c>
      <c r="QK5" t="s">
        <v>728</v>
      </c>
      <c r="QL5" t="s">
        <v>729</v>
      </c>
      <c r="QM5">
        <v>12.48310875892639</v>
      </c>
      <c r="QN5">
        <v>100</v>
      </c>
      <c r="QO5" s="2"/>
      <c r="QP5">
        <f t="shared" si="76"/>
        <v>40</v>
      </c>
      <c r="QQ5" t="s">
        <v>730</v>
      </c>
      <c r="QR5" t="s">
        <v>731</v>
      </c>
      <c r="QS5">
        <v>18.10570216178894</v>
      </c>
      <c r="QT5">
        <v>88</v>
      </c>
      <c r="QU5" s="1"/>
      <c r="QV5">
        <f t="shared" si="77"/>
        <v>51</v>
      </c>
      <c r="QW5" t="s">
        <v>732</v>
      </c>
      <c r="QX5" t="s">
        <v>733</v>
      </c>
      <c r="QY5">
        <v>28.87688684463501</v>
      </c>
      <c r="QZ5">
        <v>151</v>
      </c>
      <c r="RA5" s="2"/>
      <c r="RB5">
        <f t="shared" si="78"/>
        <v>79</v>
      </c>
      <c r="RC5" t="s">
        <v>734</v>
      </c>
      <c r="RD5" t="s">
        <v>735</v>
      </c>
      <c r="RE5">
        <v>195.69442129135129</v>
      </c>
      <c r="RF5">
        <v>149</v>
      </c>
      <c r="RG5" s="1"/>
      <c r="RH5">
        <f t="shared" si="79"/>
        <v>79</v>
      </c>
      <c r="RI5" t="s">
        <v>736</v>
      </c>
      <c r="RJ5" t="s">
        <v>737</v>
      </c>
      <c r="RK5">
        <v>60.212843179702759</v>
      </c>
      <c r="RL5">
        <v>122</v>
      </c>
      <c r="RM5" s="2"/>
      <c r="RN5">
        <f t="shared" si="80"/>
        <v>120</v>
      </c>
      <c r="RO5" t="s">
        <v>738</v>
      </c>
      <c r="RP5" t="s">
        <v>739</v>
      </c>
      <c r="RQ5">
        <v>39.601058721542358</v>
      </c>
      <c r="RR5">
        <v>208</v>
      </c>
      <c r="RS5" s="1"/>
      <c r="RT5">
        <f t="shared" si="81"/>
        <v>56</v>
      </c>
      <c r="RU5" t="s">
        <v>740</v>
      </c>
      <c r="RV5" t="s">
        <v>741</v>
      </c>
      <c r="RW5">
        <v>56.493515491485603</v>
      </c>
      <c r="RX5">
        <v>168</v>
      </c>
      <c r="RY5" s="2"/>
      <c r="RZ5">
        <f t="shared" si="82"/>
        <v>23</v>
      </c>
      <c r="SA5" t="s">
        <v>742</v>
      </c>
      <c r="SB5" t="s">
        <v>743</v>
      </c>
      <c r="SC5">
        <v>3.6312944889068599</v>
      </c>
      <c r="SD5">
        <v>132</v>
      </c>
      <c r="SE5" s="1"/>
      <c r="SF5">
        <f t="shared" si="83"/>
        <v>36</v>
      </c>
      <c r="SG5" t="s">
        <v>744</v>
      </c>
      <c r="SH5" t="s">
        <v>745</v>
      </c>
      <c r="SI5">
        <v>38.528696537017822</v>
      </c>
      <c r="SJ5">
        <v>101</v>
      </c>
      <c r="SK5" s="2"/>
      <c r="SL5">
        <f t="shared" si="84"/>
        <v>46</v>
      </c>
      <c r="SM5" t="s">
        <v>746</v>
      </c>
      <c r="SN5" t="s">
        <v>747</v>
      </c>
      <c r="SO5">
        <v>8.9950728416442871</v>
      </c>
      <c r="SP5">
        <v>94</v>
      </c>
      <c r="SQ5" s="1"/>
      <c r="SR5">
        <f t="shared" si="85"/>
        <v>80</v>
      </c>
      <c r="SS5" t="s">
        <v>748</v>
      </c>
      <c r="ST5" t="s">
        <v>749</v>
      </c>
      <c r="SU5">
        <v>51.654689311981201</v>
      </c>
      <c r="SV5">
        <v>176</v>
      </c>
      <c r="SW5" s="2"/>
      <c r="SX5">
        <f t="shared" si="86"/>
        <v>21</v>
      </c>
      <c r="SY5" t="s">
        <v>750</v>
      </c>
      <c r="SZ5" t="s">
        <v>751</v>
      </c>
      <c r="TA5">
        <v>9.2086615562438965</v>
      </c>
      <c r="TB5">
        <v>69</v>
      </c>
      <c r="TC5" s="1"/>
      <c r="TD5">
        <f t="shared" si="87"/>
        <v>44</v>
      </c>
      <c r="TE5" t="s">
        <v>752</v>
      </c>
      <c r="TF5" t="s">
        <v>753</v>
      </c>
      <c r="TG5">
        <v>22.961746215820309</v>
      </c>
      <c r="TH5">
        <v>94</v>
      </c>
      <c r="TI5" s="2"/>
      <c r="TJ5">
        <f t="shared" si="88"/>
        <v>38</v>
      </c>
      <c r="TK5" t="s">
        <v>754</v>
      </c>
      <c r="TL5" t="s">
        <v>755</v>
      </c>
      <c r="TM5">
        <v>42.547325134277337</v>
      </c>
      <c r="TN5">
        <v>175</v>
      </c>
      <c r="TO5" s="1"/>
      <c r="TP5">
        <f t="shared" si="89"/>
        <v>26</v>
      </c>
      <c r="TQ5" t="s">
        <v>756</v>
      </c>
      <c r="TR5" t="s">
        <v>757</v>
      </c>
      <c r="TS5">
        <v>13.212200403213499</v>
      </c>
      <c r="TT5">
        <v>58</v>
      </c>
      <c r="TU5" s="2"/>
      <c r="TV5">
        <f t="shared" si="90"/>
        <v>42</v>
      </c>
      <c r="TW5" t="s">
        <v>758</v>
      </c>
      <c r="TX5" t="s">
        <v>759</v>
      </c>
      <c r="TY5">
        <v>13.884252786636351</v>
      </c>
      <c r="TZ5">
        <v>129</v>
      </c>
      <c r="UA5" s="1"/>
      <c r="UB5">
        <f t="shared" si="91"/>
        <v>18</v>
      </c>
      <c r="UC5" t="s">
        <v>760</v>
      </c>
      <c r="UD5" t="s">
        <v>761</v>
      </c>
      <c r="UE5">
        <v>10.345661401748661</v>
      </c>
      <c r="UF5">
        <v>107</v>
      </c>
      <c r="UG5" s="2"/>
      <c r="UH5">
        <f t="shared" si="92"/>
        <v>26</v>
      </c>
      <c r="UI5" t="s">
        <v>762</v>
      </c>
      <c r="UJ5" t="s">
        <v>763</v>
      </c>
      <c r="UK5">
        <v>3.607129812240601</v>
      </c>
      <c r="UL5">
        <v>66</v>
      </c>
      <c r="UM5" s="1"/>
      <c r="UN5">
        <f t="shared" si="93"/>
        <v>24</v>
      </c>
      <c r="UO5" t="s">
        <v>764</v>
      </c>
      <c r="UP5" t="s">
        <v>765</v>
      </c>
      <c r="UQ5">
        <v>34.27773118019104</v>
      </c>
      <c r="UR5">
        <v>128</v>
      </c>
      <c r="US5" s="2"/>
      <c r="UT5">
        <f t="shared" si="94"/>
        <v>36</v>
      </c>
      <c r="UU5" t="s">
        <v>766</v>
      </c>
      <c r="UV5" t="s">
        <v>767</v>
      </c>
      <c r="UW5">
        <v>7.2667579650878906</v>
      </c>
      <c r="UX5">
        <v>56</v>
      </c>
      <c r="UY5" s="1"/>
      <c r="UZ5">
        <f t="shared" si="95"/>
        <v>27</v>
      </c>
      <c r="VA5" t="s">
        <v>768</v>
      </c>
      <c r="VB5" t="s">
        <v>769</v>
      </c>
      <c r="VC5">
        <v>48.370846033096313</v>
      </c>
      <c r="VD5">
        <v>95</v>
      </c>
      <c r="VE5" s="2"/>
      <c r="VF5">
        <f t="shared" si="96"/>
        <v>23</v>
      </c>
      <c r="VG5" t="s">
        <v>770</v>
      </c>
      <c r="VH5" t="s">
        <v>771</v>
      </c>
      <c r="VI5">
        <v>3.0961780548095699</v>
      </c>
      <c r="VJ5">
        <v>137</v>
      </c>
      <c r="VK5" s="1"/>
      <c r="VL5">
        <f t="shared" si="97"/>
        <v>37</v>
      </c>
      <c r="VM5" t="s">
        <v>772</v>
      </c>
      <c r="VN5" t="s">
        <v>773</v>
      </c>
      <c r="VO5">
        <v>34.206150054931641</v>
      </c>
      <c r="VP5">
        <v>115</v>
      </c>
      <c r="VQ5" s="2"/>
      <c r="VR5">
        <f t="shared" si="98"/>
        <v>23</v>
      </c>
      <c r="VS5" t="s">
        <v>774</v>
      </c>
      <c r="VT5" t="s">
        <v>775</v>
      </c>
      <c r="VU5">
        <v>3.4422798156738281</v>
      </c>
      <c r="VV5">
        <v>56</v>
      </c>
      <c r="VW5" s="1"/>
      <c r="VX5">
        <f t="shared" si="99"/>
        <v>115</v>
      </c>
      <c r="VY5" t="s">
        <v>776</v>
      </c>
      <c r="VZ5" t="s">
        <v>777</v>
      </c>
      <c r="WA5">
        <v>94.336045265197754</v>
      </c>
      <c r="WB5">
        <v>135</v>
      </c>
      <c r="WC5" s="2"/>
      <c r="WD5">
        <f t="shared" si="100"/>
        <v>36</v>
      </c>
      <c r="WE5" t="s">
        <v>778</v>
      </c>
      <c r="WF5" t="s">
        <v>779</v>
      </c>
      <c r="WG5">
        <v>8.8522863388061523</v>
      </c>
      <c r="WH5">
        <v>190</v>
      </c>
      <c r="WI5" s="1"/>
      <c r="WJ5">
        <f t="shared" si="101"/>
        <v>41</v>
      </c>
      <c r="WK5" t="s">
        <v>780</v>
      </c>
      <c r="WL5" t="s">
        <v>781</v>
      </c>
      <c r="WM5">
        <v>52.447800874710083</v>
      </c>
      <c r="WN5">
        <v>135</v>
      </c>
      <c r="WO5" s="4"/>
      <c r="WP5">
        <f t="shared" si="102"/>
        <v>81</v>
      </c>
      <c r="WQ5" t="s">
        <v>782</v>
      </c>
      <c r="WR5" t="s">
        <v>783</v>
      </c>
      <c r="WS5">
        <v>269.18509960174561</v>
      </c>
      <c r="WT5">
        <v>183</v>
      </c>
      <c r="WU5" s="3"/>
      <c r="WV5">
        <f t="shared" si="103"/>
        <v>74</v>
      </c>
      <c r="WW5" t="s">
        <v>784</v>
      </c>
      <c r="WX5" t="s">
        <v>785</v>
      </c>
      <c r="WY5">
        <v>44.424031734466553</v>
      </c>
      <c r="WZ5">
        <v>169</v>
      </c>
      <c r="XA5" s="2"/>
      <c r="XB5">
        <f t="shared" si="104"/>
        <v>70</v>
      </c>
      <c r="XC5" t="s">
        <v>786</v>
      </c>
      <c r="XD5" t="s">
        <v>787</v>
      </c>
      <c r="XE5">
        <v>34.436694145202637</v>
      </c>
      <c r="XF5">
        <v>118</v>
      </c>
      <c r="XG5" s="5"/>
      <c r="XH5">
        <f t="shared" si="105"/>
        <v>33</v>
      </c>
      <c r="XI5" t="s">
        <v>788</v>
      </c>
      <c r="XJ5" t="s">
        <v>789</v>
      </c>
      <c r="XK5">
        <v>17.81853461265564</v>
      </c>
      <c r="XL5">
        <v>107</v>
      </c>
      <c r="XM5" s="2"/>
      <c r="XN5">
        <f t="shared" si="106"/>
        <v>66</v>
      </c>
      <c r="XO5" t="s">
        <v>790</v>
      </c>
      <c r="XP5" t="s">
        <v>791</v>
      </c>
      <c r="XQ5">
        <v>30.885169506073002</v>
      </c>
      <c r="XR5">
        <v>109</v>
      </c>
      <c r="XS5" s="5"/>
      <c r="XT5">
        <f t="shared" si="107"/>
        <v>30</v>
      </c>
      <c r="XU5" t="s">
        <v>792</v>
      </c>
      <c r="XV5" t="s">
        <v>793</v>
      </c>
      <c r="XW5">
        <v>6.1664962768554688</v>
      </c>
      <c r="XX5">
        <v>96</v>
      </c>
      <c r="XY5" s="2"/>
      <c r="XZ5">
        <f t="shared" si="108"/>
        <v>0</v>
      </c>
      <c r="YB5" t="s">
        <v>794</v>
      </c>
      <c r="YC5">
        <v>11.32056999206543</v>
      </c>
      <c r="YD5">
        <v>79</v>
      </c>
      <c r="YE5" s="5"/>
      <c r="YF5">
        <f t="shared" si="109"/>
        <v>32</v>
      </c>
      <c r="YG5" t="s">
        <v>795</v>
      </c>
      <c r="YH5" t="s">
        <v>796</v>
      </c>
      <c r="YI5">
        <v>13.54311633110046</v>
      </c>
      <c r="YJ5">
        <v>76</v>
      </c>
      <c r="YK5" s="2"/>
      <c r="YL5">
        <f t="shared" si="110"/>
        <v>35</v>
      </c>
      <c r="YM5" t="s">
        <v>797</v>
      </c>
      <c r="YN5" t="s">
        <v>798</v>
      </c>
      <c r="YO5">
        <v>13.833253145217901</v>
      </c>
      <c r="YP5">
        <v>76</v>
      </c>
      <c r="YQ5" s="5"/>
      <c r="YR5">
        <f t="shared" si="111"/>
        <v>29</v>
      </c>
      <c r="YS5" t="s">
        <v>799</v>
      </c>
      <c r="YT5" t="s">
        <v>800</v>
      </c>
      <c r="YU5">
        <v>5.3591749668121338</v>
      </c>
      <c r="YV5">
        <v>164</v>
      </c>
      <c r="YW5" s="2"/>
      <c r="YX5">
        <f t="shared" si="112"/>
        <v>42</v>
      </c>
      <c r="YY5" t="s">
        <v>801</v>
      </c>
      <c r="YZ5" t="s">
        <v>802</v>
      </c>
      <c r="ZA5">
        <v>22.60156416893005</v>
      </c>
      <c r="ZB5">
        <v>67</v>
      </c>
      <c r="ZC5" s="5"/>
      <c r="ZD5">
        <f t="shared" si="113"/>
        <v>35</v>
      </c>
      <c r="ZE5" t="s">
        <v>803</v>
      </c>
      <c r="ZF5" t="s">
        <v>804</v>
      </c>
      <c r="ZG5">
        <v>38.174229145050049</v>
      </c>
      <c r="ZH5">
        <v>111</v>
      </c>
      <c r="ZI5" s="2"/>
      <c r="ZJ5">
        <f t="shared" si="114"/>
        <v>26</v>
      </c>
      <c r="ZK5" t="s">
        <v>805</v>
      </c>
      <c r="ZL5" t="s">
        <v>806</v>
      </c>
      <c r="ZM5">
        <v>13.146413803100589</v>
      </c>
      <c r="ZN5">
        <v>140</v>
      </c>
      <c r="ZO5" s="5"/>
      <c r="ZP5">
        <f t="shared" si="115"/>
        <v>107</v>
      </c>
      <c r="ZQ5" t="s">
        <v>807</v>
      </c>
      <c r="ZR5" t="s">
        <v>808</v>
      </c>
      <c r="ZS5">
        <v>29.72042608261108</v>
      </c>
      <c r="ZT5">
        <v>179</v>
      </c>
      <c r="ZU5" s="2"/>
      <c r="ZV5">
        <f t="shared" si="116"/>
        <v>31</v>
      </c>
      <c r="ZW5" t="s">
        <v>671</v>
      </c>
      <c r="ZX5" t="s">
        <v>809</v>
      </c>
      <c r="ZY5">
        <v>26.120117425918579</v>
      </c>
      <c r="ZZ5">
        <v>69</v>
      </c>
      <c r="AAA5" s="5"/>
      <c r="AAB5">
        <f t="shared" si="117"/>
        <v>40</v>
      </c>
      <c r="AAC5" t="s">
        <v>810</v>
      </c>
      <c r="AAD5" t="s">
        <v>811</v>
      </c>
      <c r="AAE5">
        <v>11.79631018638611</v>
      </c>
      <c r="AAF5">
        <v>101</v>
      </c>
      <c r="AAG5" s="2"/>
      <c r="AAH5">
        <f t="shared" si="118"/>
        <v>21</v>
      </c>
      <c r="AAI5" t="s">
        <v>812</v>
      </c>
      <c r="AAJ5" t="s">
        <v>813</v>
      </c>
      <c r="AAK5">
        <v>20.397366046905521</v>
      </c>
      <c r="AAL5">
        <v>141</v>
      </c>
      <c r="AAM5" s="5"/>
      <c r="AAN5">
        <f t="shared" si="119"/>
        <v>36</v>
      </c>
      <c r="AAO5" t="s">
        <v>814</v>
      </c>
      <c r="AAP5" t="s">
        <v>815</v>
      </c>
      <c r="AAQ5">
        <v>30.02248311042786</v>
      </c>
      <c r="AAR5">
        <v>117</v>
      </c>
      <c r="AAS5" s="2"/>
      <c r="AAT5">
        <f t="shared" si="120"/>
        <v>44</v>
      </c>
      <c r="AAU5" t="s">
        <v>816</v>
      </c>
      <c r="AAV5" t="s">
        <v>817</v>
      </c>
      <c r="AAW5">
        <v>50.559164524078369</v>
      </c>
      <c r="AAX5">
        <v>136</v>
      </c>
      <c r="AAY5" s="5"/>
      <c r="AAZ5">
        <f t="shared" si="121"/>
        <v>60</v>
      </c>
      <c r="ABA5" t="s">
        <v>818</v>
      </c>
      <c r="ABB5" t="s">
        <v>819</v>
      </c>
      <c r="ABC5">
        <v>27.408711194992069</v>
      </c>
      <c r="ABD5">
        <v>123</v>
      </c>
      <c r="ABE5" s="2"/>
      <c r="ABF5">
        <f t="shared" si="122"/>
        <v>34</v>
      </c>
      <c r="ABG5" t="s">
        <v>820</v>
      </c>
      <c r="ABH5" t="s">
        <v>821</v>
      </c>
      <c r="ABI5">
        <v>36.874669075012207</v>
      </c>
      <c r="ABJ5">
        <v>50</v>
      </c>
      <c r="ABK5" s="5"/>
      <c r="ABL5">
        <f t="shared" si="123"/>
        <v>98</v>
      </c>
      <c r="ABM5" t="s">
        <v>822</v>
      </c>
      <c r="ABN5" t="s">
        <v>823</v>
      </c>
      <c r="ABO5">
        <v>38.14094090461731</v>
      </c>
      <c r="ABP5">
        <v>183</v>
      </c>
      <c r="ABQ5" s="2"/>
      <c r="ABR5">
        <f t="shared" si="124"/>
        <v>84</v>
      </c>
      <c r="ABS5" t="s">
        <v>824</v>
      </c>
      <c r="ABT5" t="s">
        <v>825</v>
      </c>
      <c r="ABU5">
        <v>17.133695840835571</v>
      </c>
      <c r="ABV5">
        <v>148</v>
      </c>
      <c r="ABW5" s="5"/>
      <c r="ABX5">
        <f t="shared" si="125"/>
        <v>30</v>
      </c>
      <c r="ABY5" t="s">
        <v>826</v>
      </c>
      <c r="ABZ5" t="s">
        <v>827</v>
      </c>
      <c r="ACA5">
        <v>15.098849773406981</v>
      </c>
      <c r="ACB5">
        <v>91</v>
      </c>
      <c r="ACC5" s="2"/>
      <c r="ACD5">
        <f t="shared" si="126"/>
        <v>65</v>
      </c>
      <c r="ACE5" t="s">
        <v>828</v>
      </c>
      <c r="ACF5" t="s">
        <v>829</v>
      </c>
      <c r="ACG5">
        <v>45.14674973487854</v>
      </c>
      <c r="ACH5">
        <v>69</v>
      </c>
      <c r="ACI5" s="5"/>
      <c r="ACJ5">
        <f t="shared" si="127"/>
        <v>50</v>
      </c>
      <c r="ACK5" t="s">
        <v>830</v>
      </c>
      <c r="ACL5" t="s">
        <v>831</v>
      </c>
      <c r="ACM5">
        <v>8.4338822364807129</v>
      </c>
      <c r="ACN5">
        <v>200</v>
      </c>
      <c r="ACO5" s="2"/>
      <c r="ACP5">
        <f t="shared" si="128"/>
        <v>66</v>
      </c>
      <c r="ACQ5" t="s">
        <v>832</v>
      </c>
      <c r="ACR5" t="s">
        <v>833</v>
      </c>
      <c r="ACS5">
        <v>22.743035316467289</v>
      </c>
      <c r="ACT5">
        <v>162</v>
      </c>
      <c r="ACU5" s="5"/>
      <c r="ACV5">
        <f t="shared" si="129"/>
        <v>37</v>
      </c>
      <c r="ACW5" t="s">
        <v>764</v>
      </c>
      <c r="ACX5" t="s">
        <v>834</v>
      </c>
      <c r="ACY5">
        <v>6.3873527050018311</v>
      </c>
      <c r="ACZ5">
        <v>174</v>
      </c>
      <c r="ADA5" s="2"/>
      <c r="ADB5">
        <f t="shared" si="130"/>
        <v>30</v>
      </c>
      <c r="ADC5" t="s">
        <v>835</v>
      </c>
      <c r="ADD5" t="s">
        <v>836</v>
      </c>
      <c r="ADE5">
        <v>20.73869252204895</v>
      </c>
      <c r="ADF5">
        <v>86</v>
      </c>
      <c r="ADG5" s="5"/>
      <c r="ADH5">
        <f t="shared" si="131"/>
        <v>33</v>
      </c>
      <c r="ADI5" t="s">
        <v>837</v>
      </c>
      <c r="ADJ5" t="s">
        <v>838</v>
      </c>
      <c r="ADK5">
        <v>5.8579845428466797</v>
      </c>
      <c r="ADL5">
        <v>75</v>
      </c>
      <c r="ADM5" s="2"/>
      <c r="ADN5">
        <f t="shared" si="132"/>
        <v>70</v>
      </c>
      <c r="ADO5" t="s">
        <v>839</v>
      </c>
      <c r="ADP5" t="s">
        <v>840</v>
      </c>
      <c r="ADQ5">
        <v>26.803284883499149</v>
      </c>
      <c r="ADR5">
        <v>90</v>
      </c>
      <c r="ADS5" s="5"/>
      <c r="ADT5">
        <f t="shared" si="133"/>
        <v>33</v>
      </c>
      <c r="ADU5" t="s">
        <v>841</v>
      </c>
      <c r="ADV5" t="s">
        <v>842</v>
      </c>
      <c r="ADW5">
        <v>11.73318123817444</v>
      </c>
      <c r="ADX5">
        <v>103</v>
      </c>
      <c r="ADY5" s="2"/>
      <c r="ADZ5">
        <f t="shared" si="134"/>
        <v>43</v>
      </c>
      <c r="AEA5" t="s">
        <v>843</v>
      </c>
      <c r="AEB5" t="s">
        <v>844</v>
      </c>
      <c r="AEC5">
        <v>16.005018472671509</v>
      </c>
      <c r="AED5">
        <v>108</v>
      </c>
      <c r="AEE5" s="5"/>
      <c r="AEF5">
        <f t="shared" si="135"/>
        <v>48</v>
      </c>
      <c r="AEG5" t="s">
        <v>845</v>
      </c>
      <c r="AEH5" t="s">
        <v>846</v>
      </c>
      <c r="AEI5">
        <v>15.534483671188349</v>
      </c>
      <c r="AEJ5">
        <v>84</v>
      </c>
      <c r="AEK5" s="2"/>
      <c r="AEL5">
        <f t="shared" si="136"/>
        <v>139</v>
      </c>
      <c r="AEM5" t="s">
        <v>847</v>
      </c>
      <c r="AEN5" t="s">
        <v>848</v>
      </c>
      <c r="AEO5">
        <v>128.6865291595459</v>
      </c>
      <c r="AEP5">
        <v>175</v>
      </c>
      <c r="AEQ5" s="5"/>
      <c r="AER5">
        <f t="shared" si="137"/>
        <v>36</v>
      </c>
      <c r="AES5" t="s">
        <v>849</v>
      </c>
      <c r="AET5" t="s">
        <v>850</v>
      </c>
      <c r="AEU5">
        <v>8.4013774394989014</v>
      </c>
      <c r="AEV5">
        <v>66</v>
      </c>
      <c r="AEW5" s="2"/>
      <c r="AEX5">
        <f t="shared" si="138"/>
        <v>23</v>
      </c>
      <c r="AEY5" t="s">
        <v>851</v>
      </c>
      <c r="AEZ5" t="s">
        <v>852</v>
      </c>
      <c r="AFA5">
        <v>14.66195368766785</v>
      </c>
      <c r="AFB5">
        <v>62</v>
      </c>
      <c r="AFC5" s="5"/>
      <c r="AFD5">
        <f t="shared" si="139"/>
        <v>19</v>
      </c>
      <c r="AFE5" t="s">
        <v>853</v>
      </c>
      <c r="AFF5" t="s">
        <v>854</v>
      </c>
      <c r="AFG5">
        <v>3.663368940353394</v>
      </c>
      <c r="AFH5">
        <v>58</v>
      </c>
      <c r="AFI5" s="2"/>
      <c r="AFJ5">
        <f t="shared" si="140"/>
        <v>33</v>
      </c>
      <c r="AFK5" t="s">
        <v>855</v>
      </c>
      <c r="AFL5" t="s">
        <v>856</v>
      </c>
      <c r="AFM5">
        <v>29.787309169769291</v>
      </c>
      <c r="AFN5">
        <v>145</v>
      </c>
      <c r="AFO5" s="5"/>
      <c r="AFP5">
        <f t="shared" si="141"/>
        <v>51</v>
      </c>
      <c r="AFQ5" t="s">
        <v>857</v>
      </c>
      <c r="AFR5" t="s">
        <v>858</v>
      </c>
      <c r="AFS5">
        <v>33.831305742263787</v>
      </c>
      <c r="AFT5">
        <v>97</v>
      </c>
      <c r="AFU5" s="2"/>
      <c r="AFV5">
        <f t="shared" si="142"/>
        <v>72</v>
      </c>
      <c r="AFW5" t="s">
        <v>859</v>
      </c>
      <c r="AFX5" t="s">
        <v>860</v>
      </c>
      <c r="AFY5">
        <v>48.025300264358521</v>
      </c>
      <c r="AFZ5">
        <v>108</v>
      </c>
      <c r="AGA5" s="5"/>
      <c r="AGB5">
        <f t="shared" si="143"/>
        <v>53</v>
      </c>
      <c r="AGC5" t="s">
        <v>10</v>
      </c>
      <c r="AGD5" t="s">
        <v>861</v>
      </c>
      <c r="AGE5">
        <v>27.18594408035278</v>
      </c>
      <c r="AGF5">
        <v>121</v>
      </c>
      <c r="AGG5" s="2"/>
      <c r="AGH5">
        <f t="shared" si="144"/>
        <v>42</v>
      </c>
      <c r="AGI5" t="s">
        <v>862</v>
      </c>
      <c r="AGJ5" t="s">
        <v>863</v>
      </c>
      <c r="AGK5">
        <v>28.11212849617004</v>
      </c>
      <c r="AGL5">
        <v>80</v>
      </c>
      <c r="AGM5" s="5"/>
      <c r="AGN5">
        <f t="shared" si="145"/>
        <v>36</v>
      </c>
      <c r="AGO5" t="s">
        <v>864</v>
      </c>
      <c r="AGP5" t="s">
        <v>865</v>
      </c>
      <c r="AGQ5">
        <v>14.3160936832428</v>
      </c>
      <c r="AGR5">
        <v>138</v>
      </c>
      <c r="AGS5" s="2"/>
      <c r="AGT5">
        <f t="shared" si="146"/>
        <v>17</v>
      </c>
      <c r="AGU5" t="s">
        <v>709</v>
      </c>
      <c r="AGV5" t="s">
        <v>866</v>
      </c>
      <c r="AGW5">
        <v>38.281133651733398</v>
      </c>
      <c r="AGX5">
        <v>68</v>
      </c>
      <c r="AGY5" s="5"/>
      <c r="AGZ5">
        <f t="shared" si="147"/>
        <v>29</v>
      </c>
      <c r="AHA5" t="s">
        <v>867</v>
      </c>
      <c r="AHB5" t="s">
        <v>868</v>
      </c>
      <c r="AHC5">
        <v>5.3987832069396973</v>
      </c>
      <c r="AHD5">
        <v>99</v>
      </c>
      <c r="AHE5" s="2"/>
      <c r="AHF5">
        <f t="shared" si="148"/>
        <v>21</v>
      </c>
      <c r="AHG5" t="s">
        <v>869</v>
      </c>
      <c r="AHH5" t="s">
        <v>870</v>
      </c>
      <c r="AHI5">
        <v>10.19870352745056</v>
      </c>
      <c r="AHJ5">
        <v>64</v>
      </c>
      <c r="AHK5" s="5"/>
      <c r="AHL5">
        <f t="shared" si="149"/>
        <v>61</v>
      </c>
      <c r="AHM5" t="s">
        <v>871</v>
      </c>
      <c r="AHN5" t="s">
        <v>872</v>
      </c>
      <c r="AHO5">
        <v>30.379796743392941</v>
      </c>
      <c r="AHP5">
        <v>106</v>
      </c>
      <c r="AHQ5" s="2"/>
      <c r="AHR5">
        <f t="shared" si="150"/>
        <v>30</v>
      </c>
      <c r="AHS5" t="s">
        <v>873</v>
      </c>
      <c r="AHT5" t="s">
        <v>874</v>
      </c>
      <c r="AHU5">
        <v>16.386477947235111</v>
      </c>
      <c r="AHV5">
        <v>98</v>
      </c>
      <c r="AHW5" s="5"/>
      <c r="AHX5">
        <f t="shared" si="151"/>
        <v>18</v>
      </c>
      <c r="AHY5" t="s">
        <v>875</v>
      </c>
      <c r="AHZ5" t="s">
        <v>876</v>
      </c>
      <c r="AIA5">
        <v>3.0850861072540279</v>
      </c>
      <c r="AIB5">
        <v>93</v>
      </c>
      <c r="AIC5" s="2"/>
      <c r="AID5">
        <f t="shared" si="152"/>
        <v>84</v>
      </c>
      <c r="AIE5" t="s">
        <v>877</v>
      </c>
      <c r="AIF5" t="s">
        <v>878</v>
      </c>
      <c r="AIG5">
        <v>23.27051830291748</v>
      </c>
      <c r="AIH5">
        <v>96</v>
      </c>
      <c r="AII5" s="5"/>
      <c r="AIJ5">
        <f t="shared" si="153"/>
        <v>29</v>
      </c>
      <c r="AIK5" t="s">
        <v>879</v>
      </c>
      <c r="AIL5" t="s">
        <v>880</v>
      </c>
      <c r="AIM5">
        <v>12.29551577568054</v>
      </c>
      <c r="AIN5">
        <v>74</v>
      </c>
      <c r="AIO5" s="2"/>
      <c r="AIP5">
        <f t="shared" si="154"/>
        <v>57</v>
      </c>
      <c r="AIQ5" t="s">
        <v>881</v>
      </c>
      <c r="AIR5" t="s">
        <v>882</v>
      </c>
      <c r="AIS5">
        <v>24.869481086730961</v>
      </c>
      <c r="AIT5">
        <v>105</v>
      </c>
      <c r="AIU5" s="5"/>
      <c r="AIV5">
        <f t="shared" si="155"/>
        <v>37</v>
      </c>
      <c r="AIW5" t="s">
        <v>883</v>
      </c>
      <c r="AIX5" t="s">
        <v>884</v>
      </c>
      <c r="AIY5">
        <v>11.148132085800169</v>
      </c>
      <c r="AIZ5">
        <v>116</v>
      </c>
      <c r="AJA5" s="2"/>
      <c r="AJB5">
        <f t="shared" si="156"/>
        <v>15</v>
      </c>
      <c r="AJC5" t="s">
        <v>885</v>
      </c>
      <c r="AJD5" t="s">
        <v>886</v>
      </c>
      <c r="AJE5">
        <v>31.717635154724121</v>
      </c>
      <c r="AJF5">
        <v>39</v>
      </c>
      <c r="AJG5" s="5"/>
      <c r="AJH5">
        <f t="shared" si="157"/>
        <v>24</v>
      </c>
      <c r="AJI5" t="s">
        <v>887</v>
      </c>
      <c r="AJJ5" t="s">
        <v>888</v>
      </c>
      <c r="AJK5">
        <v>10.13189125061035</v>
      </c>
      <c r="AJL5">
        <v>92</v>
      </c>
      <c r="AJM5" s="2"/>
      <c r="AJN5">
        <f t="shared" si="158"/>
        <v>84</v>
      </c>
      <c r="AJO5" t="s">
        <v>889</v>
      </c>
      <c r="AJP5" t="s">
        <v>890</v>
      </c>
      <c r="AJQ5">
        <v>34.030642747879028</v>
      </c>
      <c r="AJR5">
        <v>183</v>
      </c>
      <c r="AJS5" s="5"/>
      <c r="AJT5">
        <f t="shared" si="159"/>
        <v>48</v>
      </c>
      <c r="AJU5" t="s">
        <v>891</v>
      </c>
      <c r="AJV5" t="s">
        <v>892</v>
      </c>
      <c r="AJW5">
        <v>124.10159063339231</v>
      </c>
      <c r="AJX5">
        <v>216</v>
      </c>
      <c r="AJY5" s="2"/>
      <c r="AJZ5">
        <f t="shared" si="160"/>
        <v>153</v>
      </c>
      <c r="AKA5" t="s">
        <v>893</v>
      </c>
      <c r="AKB5" t="s">
        <v>894</v>
      </c>
      <c r="AKC5">
        <v>46.420868873596191</v>
      </c>
      <c r="AKD5">
        <v>199</v>
      </c>
      <c r="AKE5" s="5"/>
      <c r="AKF5">
        <f t="shared" si="161"/>
        <v>34</v>
      </c>
      <c r="AKG5" t="s">
        <v>895</v>
      </c>
      <c r="AKH5" t="s">
        <v>896</v>
      </c>
      <c r="AKI5">
        <v>17.506960391998291</v>
      </c>
      <c r="AKJ5">
        <v>125</v>
      </c>
      <c r="AKK5" s="2"/>
      <c r="AKL5">
        <f t="shared" si="162"/>
        <v>63</v>
      </c>
      <c r="AKM5" t="s">
        <v>897</v>
      </c>
      <c r="AKN5" t="s">
        <v>898</v>
      </c>
      <c r="AKO5">
        <v>212.98964238166809</v>
      </c>
      <c r="AKP5">
        <v>146</v>
      </c>
      <c r="AKQ5" s="5"/>
      <c r="AKR5">
        <f t="shared" si="163"/>
        <v>54</v>
      </c>
      <c r="AKS5" t="s">
        <v>899</v>
      </c>
      <c r="AKT5" t="s">
        <v>900</v>
      </c>
      <c r="AKU5">
        <v>20.641119718551639</v>
      </c>
      <c r="AKV5">
        <v>122</v>
      </c>
      <c r="AKW5" s="2"/>
      <c r="AKX5">
        <f t="shared" si="164"/>
        <v>71</v>
      </c>
      <c r="AKY5" t="s">
        <v>901</v>
      </c>
      <c r="AKZ5" t="s">
        <v>902</v>
      </c>
      <c r="ALA5">
        <v>66.844299077987671</v>
      </c>
      <c r="ALB5">
        <v>162</v>
      </c>
      <c r="ALC5" s="5"/>
      <c r="ALD5">
        <f t="shared" si="165"/>
        <v>30</v>
      </c>
      <c r="ALE5" t="s">
        <v>903</v>
      </c>
      <c r="ALF5" t="s">
        <v>904</v>
      </c>
      <c r="ALG5">
        <v>4.8862011432647714</v>
      </c>
      <c r="ALH5">
        <v>136</v>
      </c>
      <c r="ALI5" s="2"/>
      <c r="ALJ5">
        <f t="shared" si="166"/>
        <v>6</v>
      </c>
      <c r="ALK5" t="s">
        <v>905</v>
      </c>
      <c r="ALL5" t="s">
        <v>906</v>
      </c>
      <c r="ALM5">
        <v>19.908775568008419</v>
      </c>
      <c r="ALN5">
        <v>19</v>
      </c>
      <c r="ALO5" s="5"/>
      <c r="ALP5">
        <f t="shared" si="167"/>
        <v>11</v>
      </c>
      <c r="ALQ5" t="s">
        <v>643</v>
      </c>
      <c r="ALR5" t="s">
        <v>907</v>
      </c>
      <c r="ALS5">
        <v>1.652942895889282</v>
      </c>
      <c r="ALT5">
        <v>38</v>
      </c>
      <c r="ALU5" s="2"/>
      <c r="ALV5">
        <f t="shared" si="168"/>
        <v>79</v>
      </c>
      <c r="ALW5" t="s">
        <v>908</v>
      </c>
      <c r="ALX5" t="s">
        <v>909</v>
      </c>
      <c r="ALY5">
        <v>39.657194137573242</v>
      </c>
      <c r="ALZ5">
        <v>124</v>
      </c>
      <c r="AMA5" s="5"/>
      <c r="AMB5">
        <f t="shared" si="169"/>
        <v>35</v>
      </c>
      <c r="AMC5" t="s">
        <v>910</v>
      </c>
      <c r="AMD5" t="s">
        <v>911</v>
      </c>
      <c r="AME5">
        <v>10.1006760597229</v>
      </c>
      <c r="AMF5">
        <v>97</v>
      </c>
      <c r="AMG5" s="2"/>
      <c r="AMH5">
        <f t="shared" si="170"/>
        <v>19</v>
      </c>
      <c r="AMI5" t="s">
        <v>912</v>
      </c>
      <c r="AMJ5" t="s">
        <v>913</v>
      </c>
      <c r="AMK5">
        <v>19.919712781906131</v>
      </c>
      <c r="AML5">
        <v>173</v>
      </c>
      <c r="AMM5" s="5"/>
      <c r="AMN5">
        <f t="shared" si="171"/>
        <v>32</v>
      </c>
      <c r="AMO5" t="s">
        <v>914</v>
      </c>
      <c r="AMP5" t="s">
        <v>915</v>
      </c>
      <c r="AMQ5">
        <v>16.64836311340332</v>
      </c>
      <c r="AMR5">
        <v>156</v>
      </c>
      <c r="AMS5" s="2"/>
      <c r="AMT5">
        <f t="shared" si="172"/>
        <v>42</v>
      </c>
      <c r="AMU5" t="s">
        <v>916</v>
      </c>
      <c r="AMV5" t="s">
        <v>917</v>
      </c>
      <c r="AMW5">
        <v>44.193942785263062</v>
      </c>
      <c r="AMX5">
        <v>166</v>
      </c>
      <c r="AMY5" s="5"/>
      <c r="AMZ5">
        <f t="shared" si="173"/>
        <v>41</v>
      </c>
      <c r="ANA5" t="s">
        <v>918</v>
      </c>
      <c r="ANB5" t="s">
        <v>919</v>
      </c>
      <c r="ANC5">
        <v>17.019511222839359</v>
      </c>
      <c r="AND5">
        <v>109</v>
      </c>
      <c r="ANE5" s="2"/>
      <c r="ANF5">
        <f t="shared" si="174"/>
        <v>24</v>
      </c>
      <c r="ANG5" t="s">
        <v>920</v>
      </c>
      <c r="ANH5" t="s">
        <v>921</v>
      </c>
      <c r="ANI5">
        <v>18.795184850692749</v>
      </c>
      <c r="ANJ5">
        <v>54</v>
      </c>
      <c r="ANK5" s="5"/>
      <c r="ANL5">
        <f t="shared" si="175"/>
        <v>24</v>
      </c>
      <c r="ANM5" t="s">
        <v>922</v>
      </c>
      <c r="ANN5" t="s">
        <v>923</v>
      </c>
      <c r="ANO5">
        <v>9.9429218769073486</v>
      </c>
      <c r="ANP5">
        <v>71</v>
      </c>
      <c r="ANQ5" s="2"/>
      <c r="ANR5">
        <f t="shared" si="176"/>
        <v>37</v>
      </c>
      <c r="ANS5" t="s">
        <v>924</v>
      </c>
      <c r="ANT5" t="s">
        <v>925</v>
      </c>
      <c r="ANU5">
        <v>45.466452360153198</v>
      </c>
      <c r="ANV5">
        <v>69</v>
      </c>
      <c r="ANW5" s="5"/>
      <c r="ANX5">
        <f t="shared" si="177"/>
        <v>29</v>
      </c>
      <c r="ANY5" t="s">
        <v>728</v>
      </c>
      <c r="ANZ5" t="s">
        <v>926</v>
      </c>
      <c r="AOA5">
        <v>6.6054990291595459</v>
      </c>
      <c r="AOB5">
        <v>103</v>
      </c>
      <c r="AOC5" s="2"/>
      <c r="AOD5">
        <f t="shared" si="178"/>
        <v>62</v>
      </c>
      <c r="AOE5" t="s">
        <v>927</v>
      </c>
      <c r="AOF5" t="s">
        <v>928</v>
      </c>
      <c r="AOG5">
        <v>29.817046880722049</v>
      </c>
      <c r="AOH5">
        <v>115</v>
      </c>
      <c r="AOI5" s="5"/>
      <c r="AOJ5">
        <f t="shared" si="179"/>
        <v>51</v>
      </c>
      <c r="AOK5" t="s">
        <v>929</v>
      </c>
      <c r="AOL5" t="s">
        <v>930</v>
      </c>
      <c r="AOM5">
        <v>25.35640549659729</v>
      </c>
      <c r="AON5">
        <v>143</v>
      </c>
      <c r="AOO5" s="2"/>
      <c r="AOP5">
        <f t="shared" si="180"/>
        <v>78</v>
      </c>
      <c r="AOQ5" t="s">
        <v>931</v>
      </c>
      <c r="AOR5" t="s">
        <v>932</v>
      </c>
      <c r="AOS5">
        <v>331.46006917953491</v>
      </c>
      <c r="AOT5">
        <v>221</v>
      </c>
      <c r="AOU5" s="5"/>
      <c r="AOV5">
        <f t="shared" si="181"/>
        <v>47</v>
      </c>
      <c r="AOW5" t="s">
        <v>933</v>
      </c>
      <c r="AOX5" t="s">
        <v>934</v>
      </c>
      <c r="AOY5">
        <v>43.193314552307129</v>
      </c>
      <c r="AOZ5">
        <v>96</v>
      </c>
      <c r="APA5" s="2"/>
      <c r="APB5">
        <f t="shared" si="182"/>
        <v>58</v>
      </c>
      <c r="APC5" t="s">
        <v>935</v>
      </c>
      <c r="APD5" t="s">
        <v>936</v>
      </c>
      <c r="APE5">
        <v>39.859267473220832</v>
      </c>
      <c r="APF5">
        <v>126</v>
      </c>
      <c r="APG5" s="5"/>
      <c r="APH5">
        <f t="shared" si="183"/>
        <v>133</v>
      </c>
      <c r="API5" t="s">
        <v>937</v>
      </c>
      <c r="APJ5" t="s">
        <v>938</v>
      </c>
      <c r="APK5">
        <v>19.109983205795292</v>
      </c>
      <c r="APL5">
        <v>200</v>
      </c>
      <c r="APM5" s="2"/>
      <c r="APN5">
        <f t="shared" si="184"/>
        <v>74</v>
      </c>
      <c r="APO5" t="s">
        <v>939</v>
      </c>
      <c r="APP5" t="s">
        <v>940</v>
      </c>
      <c r="APQ5">
        <v>26.1318678855896</v>
      </c>
      <c r="APR5">
        <v>156</v>
      </c>
      <c r="APS5" s="5"/>
      <c r="APT5">
        <f t="shared" si="185"/>
        <v>46</v>
      </c>
      <c r="APU5" t="s">
        <v>941</v>
      </c>
      <c r="APV5" t="s">
        <v>942</v>
      </c>
      <c r="APW5">
        <v>22.254076242446899</v>
      </c>
      <c r="APX5">
        <v>190</v>
      </c>
      <c r="APY5" s="2"/>
      <c r="APZ5">
        <f t="shared" si="186"/>
        <v>37</v>
      </c>
      <c r="AQA5" t="s">
        <v>943</v>
      </c>
      <c r="AQB5" t="s">
        <v>944</v>
      </c>
      <c r="AQC5">
        <v>10.578399419784549</v>
      </c>
      <c r="AQD5">
        <v>97</v>
      </c>
      <c r="AQE5" s="5"/>
      <c r="AQF5">
        <f t="shared" si="187"/>
        <v>67</v>
      </c>
      <c r="AQG5" t="s">
        <v>945</v>
      </c>
      <c r="AQH5" t="s">
        <v>946</v>
      </c>
      <c r="AQI5">
        <v>22.579608917236332</v>
      </c>
      <c r="AQJ5">
        <v>122</v>
      </c>
      <c r="AQK5" s="2"/>
      <c r="AQL5">
        <f t="shared" si="188"/>
        <v>26</v>
      </c>
      <c r="AQM5" t="s">
        <v>947</v>
      </c>
      <c r="AQN5" t="s">
        <v>948</v>
      </c>
      <c r="AQO5">
        <v>104.59068918228149</v>
      </c>
      <c r="AQP5">
        <v>73</v>
      </c>
      <c r="AQQ5" s="5"/>
      <c r="AQR5">
        <f t="shared" si="189"/>
        <v>50</v>
      </c>
      <c r="AQS5" t="s">
        <v>949</v>
      </c>
      <c r="AQT5" t="s">
        <v>950</v>
      </c>
      <c r="AQU5">
        <v>6.3495252132415771</v>
      </c>
      <c r="AQV5">
        <v>118</v>
      </c>
      <c r="AQW5" s="2"/>
      <c r="AQX5">
        <f t="shared" si="190"/>
        <v>28</v>
      </c>
      <c r="AQY5" t="s">
        <v>951</v>
      </c>
      <c r="AQZ5" t="s">
        <v>952</v>
      </c>
      <c r="ARA5">
        <v>28.314034223556519</v>
      </c>
      <c r="ARB5">
        <v>107</v>
      </c>
      <c r="ARC5" s="5"/>
      <c r="ARD5">
        <f t="shared" si="191"/>
        <v>35</v>
      </c>
      <c r="ARE5" t="s">
        <v>953</v>
      </c>
      <c r="ARF5" t="s">
        <v>954</v>
      </c>
      <c r="ARG5">
        <v>9.0411717891693115</v>
      </c>
      <c r="ARH5">
        <v>167</v>
      </c>
      <c r="ARI5" s="2"/>
      <c r="ARJ5">
        <f t="shared" si="192"/>
        <v>27</v>
      </c>
      <c r="ARK5" t="s">
        <v>395</v>
      </c>
      <c r="ARL5" t="s">
        <v>955</v>
      </c>
      <c r="ARM5">
        <v>11.993223905563349</v>
      </c>
      <c r="ARN5">
        <v>64</v>
      </c>
      <c r="ARO5" s="5"/>
      <c r="ARP5">
        <f t="shared" si="193"/>
        <v>42</v>
      </c>
      <c r="ARQ5" t="s">
        <v>956</v>
      </c>
      <c r="ARR5" t="s">
        <v>957</v>
      </c>
      <c r="ARS5">
        <v>8.9111158847808838</v>
      </c>
      <c r="ART5">
        <v>125</v>
      </c>
      <c r="ARU5" s="2"/>
      <c r="ARV5">
        <f t="shared" si="194"/>
        <v>94</v>
      </c>
      <c r="ARW5" t="s">
        <v>958</v>
      </c>
      <c r="ARX5" t="s">
        <v>959</v>
      </c>
      <c r="ARY5">
        <v>275.50718975067139</v>
      </c>
      <c r="ARZ5">
        <v>208</v>
      </c>
      <c r="ASA5" s="5"/>
      <c r="ASB5">
        <f t="shared" si="195"/>
        <v>42</v>
      </c>
      <c r="ASC5" t="s">
        <v>960</v>
      </c>
      <c r="ASD5" t="s">
        <v>961</v>
      </c>
      <c r="ASE5">
        <v>11.07677865028381</v>
      </c>
      <c r="ASF5">
        <v>118</v>
      </c>
      <c r="ASG5" s="2"/>
      <c r="ASH5">
        <f t="shared" si="196"/>
        <v>64</v>
      </c>
      <c r="ASI5" t="s">
        <v>962</v>
      </c>
      <c r="ASJ5" t="s">
        <v>963</v>
      </c>
      <c r="ASK5">
        <v>44.299799203872681</v>
      </c>
      <c r="ASL5">
        <v>182</v>
      </c>
      <c r="ASM5" s="5"/>
      <c r="ASN5">
        <f t="shared" si="197"/>
        <v>44</v>
      </c>
      <c r="ASO5" t="s">
        <v>964</v>
      </c>
      <c r="ASP5" t="s">
        <v>965</v>
      </c>
      <c r="ASQ5">
        <v>16.7651994228363</v>
      </c>
      <c r="ASR5">
        <v>120</v>
      </c>
      <c r="ASS5" s="2"/>
      <c r="AST5">
        <f t="shared" si="198"/>
        <v>60</v>
      </c>
      <c r="ASU5" t="s">
        <v>966</v>
      </c>
      <c r="ASV5" t="s">
        <v>967</v>
      </c>
      <c r="ASW5">
        <v>34.389851331710823</v>
      </c>
      <c r="ASX5">
        <v>76</v>
      </c>
      <c r="ASY5" s="5"/>
      <c r="ASZ5">
        <f t="shared" si="199"/>
        <v>18</v>
      </c>
      <c r="ATA5" t="s">
        <v>97</v>
      </c>
      <c r="ATB5" t="s">
        <v>968</v>
      </c>
      <c r="ATC5">
        <v>2.9846231937408452</v>
      </c>
      <c r="ATD5">
        <v>67</v>
      </c>
      <c r="ATE5" s="2"/>
      <c r="ATF5">
        <f t="shared" si="200"/>
        <v>96</v>
      </c>
      <c r="ATG5" t="s">
        <v>969</v>
      </c>
      <c r="ATH5" t="s">
        <v>970</v>
      </c>
      <c r="ATI5">
        <v>43.061549663543701</v>
      </c>
      <c r="ATJ5">
        <v>159</v>
      </c>
      <c r="ATK5" s="5"/>
      <c r="ATL5">
        <f t="shared" si="201"/>
        <v>56</v>
      </c>
      <c r="ATM5" t="s">
        <v>843</v>
      </c>
      <c r="ATN5" t="s">
        <v>971</v>
      </c>
      <c r="ATO5">
        <v>10.444724798202509</v>
      </c>
      <c r="ATP5">
        <v>154</v>
      </c>
      <c r="ATQ5" s="2"/>
      <c r="ATR5">
        <f t="shared" si="202"/>
        <v>30</v>
      </c>
      <c r="ATS5" t="s">
        <v>972</v>
      </c>
      <c r="ATT5" t="s">
        <v>973</v>
      </c>
      <c r="ATU5">
        <v>35.243453502655029</v>
      </c>
      <c r="ATV5">
        <v>126</v>
      </c>
      <c r="ATW5" s="5"/>
      <c r="ATX5">
        <f t="shared" si="203"/>
        <v>51</v>
      </c>
      <c r="ATY5" t="s">
        <v>974</v>
      </c>
      <c r="ATZ5" t="s">
        <v>975</v>
      </c>
      <c r="AUA5">
        <v>23.884810924530029</v>
      </c>
      <c r="AUB5">
        <v>202</v>
      </c>
      <c r="AUC5" s="2"/>
    </row>
    <row r="6" spans="2:1225" x14ac:dyDescent="0.25">
      <c r="B6">
        <f t="shared" si="0"/>
        <v>30</v>
      </c>
      <c r="C6" t="s">
        <v>976</v>
      </c>
      <c r="D6" t="s">
        <v>977</v>
      </c>
      <c r="E6">
        <v>5.3966457843780518</v>
      </c>
      <c r="F6">
        <v>124</v>
      </c>
      <c r="G6" s="1"/>
      <c r="H6">
        <f t="shared" si="1"/>
        <v>0</v>
      </c>
      <c r="J6" t="s">
        <v>978</v>
      </c>
      <c r="K6">
        <v>16.005788803100589</v>
      </c>
      <c r="L6">
        <v>217</v>
      </c>
      <c r="M6" s="2"/>
      <c r="N6">
        <f t="shared" si="2"/>
        <v>48</v>
      </c>
      <c r="O6" t="s">
        <v>979</v>
      </c>
      <c r="P6" t="s">
        <v>980</v>
      </c>
      <c r="Q6">
        <v>53.923298597335823</v>
      </c>
      <c r="R6">
        <v>134</v>
      </c>
      <c r="S6" s="1"/>
      <c r="T6">
        <f t="shared" si="3"/>
        <v>16</v>
      </c>
      <c r="U6" t="s">
        <v>981</v>
      </c>
      <c r="V6" t="s">
        <v>982</v>
      </c>
      <c r="W6">
        <v>29.198522806167599</v>
      </c>
      <c r="X6">
        <v>93</v>
      </c>
      <c r="Y6" s="2"/>
      <c r="Z6">
        <f t="shared" si="4"/>
        <v>18</v>
      </c>
      <c r="AA6" t="s">
        <v>983</v>
      </c>
      <c r="AB6" t="s">
        <v>984</v>
      </c>
      <c r="AC6">
        <v>2.6639115810394292</v>
      </c>
      <c r="AD6">
        <v>73</v>
      </c>
      <c r="AE6" s="1"/>
      <c r="AF6">
        <f t="shared" si="5"/>
        <v>23</v>
      </c>
      <c r="AG6" t="s">
        <v>985</v>
      </c>
      <c r="AH6" t="s">
        <v>986</v>
      </c>
      <c r="AI6">
        <v>17.190709590911869</v>
      </c>
      <c r="AJ6">
        <v>120</v>
      </c>
      <c r="AK6" s="2"/>
      <c r="AL6">
        <f t="shared" si="6"/>
        <v>38</v>
      </c>
      <c r="AM6" t="s">
        <v>987</v>
      </c>
      <c r="AN6" t="s">
        <v>988</v>
      </c>
      <c r="AO6">
        <v>15.142015695571899</v>
      </c>
      <c r="AP6">
        <v>137</v>
      </c>
      <c r="AQ6" s="1"/>
      <c r="AR6">
        <f t="shared" si="7"/>
        <v>57</v>
      </c>
      <c r="AS6" t="s">
        <v>989</v>
      </c>
      <c r="AT6" t="s">
        <v>990</v>
      </c>
      <c r="AU6">
        <v>20.765174388885502</v>
      </c>
      <c r="AV6">
        <v>194</v>
      </c>
      <c r="AW6" s="2"/>
      <c r="AX6">
        <f t="shared" si="8"/>
        <v>36</v>
      </c>
      <c r="AY6" t="s">
        <v>991</v>
      </c>
      <c r="AZ6" t="s">
        <v>992</v>
      </c>
      <c r="BA6">
        <v>24.5611457824707</v>
      </c>
      <c r="BB6">
        <v>130</v>
      </c>
      <c r="BC6" s="1"/>
      <c r="BD6">
        <f t="shared" si="9"/>
        <v>20</v>
      </c>
      <c r="BE6" t="s">
        <v>993</v>
      </c>
      <c r="BF6" t="s">
        <v>994</v>
      </c>
      <c r="BG6">
        <v>15.88913154602051</v>
      </c>
      <c r="BH6">
        <v>88</v>
      </c>
      <c r="BI6" s="2"/>
      <c r="BJ6">
        <f t="shared" si="10"/>
        <v>30</v>
      </c>
      <c r="BK6" t="s">
        <v>995</v>
      </c>
      <c r="BL6" t="s">
        <v>996</v>
      </c>
      <c r="BM6">
        <v>5.7638192176818848</v>
      </c>
      <c r="BN6">
        <v>98</v>
      </c>
      <c r="BO6" s="1"/>
      <c r="BP6">
        <f t="shared" si="11"/>
        <v>59</v>
      </c>
      <c r="BQ6" t="s">
        <v>997</v>
      </c>
      <c r="BR6" t="s">
        <v>998</v>
      </c>
      <c r="BS6">
        <v>63.101105928421021</v>
      </c>
      <c r="BT6">
        <v>182</v>
      </c>
      <c r="BU6" s="2"/>
      <c r="BV6">
        <f t="shared" si="12"/>
        <v>62</v>
      </c>
      <c r="BW6" t="s">
        <v>999</v>
      </c>
      <c r="BX6" t="s">
        <v>1000</v>
      </c>
      <c r="BY6">
        <v>26.398346662521359</v>
      </c>
      <c r="BZ6">
        <v>246</v>
      </c>
      <c r="CA6" s="1"/>
      <c r="CB6">
        <f t="shared" si="13"/>
        <v>42</v>
      </c>
      <c r="CC6" t="s">
        <v>1001</v>
      </c>
      <c r="CD6" t="s">
        <v>1002</v>
      </c>
      <c r="CE6">
        <v>22.82854700088501</v>
      </c>
      <c r="CF6">
        <v>197</v>
      </c>
      <c r="CG6" s="2"/>
      <c r="CH6">
        <f t="shared" si="14"/>
        <v>34</v>
      </c>
      <c r="CI6" t="s">
        <v>1003</v>
      </c>
      <c r="CJ6" t="s">
        <v>1004</v>
      </c>
      <c r="CK6">
        <v>6.7421505451202393</v>
      </c>
      <c r="CL6">
        <v>138</v>
      </c>
      <c r="CM6" s="1"/>
      <c r="CN6">
        <f t="shared" si="15"/>
        <v>30</v>
      </c>
      <c r="CO6" t="s">
        <v>1005</v>
      </c>
      <c r="CP6" t="s">
        <v>1006</v>
      </c>
      <c r="CQ6">
        <v>24.058739185333248</v>
      </c>
      <c r="CR6">
        <v>242</v>
      </c>
      <c r="CS6" s="2"/>
      <c r="CT6">
        <f t="shared" si="16"/>
        <v>23</v>
      </c>
      <c r="CU6" t="s">
        <v>442</v>
      </c>
      <c r="CV6" t="s">
        <v>1007</v>
      </c>
      <c r="CW6">
        <v>8.1232979297637939</v>
      </c>
      <c r="CX6">
        <v>117</v>
      </c>
      <c r="CY6" s="1"/>
      <c r="CZ6">
        <f t="shared" si="17"/>
        <v>20</v>
      </c>
      <c r="DA6" t="s">
        <v>1008</v>
      </c>
      <c r="DB6" t="s">
        <v>1009</v>
      </c>
      <c r="DC6">
        <v>37.706439256668091</v>
      </c>
      <c r="DD6">
        <v>200</v>
      </c>
      <c r="DE6" s="2"/>
      <c r="DF6">
        <f t="shared" si="18"/>
        <v>25</v>
      </c>
      <c r="DG6" t="s">
        <v>1010</v>
      </c>
      <c r="DH6" t="s">
        <v>1011</v>
      </c>
      <c r="DI6">
        <v>5.6140034198760986</v>
      </c>
      <c r="DJ6">
        <v>119</v>
      </c>
      <c r="DK6" s="1"/>
      <c r="DL6">
        <f t="shared" si="19"/>
        <v>33</v>
      </c>
      <c r="DM6" t="s">
        <v>1012</v>
      </c>
      <c r="DN6" t="s">
        <v>1013</v>
      </c>
      <c r="DO6">
        <v>14.80534291267395</v>
      </c>
      <c r="DP6">
        <v>158</v>
      </c>
      <c r="DQ6" s="2"/>
      <c r="DR6">
        <f t="shared" si="20"/>
        <v>66</v>
      </c>
      <c r="DS6" t="s">
        <v>1014</v>
      </c>
      <c r="DT6" t="s">
        <v>1015</v>
      </c>
      <c r="DU6">
        <v>13.188781499862669</v>
      </c>
      <c r="DV6">
        <v>173</v>
      </c>
      <c r="DW6" s="1"/>
      <c r="DX6">
        <f t="shared" si="21"/>
        <v>23</v>
      </c>
      <c r="DY6" t="s">
        <v>1016</v>
      </c>
      <c r="DZ6" t="s">
        <v>1017</v>
      </c>
      <c r="EA6">
        <v>9.6054420471191406</v>
      </c>
      <c r="EB6">
        <v>129</v>
      </c>
      <c r="EC6" s="2"/>
      <c r="ED6">
        <f t="shared" si="22"/>
        <v>14</v>
      </c>
      <c r="EE6" t="s">
        <v>1018</v>
      </c>
      <c r="EF6" t="s">
        <v>1019</v>
      </c>
      <c r="EG6">
        <v>2.7649662494659419</v>
      </c>
      <c r="EH6">
        <v>93</v>
      </c>
      <c r="EI6" s="1"/>
      <c r="EJ6">
        <f t="shared" si="23"/>
        <v>89</v>
      </c>
      <c r="EK6" t="s">
        <v>1020</v>
      </c>
      <c r="EL6" t="s">
        <v>1021</v>
      </c>
      <c r="EM6">
        <v>33.51398229598999</v>
      </c>
      <c r="EN6">
        <v>182</v>
      </c>
      <c r="EO6" s="2"/>
      <c r="EP6">
        <f t="shared" si="24"/>
        <v>32</v>
      </c>
      <c r="EQ6" t="s">
        <v>1022</v>
      </c>
      <c r="ER6" t="s">
        <v>1023</v>
      </c>
      <c r="ES6">
        <v>9.5744051933288574</v>
      </c>
      <c r="ET6">
        <v>114</v>
      </c>
      <c r="EU6" s="1"/>
      <c r="EV6">
        <f t="shared" si="25"/>
        <v>32</v>
      </c>
      <c r="EW6" t="s">
        <v>1024</v>
      </c>
      <c r="EX6" t="s">
        <v>1025</v>
      </c>
      <c r="EY6">
        <v>17.59536504745483</v>
      </c>
      <c r="EZ6">
        <v>137</v>
      </c>
      <c r="FA6" s="2"/>
      <c r="FB6">
        <f t="shared" si="26"/>
        <v>33</v>
      </c>
      <c r="FC6" t="s">
        <v>1026</v>
      </c>
      <c r="FD6" t="s">
        <v>1027</v>
      </c>
      <c r="FE6">
        <v>11.15934205055237</v>
      </c>
      <c r="FF6">
        <v>194</v>
      </c>
      <c r="FG6" s="1"/>
      <c r="FH6">
        <f t="shared" si="27"/>
        <v>20</v>
      </c>
      <c r="FI6" t="s">
        <v>1028</v>
      </c>
      <c r="FJ6" t="s">
        <v>1029</v>
      </c>
      <c r="FK6">
        <v>22.074073314666752</v>
      </c>
      <c r="FL6">
        <v>137</v>
      </c>
      <c r="FM6" s="2"/>
      <c r="FN6">
        <f t="shared" si="28"/>
        <v>39</v>
      </c>
      <c r="FO6" t="s">
        <v>1030</v>
      </c>
      <c r="FP6" t="s">
        <v>1031</v>
      </c>
      <c r="FQ6">
        <v>34.942243099212646</v>
      </c>
      <c r="FR6">
        <v>234</v>
      </c>
      <c r="FS6" s="1"/>
      <c r="FT6">
        <f t="shared" si="29"/>
        <v>157</v>
      </c>
      <c r="FU6" t="s">
        <v>1032</v>
      </c>
      <c r="FV6" t="s">
        <v>1033</v>
      </c>
      <c r="FW6">
        <v>247.25435566902161</v>
      </c>
      <c r="FX6">
        <v>245</v>
      </c>
      <c r="FY6" s="2"/>
      <c r="FZ6">
        <f t="shared" si="30"/>
        <v>24</v>
      </c>
      <c r="GA6" t="s">
        <v>1034</v>
      </c>
      <c r="GB6" t="s">
        <v>1035</v>
      </c>
      <c r="GC6">
        <v>16.764496088027951</v>
      </c>
      <c r="GD6">
        <v>176</v>
      </c>
      <c r="GE6" s="1"/>
      <c r="GF6">
        <f t="shared" si="31"/>
        <v>39</v>
      </c>
      <c r="GG6" t="s">
        <v>1036</v>
      </c>
      <c r="GH6" t="s">
        <v>1037</v>
      </c>
      <c r="GI6">
        <v>15.720970869064329</v>
      </c>
      <c r="GJ6">
        <v>247</v>
      </c>
      <c r="GK6" s="2"/>
      <c r="GL6">
        <f t="shared" si="32"/>
        <v>62</v>
      </c>
      <c r="GM6" t="s">
        <v>1038</v>
      </c>
      <c r="GN6" t="s">
        <v>1039</v>
      </c>
      <c r="GO6">
        <v>46.048374652862549</v>
      </c>
      <c r="GP6">
        <v>136</v>
      </c>
      <c r="GQ6" s="1"/>
      <c r="GR6">
        <f t="shared" si="33"/>
        <v>49</v>
      </c>
      <c r="GS6" t="s">
        <v>1040</v>
      </c>
      <c r="GT6" t="s">
        <v>1041</v>
      </c>
      <c r="GU6">
        <v>23.75799918174744</v>
      </c>
      <c r="GV6">
        <v>147</v>
      </c>
      <c r="GW6" s="2"/>
      <c r="GX6">
        <f t="shared" si="34"/>
        <v>38</v>
      </c>
      <c r="GY6" t="s">
        <v>1042</v>
      </c>
      <c r="GZ6" t="s">
        <v>1043</v>
      </c>
      <c r="HA6">
        <v>11.393274545669559</v>
      </c>
      <c r="HB6">
        <v>94</v>
      </c>
      <c r="HC6" s="1"/>
      <c r="HD6">
        <f t="shared" si="35"/>
        <v>26</v>
      </c>
      <c r="HE6" t="s">
        <v>1044</v>
      </c>
      <c r="HF6" t="s">
        <v>1045</v>
      </c>
      <c r="HG6">
        <v>154.68545079231259</v>
      </c>
      <c r="HH6">
        <v>155</v>
      </c>
      <c r="HI6" s="2"/>
      <c r="HJ6">
        <f t="shared" si="36"/>
        <v>31</v>
      </c>
      <c r="HK6" t="s">
        <v>1046</v>
      </c>
      <c r="HL6" t="s">
        <v>1047</v>
      </c>
      <c r="HM6">
        <v>62.173508882522583</v>
      </c>
      <c r="HN6">
        <v>101</v>
      </c>
      <c r="HO6" s="1"/>
      <c r="HP6">
        <f t="shared" si="37"/>
        <v>34</v>
      </c>
      <c r="HQ6" t="s">
        <v>1048</v>
      </c>
      <c r="HR6" t="s">
        <v>1049</v>
      </c>
      <c r="HS6">
        <v>17.739035129547119</v>
      </c>
      <c r="HT6">
        <v>185</v>
      </c>
      <c r="HU6" s="2"/>
      <c r="HV6">
        <f t="shared" si="38"/>
        <v>15</v>
      </c>
      <c r="HW6" t="s">
        <v>1050</v>
      </c>
      <c r="HX6" t="s">
        <v>1051</v>
      </c>
      <c r="HY6">
        <v>3.266358375549316</v>
      </c>
      <c r="HZ6">
        <v>107</v>
      </c>
      <c r="IA6" s="1"/>
      <c r="IB6">
        <f t="shared" si="39"/>
        <v>10</v>
      </c>
      <c r="IC6" t="s">
        <v>1052</v>
      </c>
      <c r="ID6" t="s">
        <v>1053</v>
      </c>
      <c r="IE6">
        <v>144.1432075500488</v>
      </c>
      <c r="IF6">
        <v>160</v>
      </c>
      <c r="IG6" s="2"/>
      <c r="IH6">
        <f t="shared" si="40"/>
        <v>42</v>
      </c>
      <c r="II6" t="s">
        <v>1054</v>
      </c>
      <c r="IJ6" t="s">
        <v>1055</v>
      </c>
      <c r="IK6">
        <v>10.22891235351562</v>
      </c>
      <c r="IL6">
        <v>124</v>
      </c>
      <c r="IM6" s="1"/>
      <c r="IN6">
        <f t="shared" si="41"/>
        <v>38</v>
      </c>
      <c r="IO6" t="s">
        <v>1056</v>
      </c>
      <c r="IP6" t="s">
        <v>1057</v>
      </c>
      <c r="IQ6">
        <v>40.160120487213128</v>
      </c>
      <c r="IR6">
        <v>276</v>
      </c>
      <c r="IS6" s="2"/>
      <c r="IT6">
        <f t="shared" si="42"/>
        <v>38</v>
      </c>
      <c r="IU6" t="s">
        <v>1058</v>
      </c>
      <c r="IV6" t="s">
        <v>1059</v>
      </c>
      <c r="IW6">
        <v>26.788270950317379</v>
      </c>
      <c r="IX6">
        <v>205</v>
      </c>
      <c r="IY6" s="1"/>
      <c r="IZ6">
        <f t="shared" si="43"/>
        <v>26</v>
      </c>
      <c r="JA6" t="s">
        <v>1060</v>
      </c>
      <c r="JB6" t="s">
        <v>1061</v>
      </c>
      <c r="JC6">
        <v>15.62216949462891</v>
      </c>
      <c r="JD6">
        <v>139</v>
      </c>
      <c r="JE6" s="2"/>
      <c r="JF6">
        <f t="shared" si="44"/>
        <v>17</v>
      </c>
      <c r="JG6" t="s">
        <v>1062</v>
      </c>
      <c r="JH6" t="s">
        <v>1063</v>
      </c>
      <c r="JI6">
        <v>3.6716692447662349</v>
      </c>
      <c r="JJ6">
        <v>101</v>
      </c>
      <c r="JK6" s="1"/>
      <c r="JL6">
        <f t="shared" si="45"/>
        <v>32</v>
      </c>
      <c r="JM6" t="s">
        <v>1064</v>
      </c>
      <c r="JN6" t="s">
        <v>1065</v>
      </c>
      <c r="JO6">
        <v>27.543853759765621</v>
      </c>
      <c r="JP6">
        <v>130</v>
      </c>
      <c r="JQ6" s="2"/>
      <c r="JR6">
        <f t="shared" si="46"/>
        <v>27</v>
      </c>
      <c r="JS6" t="s">
        <v>1066</v>
      </c>
      <c r="JT6" t="s">
        <v>1067</v>
      </c>
      <c r="JU6">
        <v>9.0019931793212891</v>
      </c>
      <c r="JV6">
        <v>75</v>
      </c>
      <c r="JW6" s="1"/>
      <c r="JX6">
        <f t="shared" si="47"/>
        <v>28</v>
      </c>
      <c r="JY6" t="s">
        <v>989</v>
      </c>
      <c r="JZ6" t="s">
        <v>1068</v>
      </c>
      <c r="KA6">
        <v>19.910830974578861</v>
      </c>
      <c r="KB6">
        <v>147</v>
      </c>
      <c r="KC6" s="2"/>
      <c r="KD6">
        <f t="shared" si="48"/>
        <v>78</v>
      </c>
      <c r="KE6" t="s">
        <v>1069</v>
      </c>
      <c r="KF6" t="s">
        <v>1070</v>
      </c>
      <c r="KG6">
        <v>188.5037016868591</v>
      </c>
      <c r="KH6">
        <v>205</v>
      </c>
      <c r="KI6" s="1"/>
      <c r="KJ6">
        <f t="shared" si="49"/>
        <v>57</v>
      </c>
      <c r="KK6" t="s">
        <v>1071</v>
      </c>
      <c r="KL6" t="s">
        <v>1072</v>
      </c>
      <c r="KM6">
        <v>55.971166372299187</v>
      </c>
      <c r="KN6">
        <v>187</v>
      </c>
      <c r="KO6" s="2"/>
      <c r="KP6">
        <f t="shared" si="50"/>
        <v>32</v>
      </c>
      <c r="KQ6" t="s">
        <v>395</v>
      </c>
      <c r="KR6" t="s">
        <v>1073</v>
      </c>
      <c r="KS6">
        <v>13.207298994064329</v>
      </c>
      <c r="KT6">
        <v>147</v>
      </c>
      <c r="KU6" s="1"/>
      <c r="KV6">
        <f t="shared" si="51"/>
        <v>32</v>
      </c>
      <c r="KW6" t="s">
        <v>1074</v>
      </c>
      <c r="KX6" t="s">
        <v>1075</v>
      </c>
      <c r="KY6">
        <v>15.87289524078369</v>
      </c>
      <c r="KZ6">
        <v>146</v>
      </c>
      <c r="LA6" s="2"/>
      <c r="LB6">
        <f t="shared" si="52"/>
        <v>54</v>
      </c>
      <c r="LC6" t="s">
        <v>1076</v>
      </c>
      <c r="LD6" t="s">
        <v>1077</v>
      </c>
      <c r="LE6">
        <v>12.378691434860229</v>
      </c>
      <c r="LF6">
        <v>201</v>
      </c>
      <c r="LG6" s="1"/>
      <c r="LH6">
        <f t="shared" si="53"/>
        <v>55</v>
      </c>
      <c r="LI6" t="s">
        <v>1078</v>
      </c>
      <c r="LJ6" t="s">
        <v>1079</v>
      </c>
      <c r="LK6">
        <v>24.735038995742801</v>
      </c>
      <c r="LL6">
        <v>237</v>
      </c>
      <c r="LM6" s="2"/>
      <c r="LN6">
        <f t="shared" si="54"/>
        <v>24</v>
      </c>
      <c r="LO6" t="s">
        <v>1080</v>
      </c>
      <c r="LP6" t="s">
        <v>1081</v>
      </c>
      <c r="LQ6">
        <v>19.831032991409302</v>
      </c>
      <c r="LR6">
        <v>108</v>
      </c>
      <c r="LS6" s="1"/>
      <c r="LT6">
        <f t="shared" si="55"/>
        <v>17</v>
      </c>
      <c r="LU6" t="s">
        <v>1082</v>
      </c>
      <c r="LV6" t="s">
        <v>1083</v>
      </c>
      <c r="LW6">
        <v>21.365912199020389</v>
      </c>
      <c r="LX6">
        <v>97</v>
      </c>
      <c r="LY6" s="2"/>
      <c r="LZ6">
        <f t="shared" si="56"/>
        <v>17</v>
      </c>
      <c r="MA6" t="s">
        <v>1084</v>
      </c>
      <c r="MB6" t="s">
        <v>1085</v>
      </c>
      <c r="MC6">
        <v>3.0070211887359619</v>
      </c>
      <c r="MD6">
        <v>93</v>
      </c>
      <c r="ME6" s="1"/>
      <c r="MF6">
        <f t="shared" si="57"/>
        <v>33</v>
      </c>
      <c r="MG6" t="s">
        <v>1086</v>
      </c>
      <c r="MH6" t="s">
        <v>1087</v>
      </c>
      <c r="MI6">
        <v>16.412963390350338</v>
      </c>
      <c r="MJ6">
        <v>125</v>
      </c>
      <c r="MK6" s="2"/>
      <c r="ML6">
        <f t="shared" si="58"/>
        <v>35</v>
      </c>
      <c r="MM6" t="s">
        <v>1088</v>
      </c>
      <c r="MN6" t="s">
        <v>1089</v>
      </c>
      <c r="MO6">
        <v>21.542123317718509</v>
      </c>
      <c r="MP6">
        <v>139</v>
      </c>
      <c r="MQ6" s="1"/>
      <c r="MR6">
        <f t="shared" si="59"/>
        <v>42</v>
      </c>
      <c r="MS6" t="s">
        <v>1090</v>
      </c>
      <c r="MT6" t="s">
        <v>1091</v>
      </c>
      <c r="MU6">
        <v>29.85951924324036</v>
      </c>
      <c r="MV6">
        <v>145</v>
      </c>
      <c r="MW6" s="2"/>
      <c r="MX6">
        <f t="shared" si="60"/>
        <v>26</v>
      </c>
      <c r="MY6" t="s">
        <v>1092</v>
      </c>
      <c r="MZ6" t="s">
        <v>1093</v>
      </c>
      <c r="NA6">
        <v>7.3934934139251709</v>
      </c>
      <c r="NB6">
        <v>123</v>
      </c>
      <c r="NC6" s="1"/>
      <c r="ND6">
        <f t="shared" si="61"/>
        <v>80</v>
      </c>
      <c r="NE6" t="s">
        <v>1094</v>
      </c>
      <c r="NF6" t="s">
        <v>1095</v>
      </c>
      <c r="NG6">
        <v>51.268131971359253</v>
      </c>
      <c r="NH6">
        <v>132</v>
      </c>
      <c r="NI6" s="2"/>
      <c r="NJ6">
        <f t="shared" si="62"/>
        <v>34</v>
      </c>
      <c r="NK6" t="s">
        <v>1096</v>
      </c>
      <c r="NL6" t="s">
        <v>1097</v>
      </c>
      <c r="NM6">
        <v>6.9217240810394287</v>
      </c>
      <c r="NN6">
        <v>96</v>
      </c>
      <c r="NO6" s="1"/>
      <c r="NP6">
        <f t="shared" si="63"/>
        <v>30</v>
      </c>
      <c r="NQ6" t="s">
        <v>1098</v>
      </c>
      <c r="NR6" t="s">
        <v>1099</v>
      </c>
      <c r="NS6">
        <v>27.205656051635739</v>
      </c>
      <c r="NT6">
        <v>142</v>
      </c>
      <c r="NU6" s="2"/>
      <c r="NV6">
        <f t="shared" si="64"/>
        <v>40</v>
      </c>
      <c r="NW6" t="s">
        <v>1100</v>
      </c>
      <c r="NX6" t="s">
        <v>1101</v>
      </c>
      <c r="NY6">
        <v>6.8762965202331543</v>
      </c>
      <c r="NZ6">
        <v>143</v>
      </c>
      <c r="OA6" s="1"/>
      <c r="OB6">
        <f t="shared" si="65"/>
        <v>8</v>
      </c>
      <c r="OC6" t="s">
        <v>1102</v>
      </c>
      <c r="OD6" t="s">
        <v>1103</v>
      </c>
      <c r="OE6">
        <v>41.68205714225769</v>
      </c>
      <c r="OF6">
        <v>68</v>
      </c>
      <c r="OG6" s="2"/>
      <c r="OH6">
        <f t="shared" si="66"/>
        <v>42</v>
      </c>
      <c r="OI6" t="s">
        <v>1104</v>
      </c>
      <c r="OJ6" t="s">
        <v>1105</v>
      </c>
      <c r="OK6">
        <v>13.214459180831909</v>
      </c>
      <c r="OL6">
        <v>168</v>
      </c>
      <c r="OM6" s="1"/>
      <c r="ON6">
        <f t="shared" si="67"/>
        <v>28</v>
      </c>
      <c r="OO6" t="s">
        <v>1106</v>
      </c>
      <c r="OP6" t="s">
        <v>1107</v>
      </c>
      <c r="OQ6">
        <v>43.527708292007453</v>
      </c>
      <c r="OR6">
        <v>135</v>
      </c>
      <c r="OS6" s="2"/>
      <c r="OT6">
        <f t="shared" si="68"/>
        <v>28</v>
      </c>
      <c r="OU6" t="s">
        <v>1108</v>
      </c>
      <c r="OV6" t="s">
        <v>1109</v>
      </c>
      <c r="OW6">
        <v>4.8895747661590576</v>
      </c>
      <c r="OX6">
        <v>118</v>
      </c>
      <c r="OY6" s="1"/>
      <c r="OZ6">
        <f t="shared" si="69"/>
        <v>19</v>
      </c>
      <c r="PA6" t="s">
        <v>1110</v>
      </c>
      <c r="PB6" t="s">
        <v>1111</v>
      </c>
      <c r="PC6">
        <v>13.741064786911011</v>
      </c>
      <c r="PD6">
        <v>108</v>
      </c>
      <c r="PE6" s="2"/>
      <c r="PF6">
        <f t="shared" si="70"/>
        <v>33</v>
      </c>
      <c r="PG6" t="s">
        <v>1112</v>
      </c>
      <c r="PH6" t="s">
        <v>1113</v>
      </c>
      <c r="PI6">
        <v>18.731950998306271</v>
      </c>
      <c r="PJ6">
        <v>128</v>
      </c>
      <c r="PK6" s="1"/>
      <c r="PL6">
        <f t="shared" si="71"/>
        <v>30</v>
      </c>
      <c r="PM6" t="s">
        <v>1114</v>
      </c>
      <c r="PN6" t="s">
        <v>1115</v>
      </c>
      <c r="PO6">
        <v>49.729150295257568</v>
      </c>
      <c r="PP6">
        <v>120</v>
      </c>
      <c r="PQ6" s="2"/>
      <c r="PR6">
        <f t="shared" si="72"/>
        <v>32</v>
      </c>
      <c r="PS6" t="s">
        <v>1116</v>
      </c>
      <c r="PT6" t="s">
        <v>1117</v>
      </c>
      <c r="PU6">
        <v>18.995251178741459</v>
      </c>
      <c r="PV6">
        <v>177</v>
      </c>
      <c r="PW6" s="1"/>
      <c r="PX6">
        <f t="shared" si="73"/>
        <v>16</v>
      </c>
      <c r="PY6" t="s">
        <v>1118</v>
      </c>
      <c r="PZ6" t="s">
        <v>1119</v>
      </c>
      <c r="QA6">
        <v>41.159829378128052</v>
      </c>
      <c r="QB6">
        <v>157</v>
      </c>
      <c r="QC6" s="2"/>
      <c r="QD6">
        <f t="shared" si="74"/>
        <v>42</v>
      </c>
      <c r="QE6" t="s">
        <v>1120</v>
      </c>
      <c r="QF6" t="s">
        <v>1121</v>
      </c>
      <c r="QG6">
        <v>7.3125641345977783</v>
      </c>
      <c r="QH6">
        <v>166</v>
      </c>
      <c r="QI6" s="1"/>
      <c r="QJ6">
        <f t="shared" si="75"/>
        <v>30</v>
      </c>
      <c r="QK6" t="s">
        <v>1122</v>
      </c>
      <c r="QL6" t="s">
        <v>1123</v>
      </c>
      <c r="QM6">
        <v>16.955749273300171</v>
      </c>
      <c r="QN6">
        <v>130</v>
      </c>
      <c r="QO6" s="2"/>
      <c r="QP6">
        <f t="shared" si="76"/>
        <v>21</v>
      </c>
      <c r="QQ6" t="s">
        <v>1124</v>
      </c>
      <c r="QR6" t="s">
        <v>1125</v>
      </c>
      <c r="QS6">
        <v>4.6858325004577637</v>
      </c>
      <c r="QT6">
        <v>109</v>
      </c>
      <c r="QU6" s="1"/>
      <c r="QV6">
        <f t="shared" si="77"/>
        <v>22</v>
      </c>
      <c r="QW6" t="s">
        <v>869</v>
      </c>
      <c r="QX6" t="s">
        <v>1126</v>
      </c>
      <c r="QY6">
        <v>11.488305807113649</v>
      </c>
      <c r="QZ6">
        <v>173</v>
      </c>
      <c r="RA6" s="2"/>
      <c r="RB6">
        <f t="shared" si="78"/>
        <v>30</v>
      </c>
      <c r="RC6" t="s">
        <v>1127</v>
      </c>
      <c r="RD6" t="s">
        <v>1128</v>
      </c>
      <c r="RE6">
        <v>18.292040348052979</v>
      </c>
      <c r="RF6">
        <v>179</v>
      </c>
      <c r="RG6" s="1"/>
      <c r="RH6">
        <f t="shared" si="79"/>
        <v>72</v>
      </c>
      <c r="RI6" t="s">
        <v>1129</v>
      </c>
      <c r="RJ6" t="s">
        <v>1130</v>
      </c>
      <c r="RK6">
        <v>16.756026983261108</v>
      </c>
      <c r="RL6">
        <v>194</v>
      </c>
      <c r="RM6" s="2"/>
      <c r="RN6">
        <f t="shared" si="80"/>
        <v>40</v>
      </c>
      <c r="RO6" t="s">
        <v>1131</v>
      </c>
      <c r="RP6" t="s">
        <v>1132</v>
      </c>
      <c r="RQ6">
        <v>25.749645948410031</v>
      </c>
      <c r="RR6">
        <v>248</v>
      </c>
      <c r="RS6" s="1"/>
      <c r="RT6">
        <f t="shared" si="81"/>
        <v>28</v>
      </c>
      <c r="RU6" t="s">
        <v>1133</v>
      </c>
      <c r="RV6" t="s">
        <v>1134</v>
      </c>
      <c r="RW6">
        <v>27.611478090286251</v>
      </c>
      <c r="RX6">
        <v>196</v>
      </c>
      <c r="RY6" s="2"/>
      <c r="RZ6">
        <f t="shared" si="82"/>
        <v>70</v>
      </c>
      <c r="SA6" t="s">
        <v>1135</v>
      </c>
      <c r="SB6" t="s">
        <v>1136</v>
      </c>
      <c r="SC6">
        <v>134.78794693946841</v>
      </c>
      <c r="SD6">
        <v>202</v>
      </c>
      <c r="SE6" s="1"/>
      <c r="SF6">
        <f t="shared" si="83"/>
        <v>99</v>
      </c>
      <c r="SG6" t="s">
        <v>1137</v>
      </c>
      <c r="SH6" t="s">
        <v>1138</v>
      </c>
      <c r="SI6">
        <v>31.358028173446659</v>
      </c>
      <c r="SJ6">
        <v>200</v>
      </c>
      <c r="SK6" s="2"/>
      <c r="SL6">
        <f t="shared" si="84"/>
        <v>33</v>
      </c>
      <c r="SM6" t="s">
        <v>1139</v>
      </c>
      <c r="SN6" t="s">
        <v>1140</v>
      </c>
      <c r="SO6">
        <v>18.312655448913571</v>
      </c>
      <c r="SP6">
        <v>127</v>
      </c>
      <c r="SQ6" s="1"/>
      <c r="SR6">
        <f t="shared" si="85"/>
        <v>37</v>
      </c>
      <c r="SS6" t="s">
        <v>1141</v>
      </c>
      <c r="ST6" t="s">
        <v>1142</v>
      </c>
      <c r="SU6">
        <v>41.445962905883789</v>
      </c>
      <c r="SV6">
        <v>213</v>
      </c>
      <c r="SW6" s="2"/>
      <c r="SX6">
        <f t="shared" si="86"/>
        <v>35</v>
      </c>
      <c r="SY6" t="s">
        <v>1143</v>
      </c>
      <c r="SZ6" t="s">
        <v>1144</v>
      </c>
      <c r="TA6">
        <v>25.274849414825439</v>
      </c>
      <c r="TB6">
        <v>104</v>
      </c>
      <c r="TC6" s="1"/>
      <c r="TD6">
        <f t="shared" si="87"/>
        <v>84</v>
      </c>
      <c r="TE6" t="s">
        <v>1145</v>
      </c>
      <c r="TF6" t="s">
        <v>1146</v>
      </c>
      <c r="TG6">
        <v>37.417347192764282</v>
      </c>
      <c r="TH6">
        <v>178</v>
      </c>
      <c r="TI6" s="2"/>
      <c r="TJ6">
        <f t="shared" si="88"/>
        <v>46</v>
      </c>
      <c r="TK6" t="s">
        <v>1147</v>
      </c>
      <c r="TL6" t="s">
        <v>1148</v>
      </c>
      <c r="TM6">
        <v>11.688022613525391</v>
      </c>
      <c r="TN6">
        <v>221</v>
      </c>
      <c r="TO6" s="1"/>
      <c r="TP6">
        <f t="shared" si="89"/>
        <v>49</v>
      </c>
      <c r="TQ6" t="s">
        <v>1149</v>
      </c>
      <c r="TR6" t="s">
        <v>1150</v>
      </c>
      <c r="TS6">
        <v>18.038854122161869</v>
      </c>
      <c r="TT6">
        <v>107</v>
      </c>
      <c r="TU6" s="2"/>
      <c r="TV6">
        <f t="shared" si="90"/>
        <v>36</v>
      </c>
      <c r="TW6" t="s">
        <v>1151</v>
      </c>
      <c r="TX6" t="s">
        <v>1152</v>
      </c>
      <c r="TY6">
        <v>10.632021903991699</v>
      </c>
      <c r="TZ6">
        <v>165</v>
      </c>
      <c r="UA6" s="1"/>
      <c r="UB6">
        <f t="shared" si="91"/>
        <v>33</v>
      </c>
      <c r="UC6" t="s">
        <v>1153</v>
      </c>
      <c r="UD6" t="s">
        <v>1154</v>
      </c>
      <c r="UE6">
        <v>13.775223255157471</v>
      </c>
      <c r="UF6">
        <v>140</v>
      </c>
      <c r="UG6" s="2"/>
      <c r="UH6">
        <f t="shared" si="92"/>
        <v>22</v>
      </c>
      <c r="UI6" t="s">
        <v>1155</v>
      </c>
      <c r="UJ6" t="s">
        <v>1156</v>
      </c>
      <c r="UK6">
        <v>4.7581703662872306</v>
      </c>
      <c r="UL6">
        <v>88</v>
      </c>
      <c r="UM6" s="1"/>
      <c r="UN6">
        <f t="shared" si="93"/>
        <v>61</v>
      </c>
      <c r="UO6" t="s">
        <v>1157</v>
      </c>
      <c r="UP6" t="s">
        <v>1158</v>
      </c>
      <c r="UQ6">
        <v>30.778940916061401</v>
      </c>
      <c r="UR6">
        <v>189</v>
      </c>
      <c r="US6" s="2"/>
      <c r="UT6">
        <f t="shared" si="94"/>
        <v>37</v>
      </c>
      <c r="UU6" t="s">
        <v>1159</v>
      </c>
      <c r="UV6" t="s">
        <v>1160</v>
      </c>
      <c r="UW6">
        <v>13.07882785797119</v>
      </c>
      <c r="UX6">
        <v>93</v>
      </c>
      <c r="UY6" s="1"/>
      <c r="UZ6">
        <f t="shared" si="95"/>
        <v>33</v>
      </c>
      <c r="VA6" t="s">
        <v>1161</v>
      </c>
      <c r="VB6" t="s">
        <v>1162</v>
      </c>
      <c r="VC6">
        <v>169.8808970451355</v>
      </c>
      <c r="VD6">
        <v>128</v>
      </c>
      <c r="VE6" s="2"/>
      <c r="VF6">
        <f t="shared" si="96"/>
        <v>35</v>
      </c>
      <c r="VG6" t="s">
        <v>1163</v>
      </c>
      <c r="VH6" t="s">
        <v>1164</v>
      </c>
      <c r="VI6">
        <v>9.0911684036254883</v>
      </c>
      <c r="VJ6">
        <v>172</v>
      </c>
      <c r="VK6" s="1"/>
      <c r="VL6">
        <f t="shared" si="97"/>
        <v>85</v>
      </c>
      <c r="VM6" t="s">
        <v>1165</v>
      </c>
      <c r="VN6" t="s">
        <v>1166</v>
      </c>
      <c r="VO6">
        <v>54.413258075714111</v>
      </c>
      <c r="VP6">
        <v>200</v>
      </c>
      <c r="VQ6" s="2"/>
      <c r="VR6">
        <f t="shared" si="98"/>
        <v>33</v>
      </c>
      <c r="VS6" t="s">
        <v>1167</v>
      </c>
      <c r="VT6" t="s">
        <v>1168</v>
      </c>
      <c r="VU6">
        <v>4.9302008152008057</v>
      </c>
      <c r="VV6">
        <v>89</v>
      </c>
      <c r="VW6" s="1"/>
      <c r="VX6">
        <f t="shared" si="99"/>
        <v>81</v>
      </c>
      <c r="VY6" t="s">
        <v>1169</v>
      </c>
      <c r="VZ6" t="s">
        <v>1170</v>
      </c>
      <c r="WA6">
        <v>263.83605408668518</v>
      </c>
      <c r="WB6">
        <v>216</v>
      </c>
      <c r="WC6" s="2"/>
      <c r="WD6">
        <f t="shared" si="100"/>
        <v>74</v>
      </c>
      <c r="WE6" t="s">
        <v>1171</v>
      </c>
      <c r="WF6" t="s">
        <v>1172</v>
      </c>
      <c r="WG6">
        <v>47.915250062942498</v>
      </c>
      <c r="WH6">
        <v>264</v>
      </c>
      <c r="WI6" s="1"/>
      <c r="WJ6">
        <f t="shared" si="101"/>
        <v>69</v>
      </c>
      <c r="WK6" t="s">
        <v>1173</v>
      </c>
      <c r="WL6" t="s">
        <v>1174</v>
      </c>
      <c r="WM6">
        <v>27.140631437301639</v>
      </c>
      <c r="WN6">
        <v>204</v>
      </c>
      <c r="WO6" s="4"/>
      <c r="WP6">
        <f t="shared" si="102"/>
        <v>29</v>
      </c>
      <c r="WQ6" t="s">
        <v>1175</v>
      </c>
      <c r="WR6" t="s">
        <v>1176</v>
      </c>
      <c r="WS6">
        <v>33.64409875869751</v>
      </c>
      <c r="WT6">
        <v>212</v>
      </c>
      <c r="WU6" s="3"/>
      <c r="WV6">
        <f t="shared" si="103"/>
        <v>66</v>
      </c>
      <c r="WW6" t="s">
        <v>1177</v>
      </c>
      <c r="WX6" t="s">
        <v>1178</v>
      </c>
      <c r="WY6">
        <v>18.67946100234985</v>
      </c>
      <c r="WZ6">
        <v>235</v>
      </c>
      <c r="XA6" s="2"/>
      <c r="XB6">
        <f t="shared" si="104"/>
        <v>34</v>
      </c>
      <c r="XC6" t="s">
        <v>1179</v>
      </c>
      <c r="XD6" t="s">
        <v>1180</v>
      </c>
      <c r="XE6">
        <v>26.934901237487789</v>
      </c>
      <c r="XF6">
        <v>152</v>
      </c>
      <c r="XG6" s="5"/>
      <c r="XH6">
        <f t="shared" si="105"/>
        <v>22</v>
      </c>
      <c r="XI6" t="s">
        <v>1181</v>
      </c>
      <c r="XJ6" t="s">
        <v>1182</v>
      </c>
      <c r="XK6">
        <v>13.475200891494749</v>
      </c>
      <c r="XL6">
        <v>129</v>
      </c>
      <c r="XM6" s="2"/>
      <c r="XN6">
        <f t="shared" si="106"/>
        <v>81</v>
      </c>
      <c r="XO6" t="s">
        <v>1183</v>
      </c>
      <c r="XP6" t="s">
        <v>1184</v>
      </c>
      <c r="XQ6">
        <v>116.5878629684448</v>
      </c>
      <c r="XR6">
        <v>190</v>
      </c>
      <c r="XS6" s="5"/>
      <c r="XT6">
        <f t="shared" si="107"/>
        <v>41</v>
      </c>
      <c r="XU6" t="s">
        <v>1185</v>
      </c>
      <c r="XV6" t="s">
        <v>1186</v>
      </c>
      <c r="XW6">
        <v>6.3855257034301758</v>
      </c>
      <c r="XX6">
        <v>137</v>
      </c>
      <c r="XY6" s="2"/>
      <c r="XZ6">
        <f t="shared" si="108"/>
        <v>45</v>
      </c>
      <c r="YA6" t="s">
        <v>1187</v>
      </c>
      <c r="YB6" t="s">
        <v>1188</v>
      </c>
      <c r="YC6">
        <v>52.099312782287598</v>
      </c>
      <c r="YD6">
        <v>124</v>
      </c>
      <c r="YE6" s="5"/>
      <c r="YF6">
        <f t="shared" si="109"/>
        <v>40</v>
      </c>
      <c r="YG6" t="s">
        <v>1189</v>
      </c>
      <c r="YH6" t="s">
        <v>1190</v>
      </c>
      <c r="YI6">
        <v>10.822631120681759</v>
      </c>
      <c r="YJ6">
        <v>116</v>
      </c>
      <c r="YK6" s="2"/>
      <c r="YL6">
        <f t="shared" si="110"/>
        <v>24</v>
      </c>
      <c r="YM6" t="s">
        <v>1191</v>
      </c>
      <c r="YN6" t="s">
        <v>1192</v>
      </c>
      <c r="YO6">
        <v>10.759176254272459</v>
      </c>
      <c r="YP6">
        <v>100</v>
      </c>
      <c r="YQ6" s="5"/>
      <c r="YR6">
        <f t="shared" si="111"/>
        <v>27</v>
      </c>
      <c r="YS6" t="s">
        <v>264</v>
      </c>
      <c r="YT6" t="s">
        <v>1193</v>
      </c>
      <c r="YU6">
        <v>4.9177758693695068</v>
      </c>
      <c r="YV6">
        <v>191</v>
      </c>
      <c r="YW6" s="2"/>
      <c r="YX6">
        <f t="shared" si="112"/>
        <v>36</v>
      </c>
      <c r="YY6" t="s">
        <v>1194</v>
      </c>
      <c r="YZ6" t="s">
        <v>1195</v>
      </c>
      <c r="ZA6">
        <v>19.846536159515381</v>
      </c>
      <c r="ZB6">
        <v>103</v>
      </c>
      <c r="ZC6" s="5"/>
      <c r="ZD6">
        <f t="shared" si="113"/>
        <v>15</v>
      </c>
      <c r="ZE6" t="s">
        <v>1196</v>
      </c>
      <c r="ZF6" t="s">
        <v>1197</v>
      </c>
      <c r="ZG6">
        <v>3.4251174926757808</v>
      </c>
      <c r="ZH6">
        <v>126</v>
      </c>
      <c r="ZI6" s="2"/>
      <c r="ZJ6">
        <f t="shared" si="114"/>
        <v>26</v>
      </c>
      <c r="ZK6" t="s">
        <v>1198</v>
      </c>
      <c r="ZL6" t="s">
        <v>1199</v>
      </c>
      <c r="ZM6">
        <v>21.058086156845089</v>
      </c>
      <c r="ZN6">
        <v>166</v>
      </c>
      <c r="ZO6" s="5"/>
      <c r="ZP6">
        <f t="shared" si="115"/>
        <v>42</v>
      </c>
      <c r="ZQ6" t="s">
        <v>1200</v>
      </c>
      <c r="ZR6" t="s">
        <v>1201</v>
      </c>
      <c r="ZS6">
        <v>8.0162556171417236</v>
      </c>
      <c r="ZT6">
        <v>221</v>
      </c>
      <c r="ZU6" s="2"/>
      <c r="ZV6">
        <f t="shared" si="116"/>
        <v>35</v>
      </c>
      <c r="ZW6" t="s">
        <v>1202</v>
      </c>
      <c r="ZX6" t="s">
        <v>1203</v>
      </c>
      <c r="ZY6">
        <v>49.965999364852912</v>
      </c>
      <c r="ZZ6">
        <v>104</v>
      </c>
      <c r="AAA6" s="5"/>
      <c r="AAB6">
        <f t="shared" si="117"/>
        <v>68</v>
      </c>
      <c r="AAC6" t="s">
        <v>1204</v>
      </c>
      <c r="AAD6" t="s">
        <v>1205</v>
      </c>
      <c r="AAE6">
        <v>14.09563779830933</v>
      </c>
      <c r="AAF6">
        <v>169</v>
      </c>
      <c r="AAG6" s="2"/>
      <c r="AAH6">
        <f t="shared" si="118"/>
        <v>73</v>
      </c>
      <c r="AAI6" t="s">
        <v>1206</v>
      </c>
      <c r="AAJ6" t="s">
        <v>1207</v>
      </c>
      <c r="AAK6">
        <v>28.537048101425171</v>
      </c>
      <c r="AAL6">
        <v>214</v>
      </c>
      <c r="AAM6" s="5"/>
      <c r="AAN6">
        <f t="shared" si="119"/>
        <v>26</v>
      </c>
      <c r="AAO6" t="s">
        <v>1127</v>
      </c>
      <c r="AAP6" t="s">
        <v>1208</v>
      </c>
      <c r="AAQ6">
        <v>4.6181347370147714</v>
      </c>
      <c r="AAR6">
        <v>143</v>
      </c>
      <c r="AAS6" s="2"/>
      <c r="AAT6">
        <f t="shared" si="120"/>
        <v>20</v>
      </c>
      <c r="AAU6" t="s">
        <v>1209</v>
      </c>
      <c r="AAV6" t="s">
        <v>1210</v>
      </c>
      <c r="AAW6">
        <v>19.187026262283329</v>
      </c>
      <c r="AAX6">
        <v>156</v>
      </c>
      <c r="AAY6" s="5"/>
      <c r="AAZ6">
        <f t="shared" si="121"/>
        <v>31</v>
      </c>
      <c r="ABA6" t="s">
        <v>1211</v>
      </c>
      <c r="ABB6" t="s">
        <v>1212</v>
      </c>
      <c r="ABC6">
        <v>22.954148530960079</v>
      </c>
      <c r="ABD6">
        <v>154</v>
      </c>
      <c r="ABE6" s="2"/>
      <c r="ABF6">
        <f t="shared" si="122"/>
        <v>29</v>
      </c>
      <c r="ABG6" t="s">
        <v>1213</v>
      </c>
      <c r="ABH6" t="s">
        <v>1214</v>
      </c>
      <c r="ABI6">
        <v>49.194148540496833</v>
      </c>
      <c r="ABJ6">
        <v>79</v>
      </c>
      <c r="ABK6" s="5"/>
      <c r="ABL6">
        <f t="shared" si="123"/>
        <v>57</v>
      </c>
      <c r="ABM6" t="s">
        <v>1215</v>
      </c>
      <c r="ABN6" t="s">
        <v>1216</v>
      </c>
      <c r="ABO6">
        <v>18.216777801513668</v>
      </c>
      <c r="ABP6">
        <v>240</v>
      </c>
      <c r="ABQ6" s="2"/>
      <c r="ABR6">
        <f t="shared" si="124"/>
        <v>27</v>
      </c>
      <c r="ABS6" t="s">
        <v>98</v>
      </c>
      <c r="ABT6" t="s">
        <v>1217</v>
      </c>
      <c r="ABU6">
        <v>125.43404674530029</v>
      </c>
      <c r="ABV6">
        <v>175</v>
      </c>
      <c r="ABW6" s="5"/>
      <c r="ABX6">
        <f t="shared" si="125"/>
        <v>36</v>
      </c>
      <c r="ABY6" t="s">
        <v>1218</v>
      </c>
      <c r="ABZ6" t="s">
        <v>1219</v>
      </c>
      <c r="ACA6">
        <v>13.33051013946533</v>
      </c>
      <c r="ACB6">
        <v>127</v>
      </c>
      <c r="ACC6" s="2"/>
      <c r="ACD6">
        <f t="shared" si="126"/>
        <v>31</v>
      </c>
      <c r="ACE6" t="s">
        <v>590</v>
      </c>
      <c r="ACF6" t="s">
        <v>1220</v>
      </c>
      <c r="ACG6">
        <v>15.554818153381349</v>
      </c>
      <c r="ACH6">
        <v>100</v>
      </c>
      <c r="ACI6" s="5"/>
      <c r="ACJ6">
        <f t="shared" si="127"/>
        <v>38</v>
      </c>
      <c r="ACK6" t="s">
        <v>1221</v>
      </c>
      <c r="ACL6" t="s">
        <v>1222</v>
      </c>
      <c r="ACM6">
        <v>30.952533483505249</v>
      </c>
      <c r="ACN6">
        <v>238</v>
      </c>
      <c r="ACO6" s="2"/>
      <c r="ACP6">
        <f t="shared" si="128"/>
        <v>54</v>
      </c>
      <c r="ACQ6" t="s">
        <v>1223</v>
      </c>
      <c r="ACR6" t="s">
        <v>1224</v>
      </c>
      <c r="ACS6">
        <v>117.316997051239</v>
      </c>
      <c r="ACT6">
        <v>216</v>
      </c>
      <c r="ACU6" s="5"/>
      <c r="ACV6">
        <f t="shared" si="129"/>
        <v>24</v>
      </c>
      <c r="ACW6" t="s">
        <v>1225</v>
      </c>
      <c r="ACX6" t="s">
        <v>1226</v>
      </c>
      <c r="ACY6">
        <v>6.9764699935913086</v>
      </c>
      <c r="ACZ6">
        <v>198</v>
      </c>
      <c r="ADA6" s="2"/>
      <c r="ADB6">
        <f t="shared" si="130"/>
        <v>42</v>
      </c>
      <c r="ADC6" t="s">
        <v>1227</v>
      </c>
      <c r="ADD6" t="s">
        <v>1228</v>
      </c>
      <c r="ADE6">
        <v>121.65220499038701</v>
      </c>
      <c r="ADF6">
        <v>128</v>
      </c>
      <c r="ADG6" s="5"/>
      <c r="ADH6">
        <f t="shared" si="131"/>
        <v>49</v>
      </c>
      <c r="ADI6" t="s">
        <v>1229</v>
      </c>
      <c r="ADJ6" t="s">
        <v>1230</v>
      </c>
      <c r="ADK6">
        <v>8.2156229019165039</v>
      </c>
      <c r="ADL6">
        <v>124</v>
      </c>
      <c r="ADM6" s="2"/>
      <c r="ADN6">
        <f t="shared" si="132"/>
        <v>65</v>
      </c>
      <c r="ADO6" t="s">
        <v>1231</v>
      </c>
      <c r="ADP6" t="s">
        <v>1232</v>
      </c>
      <c r="ADQ6">
        <v>62.14674973487854</v>
      </c>
      <c r="ADR6">
        <v>155</v>
      </c>
      <c r="ADS6" s="5"/>
      <c r="ADT6">
        <f t="shared" si="133"/>
        <v>25</v>
      </c>
      <c r="ADU6" t="s">
        <v>254</v>
      </c>
      <c r="ADV6" t="s">
        <v>1233</v>
      </c>
      <c r="ADW6">
        <v>5.8705711364746094</v>
      </c>
      <c r="ADX6">
        <v>128</v>
      </c>
      <c r="ADY6" s="2"/>
      <c r="ADZ6">
        <f t="shared" si="134"/>
        <v>37</v>
      </c>
      <c r="AEA6" t="s">
        <v>1234</v>
      </c>
      <c r="AEB6" t="s">
        <v>1235</v>
      </c>
      <c r="AEC6">
        <v>24.571764469146729</v>
      </c>
      <c r="AED6">
        <v>145</v>
      </c>
      <c r="AEE6" s="5"/>
      <c r="AEF6">
        <f t="shared" si="135"/>
        <v>37</v>
      </c>
      <c r="AEG6" t="s">
        <v>1236</v>
      </c>
      <c r="AEH6" t="s">
        <v>1237</v>
      </c>
      <c r="AEI6">
        <v>17.632173299789429</v>
      </c>
      <c r="AEJ6">
        <v>121</v>
      </c>
      <c r="AEK6" s="2"/>
      <c r="AEL6">
        <f t="shared" si="136"/>
        <v>40</v>
      </c>
      <c r="AEM6" t="s">
        <v>1238</v>
      </c>
      <c r="AEN6" t="s">
        <v>1239</v>
      </c>
      <c r="AEO6">
        <v>19.844848871231079</v>
      </c>
      <c r="AEP6">
        <v>215</v>
      </c>
      <c r="AEQ6" s="5"/>
      <c r="AER6">
        <f t="shared" si="137"/>
        <v>36</v>
      </c>
      <c r="AES6" t="s">
        <v>1240</v>
      </c>
      <c r="AET6" t="s">
        <v>1241</v>
      </c>
      <c r="AEU6">
        <v>5.7803781032562256</v>
      </c>
      <c r="AEV6">
        <v>102</v>
      </c>
      <c r="AEW6" s="2"/>
      <c r="AEX6">
        <f t="shared" si="138"/>
        <v>30</v>
      </c>
      <c r="AEY6" t="s">
        <v>1242</v>
      </c>
      <c r="AEZ6" t="s">
        <v>1243</v>
      </c>
      <c r="AFA6">
        <v>13.60240626335144</v>
      </c>
      <c r="AFB6">
        <v>92</v>
      </c>
      <c r="AFC6" s="5"/>
      <c r="AFD6">
        <f t="shared" si="139"/>
        <v>34</v>
      </c>
      <c r="AFE6" t="s">
        <v>1244</v>
      </c>
      <c r="AFF6" t="s">
        <v>1245</v>
      </c>
      <c r="AFG6">
        <v>63.660496711730957</v>
      </c>
      <c r="AFH6">
        <v>92</v>
      </c>
      <c r="AFI6" s="2"/>
      <c r="AFJ6">
        <f t="shared" si="140"/>
        <v>39</v>
      </c>
      <c r="AFK6" t="s">
        <v>1246</v>
      </c>
      <c r="AFL6" t="s">
        <v>1247</v>
      </c>
      <c r="AFM6">
        <v>28.682883024215698</v>
      </c>
      <c r="AFN6">
        <v>184</v>
      </c>
      <c r="AFO6" s="5"/>
      <c r="AFP6">
        <f t="shared" si="141"/>
        <v>41</v>
      </c>
      <c r="AFQ6" t="s">
        <v>1248</v>
      </c>
      <c r="AFR6" t="s">
        <v>1249</v>
      </c>
      <c r="AFS6">
        <v>49.988753795623779</v>
      </c>
      <c r="AFT6">
        <v>138</v>
      </c>
      <c r="AFU6" s="2"/>
      <c r="AFV6">
        <f t="shared" si="142"/>
        <v>70</v>
      </c>
      <c r="AFW6" t="s">
        <v>1250</v>
      </c>
      <c r="AFX6" t="s">
        <v>1251</v>
      </c>
      <c r="AFY6">
        <v>285.49111247062677</v>
      </c>
      <c r="AFZ6">
        <v>178</v>
      </c>
      <c r="AGA6" s="5"/>
      <c r="AGB6">
        <f t="shared" si="143"/>
        <v>42</v>
      </c>
      <c r="AGC6" t="s">
        <v>1252</v>
      </c>
      <c r="AGD6" t="s">
        <v>1253</v>
      </c>
      <c r="AGE6">
        <v>31.019604444503781</v>
      </c>
      <c r="AGF6">
        <v>163</v>
      </c>
      <c r="AGG6" s="2"/>
      <c r="AGH6">
        <f t="shared" si="144"/>
        <v>35</v>
      </c>
      <c r="AGI6" t="s">
        <v>1062</v>
      </c>
      <c r="AGJ6" t="s">
        <v>1254</v>
      </c>
      <c r="AGK6">
        <v>21.267237901687619</v>
      </c>
      <c r="AGL6">
        <v>115</v>
      </c>
      <c r="AGM6" s="5"/>
      <c r="AGN6">
        <f t="shared" si="145"/>
        <v>78</v>
      </c>
      <c r="AGO6" t="s">
        <v>1255</v>
      </c>
      <c r="AGP6" t="s">
        <v>1256</v>
      </c>
      <c r="AGQ6">
        <v>354.89774584770203</v>
      </c>
      <c r="AGR6">
        <v>216</v>
      </c>
      <c r="AGS6" s="2"/>
      <c r="AGT6">
        <f t="shared" si="146"/>
        <v>53</v>
      </c>
      <c r="AGU6" t="s">
        <v>1257</v>
      </c>
      <c r="AGV6" t="s">
        <v>1258</v>
      </c>
      <c r="AGW6">
        <v>32.315048694610603</v>
      </c>
      <c r="AGX6">
        <v>121</v>
      </c>
      <c r="AGY6" s="5"/>
      <c r="AGZ6">
        <f t="shared" si="147"/>
        <v>57</v>
      </c>
      <c r="AHA6" t="s">
        <v>1259</v>
      </c>
      <c r="AHB6" t="s">
        <v>1260</v>
      </c>
      <c r="AHC6">
        <v>17.126693725585941</v>
      </c>
      <c r="AHD6">
        <v>156</v>
      </c>
      <c r="AHE6" s="2"/>
      <c r="AHF6">
        <f t="shared" si="148"/>
        <v>18</v>
      </c>
      <c r="AHG6" t="s">
        <v>1261</v>
      </c>
      <c r="AHH6" t="s">
        <v>1262</v>
      </c>
      <c r="AHI6">
        <v>12.522637605667111</v>
      </c>
      <c r="AHJ6">
        <v>82</v>
      </c>
      <c r="AHK6" s="5"/>
      <c r="AHL6">
        <f t="shared" si="149"/>
        <v>78</v>
      </c>
      <c r="AHM6" t="s">
        <v>1263</v>
      </c>
      <c r="AHN6" t="s">
        <v>1264</v>
      </c>
      <c r="AHO6">
        <v>193.28067636489871</v>
      </c>
      <c r="AHP6">
        <v>184</v>
      </c>
      <c r="AHQ6" s="2"/>
      <c r="AHR6">
        <f t="shared" si="150"/>
        <v>32</v>
      </c>
      <c r="AHS6" t="s">
        <v>1265</v>
      </c>
      <c r="AHT6" t="s">
        <v>1266</v>
      </c>
      <c r="AHU6">
        <v>12.31463575363159</v>
      </c>
      <c r="AHV6">
        <v>130</v>
      </c>
      <c r="AHW6" s="5"/>
      <c r="AHX6">
        <f t="shared" si="151"/>
        <v>28</v>
      </c>
      <c r="AHY6" t="s">
        <v>1267</v>
      </c>
      <c r="AHZ6" t="s">
        <v>1268</v>
      </c>
      <c r="AIA6">
        <v>5.6262581348419189</v>
      </c>
      <c r="AIB6">
        <v>121</v>
      </c>
      <c r="AIC6" s="2"/>
      <c r="AID6">
        <f t="shared" si="152"/>
        <v>72</v>
      </c>
      <c r="AIE6" t="s">
        <v>1269</v>
      </c>
      <c r="AIF6" t="s">
        <v>1270</v>
      </c>
      <c r="AIG6">
        <v>25.855276584625241</v>
      </c>
      <c r="AIH6">
        <v>168</v>
      </c>
      <c r="AII6" s="5"/>
      <c r="AIJ6">
        <f t="shared" si="153"/>
        <v>41</v>
      </c>
      <c r="AIK6" t="s">
        <v>1271</v>
      </c>
      <c r="AIL6" t="s">
        <v>1272</v>
      </c>
      <c r="AIM6">
        <v>8.3724040985107422</v>
      </c>
      <c r="AIN6">
        <v>115</v>
      </c>
      <c r="AIO6" s="2"/>
      <c r="AIP6">
        <f t="shared" si="154"/>
        <v>117</v>
      </c>
      <c r="AIQ6" t="s">
        <v>1273</v>
      </c>
      <c r="AIR6" t="s">
        <v>1274</v>
      </c>
      <c r="AIS6">
        <v>48.757972002029419</v>
      </c>
      <c r="AIT6">
        <v>222</v>
      </c>
      <c r="AIU6" s="5"/>
      <c r="AIV6">
        <f t="shared" si="155"/>
        <v>26</v>
      </c>
      <c r="AIW6" t="s">
        <v>1275</v>
      </c>
      <c r="AIX6" t="s">
        <v>1276</v>
      </c>
      <c r="AIY6">
        <v>9.4122409820556641</v>
      </c>
      <c r="AIZ6">
        <v>142</v>
      </c>
      <c r="AJA6" s="2"/>
      <c r="AJB6">
        <f t="shared" si="156"/>
        <v>69</v>
      </c>
      <c r="AJC6" t="s">
        <v>1277</v>
      </c>
      <c r="AJD6" t="s">
        <v>1278</v>
      </c>
      <c r="AJE6">
        <v>28.03269791603088</v>
      </c>
      <c r="AJF6">
        <v>108</v>
      </c>
      <c r="AJG6" s="5"/>
      <c r="AJH6">
        <f t="shared" si="157"/>
        <v>19</v>
      </c>
      <c r="AJI6" t="s">
        <v>1279</v>
      </c>
      <c r="AJJ6" t="s">
        <v>1280</v>
      </c>
      <c r="AJK6">
        <v>6.3174700736999512</v>
      </c>
      <c r="AJL6">
        <v>111</v>
      </c>
      <c r="AJM6" s="2"/>
      <c r="AJN6">
        <f t="shared" si="158"/>
        <v>82</v>
      </c>
      <c r="AJO6" t="s">
        <v>1281</v>
      </c>
      <c r="AJP6" t="s">
        <v>1282</v>
      </c>
      <c r="AJQ6">
        <v>84.996828317642212</v>
      </c>
      <c r="AJR6">
        <v>265</v>
      </c>
      <c r="AJS6" s="5"/>
      <c r="AJT6">
        <f t="shared" si="159"/>
        <v>29</v>
      </c>
      <c r="AJU6" t="s">
        <v>1283</v>
      </c>
      <c r="AJV6" t="s">
        <v>1284</v>
      </c>
      <c r="AJW6">
        <v>9.7603540420532227</v>
      </c>
      <c r="AJX6">
        <v>245</v>
      </c>
      <c r="AJY6" s="2"/>
      <c r="AJZ6">
        <f t="shared" si="160"/>
        <v>23</v>
      </c>
      <c r="AKA6" t="s">
        <v>989</v>
      </c>
      <c r="AKB6" t="s">
        <v>1285</v>
      </c>
      <c r="AKC6">
        <v>29.563734769821171</v>
      </c>
      <c r="AKD6">
        <v>222</v>
      </c>
      <c r="AKE6" s="5"/>
      <c r="AKF6">
        <f t="shared" si="161"/>
        <v>33</v>
      </c>
      <c r="AKG6" t="s">
        <v>1286</v>
      </c>
      <c r="AKH6" t="s">
        <v>1287</v>
      </c>
      <c r="AKI6">
        <v>13.018497705459589</v>
      </c>
      <c r="AKJ6">
        <v>158</v>
      </c>
      <c r="AKK6" s="2"/>
      <c r="AKL6">
        <f t="shared" si="162"/>
        <v>34</v>
      </c>
      <c r="AKM6" t="s">
        <v>1288</v>
      </c>
      <c r="AKN6" t="s">
        <v>1289</v>
      </c>
      <c r="AKO6">
        <v>40.029294967651367</v>
      </c>
      <c r="AKP6">
        <v>180</v>
      </c>
      <c r="AKQ6" s="5"/>
      <c r="AKR6">
        <f t="shared" si="163"/>
        <v>34</v>
      </c>
      <c r="AKS6" t="s">
        <v>1290</v>
      </c>
      <c r="AKT6" t="s">
        <v>1291</v>
      </c>
      <c r="AKU6">
        <v>12.864073991775509</v>
      </c>
      <c r="AKV6">
        <v>156</v>
      </c>
      <c r="AKW6" s="2"/>
      <c r="AKX6">
        <f t="shared" si="164"/>
        <v>41</v>
      </c>
      <c r="AKY6" t="s">
        <v>1292</v>
      </c>
      <c r="AKZ6" t="s">
        <v>1293</v>
      </c>
      <c r="ALA6">
        <v>17.292351961135861</v>
      </c>
      <c r="ALB6">
        <v>203</v>
      </c>
      <c r="ALC6" s="5"/>
      <c r="ALD6">
        <f t="shared" si="165"/>
        <v>32</v>
      </c>
      <c r="ALE6" t="s">
        <v>1294</v>
      </c>
      <c r="ALF6" t="s">
        <v>1295</v>
      </c>
      <c r="ALG6">
        <v>14.05987119674683</v>
      </c>
      <c r="ALH6">
        <v>168</v>
      </c>
      <c r="ALI6" s="2"/>
      <c r="ALJ6">
        <f t="shared" si="166"/>
        <v>93</v>
      </c>
      <c r="ALK6" t="s">
        <v>1296</v>
      </c>
      <c r="ALL6" t="s">
        <v>1297</v>
      </c>
      <c r="ALM6">
        <v>23.437870979309078</v>
      </c>
      <c r="ALN6">
        <v>112</v>
      </c>
      <c r="ALO6" s="5"/>
      <c r="ALP6">
        <f t="shared" si="167"/>
        <v>21</v>
      </c>
      <c r="ALQ6" t="s">
        <v>1298</v>
      </c>
      <c r="ALR6" t="s">
        <v>1299</v>
      </c>
      <c r="ALS6">
        <v>2.6409280300140381</v>
      </c>
      <c r="ALT6">
        <v>59</v>
      </c>
      <c r="ALU6" s="2"/>
      <c r="ALV6">
        <f t="shared" si="168"/>
        <v>51</v>
      </c>
      <c r="ALW6" t="s">
        <v>1300</v>
      </c>
      <c r="ALX6" t="s">
        <v>1301</v>
      </c>
      <c r="ALY6">
        <v>106.9868791103363</v>
      </c>
      <c r="ALZ6">
        <v>175</v>
      </c>
      <c r="AMA6" s="5"/>
      <c r="AMB6">
        <f t="shared" si="169"/>
        <v>46</v>
      </c>
      <c r="AMC6" t="s">
        <v>1302</v>
      </c>
      <c r="AMD6" t="s">
        <v>1303</v>
      </c>
      <c r="AME6">
        <v>13.798257827758791</v>
      </c>
      <c r="AMF6">
        <v>143</v>
      </c>
      <c r="AMG6" s="2"/>
      <c r="AMH6">
        <f t="shared" si="170"/>
        <v>130</v>
      </c>
      <c r="AMI6" t="s">
        <v>1304</v>
      </c>
      <c r="AMJ6" t="s">
        <v>1305</v>
      </c>
      <c r="AMK6">
        <v>31.527504444122311</v>
      </c>
      <c r="AML6">
        <v>303</v>
      </c>
      <c r="AMM6" s="5"/>
      <c r="AMN6">
        <f t="shared" si="171"/>
        <v>38</v>
      </c>
      <c r="AMO6" t="s">
        <v>1306</v>
      </c>
      <c r="AMP6" t="s">
        <v>1307</v>
      </c>
      <c r="AMQ6">
        <v>35.987231492996223</v>
      </c>
      <c r="AMR6">
        <v>194</v>
      </c>
      <c r="AMS6" s="2"/>
      <c r="AMT6">
        <f t="shared" si="172"/>
        <v>68</v>
      </c>
      <c r="AMU6" t="s">
        <v>1308</v>
      </c>
      <c r="AMV6" t="s">
        <v>1309</v>
      </c>
      <c r="AMW6">
        <v>20.66328406333923</v>
      </c>
      <c r="AMX6">
        <v>234</v>
      </c>
      <c r="AMY6" s="5"/>
      <c r="AMZ6">
        <f t="shared" si="173"/>
        <v>32</v>
      </c>
      <c r="ANA6" t="s">
        <v>1310</v>
      </c>
      <c r="ANB6" t="s">
        <v>1311</v>
      </c>
      <c r="ANC6">
        <v>18.76593542098999</v>
      </c>
      <c r="AND6">
        <v>141</v>
      </c>
      <c r="ANE6" s="2"/>
      <c r="ANF6">
        <f t="shared" si="174"/>
        <v>23</v>
      </c>
      <c r="ANG6" t="s">
        <v>1312</v>
      </c>
      <c r="ANH6" t="s">
        <v>1313</v>
      </c>
      <c r="ANI6">
        <v>26.4839301109314</v>
      </c>
      <c r="ANJ6">
        <v>77</v>
      </c>
      <c r="ANK6" s="5"/>
      <c r="ANL6">
        <f t="shared" si="175"/>
        <v>60</v>
      </c>
      <c r="ANM6" t="s">
        <v>1314</v>
      </c>
      <c r="ANN6" t="s">
        <v>1315</v>
      </c>
      <c r="ANO6">
        <v>86.037297010421753</v>
      </c>
      <c r="ANP6">
        <v>131</v>
      </c>
      <c r="ANQ6" s="2"/>
      <c r="ANR6">
        <f t="shared" si="176"/>
        <v>78</v>
      </c>
      <c r="ANS6" t="s">
        <v>1316</v>
      </c>
      <c r="ANT6" t="s">
        <v>1317</v>
      </c>
      <c r="ANU6">
        <v>37.172180414199829</v>
      </c>
      <c r="ANV6">
        <v>147</v>
      </c>
      <c r="ANW6" s="5"/>
      <c r="ANX6">
        <f t="shared" si="177"/>
        <v>36</v>
      </c>
      <c r="ANY6" t="s">
        <v>1318</v>
      </c>
      <c r="ANZ6" t="s">
        <v>1319</v>
      </c>
      <c r="AOA6">
        <v>20.33022046089172</v>
      </c>
      <c r="AOB6">
        <v>139</v>
      </c>
      <c r="AOC6" s="2"/>
      <c r="AOD6">
        <f t="shared" si="178"/>
        <v>43</v>
      </c>
      <c r="AOE6" t="s">
        <v>1320</v>
      </c>
      <c r="AOF6" t="s">
        <v>1321</v>
      </c>
      <c r="AOG6">
        <v>26.95944166183472</v>
      </c>
      <c r="AOH6">
        <v>158</v>
      </c>
      <c r="AOI6" s="5"/>
      <c r="AOJ6">
        <f t="shared" si="179"/>
        <v>60</v>
      </c>
      <c r="AOK6" t="s">
        <v>137</v>
      </c>
      <c r="AOL6" t="s">
        <v>1322</v>
      </c>
      <c r="AOM6">
        <v>6.114250659942627</v>
      </c>
      <c r="AON6">
        <v>203</v>
      </c>
      <c r="AOO6" s="2"/>
      <c r="AOP6">
        <f t="shared" si="180"/>
        <v>45</v>
      </c>
      <c r="AOQ6" t="s">
        <v>1323</v>
      </c>
      <c r="AOR6" t="s">
        <v>1324</v>
      </c>
      <c r="AOS6">
        <v>44.157063961029053</v>
      </c>
      <c r="AOT6">
        <v>266</v>
      </c>
      <c r="AOU6" s="5"/>
      <c r="AOV6">
        <f t="shared" si="181"/>
        <v>32</v>
      </c>
      <c r="AOW6" t="s">
        <v>1325</v>
      </c>
      <c r="AOX6" t="s">
        <v>1326</v>
      </c>
      <c r="AOY6">
        <v>28.600052356719971</v>
      </c>
      <c r="AOZ6">
        <v>128</v>
      </c>
      <c r="APA6" s="2"/>
      <c r="APB6">
        <f t="shared" si="182"/>
        <v>34</v>
      </c>
      <c r="APC6" t="s">
        <v>1327</v>
      </c>
      <c r="APD6" t="s">
        <v>1328</v>
      </c>
      <c r="APE6">
        <v>30.044060945510861</v>
      </c>
      <c r="APF6">
        <v>160</v>
      </c>
      <c r="APG6" s="5"/>
      <c r="APH6">
        <f t="shared" si="183"/>
        <v>52</v>
      </c>
      <c r="API6" t="s">
        <v>1329</v>
      </c>
      <c r="APJ6" t="s">
        <v>1330</v>
      </c>
      <c r="APK6">
        <v>19.79007005691528</v>
      </c>
      <c r="APL6">
        <v>252</v>
      </c>
      <c r="APM6" s="2"/>
      <c r="APN6">
        <f t="shared" si="184"/>
        <v>28</v>
      </c>
      <c r="APO6" t="s">
        <v>1331</v>
      </c>
      <c r="APP6" t="s">
        <v>1332</v>
      </c>
      <c r="APQ6">
        <v>28.65452766418457</v>
      </c>
      <c r="APR6">
        <v>184</v>
      </c>
      <c r="APS6" s="5"/>
      <c r="APT6">
        <f t="shared" si="185"/>
        <v>43</v>
      </c>
      <c r="APU6" t="s">
        <v>1333</v>
      </c>
      <c r="APV6" t="s">
        <v>1334</v>
      </c>
      <c r="APW6">
        <v>12.42109656333923</v>
      </c>
      <c r="APX6">
        <v>233</v>
      </c>
      <c r="APY6" s="2"/>
      <c r="APZ6">
        <f t="shared" si="186"/>
        <v>78</v>
      </c>
      <c r="AQA6" t="s">
        <v>1335</v>
      </c>
      <c r="AQB6" t="s">
        <v>1336</v>
      </c>
      <c r="AQC6">
        <v>48.622657299041748</v>
      </c>
      <c r="AQD6">
        <v>175</v>
      </c>
      <c r="AQE6" s="5"/>
      <c r="AQF6">
        <f t="shared" si="187"/>
        <v>32</v>
      </c>
      <c r="AQG6" t="s">
        <v>1337</v>
      </c>
      <c r="AQH6" t="s">
        <v>1338</v>
      </c>
      <c r="AQI6">
        <v>26.97923922538757</v>
      </c>
      <c r="AQJ6">
        <v>154</v>
      </c>
      <c r="AQK6" s="2"/>
      <c r="AQL6">
        <f t="shared" si="188"/>
        <v>72</v>
      </c>
      <c r="AQM6" t="s">
        <v>1339</v>
      </c>
      <c r="AQN6" t="s">
        <v>1340</v>
      </c>
      <c r="AQO6">
        <v>104.047651052475</v>
      </c>
      <c r="AQP6">
        <v>145</v>
      </c>
      <c r="AQQ6" s="5"/>
      <c r="AQR6">
        <f t="shared" si="189"/>
        <v>33</v>
      </c>
      <c r="AQS6" t="s">
        <v>1341</v>
      </c>
      <c r="AQT6" t="s">
        <v>1342</v>
      </c>
      <c r="AQU6">
        <v>21.315632104873661</v>
      </c>
      <c r="AQV6">
        <v>151</v>
      </c>
      <c r="AQW6" s="2"/>
      <c r="AQX6">
        <f t="shared" si="190"/>
        <v>39</v>
      </c>
      <c r="AQY6" t="s">
        <v>1343</v>
      </c>
      <c r="AQZ6" t="s">
        <v>1344</v>
      </c>
      <c r="ARA6">
        <v>21.127846956253052</v>
      </c>
      <c r="ARB6">
        <v>146</v>
      </c>
      <c r="ARC6" s="5"/>
      <c r="ARD6">
        <f t="shared" si="191"/>
        <v>26</v>
      </c>
      <c r="ARE6" t="s">
        <v>1345</v>
      </c>
      <c r="ARF6" t="s">
        <v>1346</v>
      </c>
      <c r="ARG6">
        <v>5.3116974830627441</v>
      </c>
      <c r="ARH6">
        <v>193</v>
      </c>
      <c r="ARI6" s="2"/>
      <c r="ARJ6">
        <f t="shared" si="192"/>
        <v>31</v>
      </c>
      <c r="ARK6" t="s">
        <v>1050</v>
      </c>
      <c r="ARL6" t="s">
        <v>1347</v>
      </c>
      <c r="ARM6">
        <v>9.6786773204803467</v>
      </c>
      <c r="ARN6">
        <v>95</v>
      </c>
      <c r="ARO6" s="5"/>
      <c r="ARP6">
        <f t="shared" si="193"/>
        <v>48</v>
      </c>
      <c r="ARQ6" t="s">
        <v>1348</v>
      </c>
      <c r="ARR6" t="s">
        <v>1349</v>
      </c>
      <c r="ARS6">
        <v>7.8740167617797852</v>
      </c>
      <c r="ART6">
        <v>173</v>
      </c>
      <c r="ARU6" s="2"/>
      <c r="ARV6">
        <f t="shared" si="194"/>
        <v>32</v>
      </c>
      <c r="ARW6" t="s">
        <v>1350</v>
      </c>
      <c r="ARX6" t="s">
        <v>1351</v>
      </c>
      <c r="ARY6">
        <v>16.411989450454708</v>
      </c>
      <c r="ARZ6">
        <v>240</v>
      </c>
      <c r="ASA6" s="5"/>
      <c r="ASB6">
        <f t="shared" si="195"/>
        <v>35</v>
      </c>
      <c r="ASC6" t="s">
        <v>1352</v>
      </c>
      <c r="ASD6" t="s">
        <v>1353</v>
      </c>
      <c r="ASE6">
        <v>7.8805232048034668</v>
      </c>
      <c r="ASF6">
        <v>153</v>
      </c>
      <c r="ASG6" s="2"/>
      <c r="ASH6">
        <f t="shared" si="196"/>
        <v>38</v>
      </c>
      <c r="ASI6" t="s">
        <v>837</v>
      </c>
      <c r="ASJ6" t="s">
        <v>1354</v>
      </c>
      <c r="ASK6">
        <v>32.672564744949341</v>
      </c>
      <c r="ASL6">
        <v>220</v>
      </c>
      <c r="ASM6" s="5"/>
      <c r="ASN6">
        <f t="shared" si="197"/>
        <v>39</v>
      </c>
      <c r="ASO6" t="s">
        <v>1355</v>
      </c>
      <c r="ASP6" t="s">
        <v>1356</v>
      </c>
      <c r="ASQ6">
        <v>14.14958548545837</v>
      </c>
      <c r="ASR6">
        <v>159</v>
      </c>
      <c r="ASS6" s="2"/>
      <c r="AST6">
        <f t="shared" si="198"/>
        <v>16</v>
      </c>
      <c r="ASU6" t="s">
        <v>1357</v>
      </c>
      <c r="ASV6" t="s">
        <v>1358</v>
      </c>
      <c r="ASW6">
        <v>11.36029720306396</v>
      </c>
      <c r="ASX6">
        <v>92</v>
      </c>
      <c r="ASY6" s="5"/>
      <c r="ASZ6">
        <f t="shared" si="199"/>
        <v>29</v>
      </c>
      <c r="ATA6" t="s">
        <v>1359</v>
      </c>
      <c r="ATB6" t="s">
        <v>1360</v>
      </c>
      <c r="ATC6">
        <v>23.18285083770752</v>
      </c>
      <c r="ATD6">
        <v>96</v>
      </c>
      <c r="ATE6" s="2"/>
      <c r="ATF6">
        <f t="shared" si="200"/>
        <v>61</v>
      </c>
      <c r="ATG6" t="s">
        <v>1361</v>
      </c>
      <c r="ATH6" t="s">
        <v>1362</v>
      </c>
      <c r="ATI6">
        <v>239.9278807640076</v>
      </c>
      <c r="ATJ6">
        <v>220</v>
      </c>
      <c r="ATK6" s="5"/>
      <c r="ATL6">
        <f t="shared" si="201"/>
        <v>33</v>
      </c>
      <c r="ATM6" t="s">
        <v>1363</v>
      </c>
      <c r="ATN6" t="s">
        <v>1364</v>
      </c>
      <c r="ATO6">
        <v>11.042148590087891</v>
      </c>
      <c r="ATP6">
        <v>187</v>
      </c>
      <c r="ATQ6" s="2"/>
      <c r="ATR6">
        <f t="shared" si="202"/>
        <v>57</v>
      </c>
      <c r="ATS6" t="s">
        <v>1365</v>
      </c>
      <c r="ATT6" t="s">
        <v>1366</v>
      </c>
      <c r="ATU6">
        <v>39.696271657943733</v>
      </c>
      <c r="ATV6">
        <v>183</v>
      </c>
      <c r="ATW6" s="5"/>
      <c r="ATX6">
        <f t="shared" si="203"/>
        <v>48</v>
      </c>
      <c r="ATY6" t="s">
        <v>1367</v>
      </c>
      <c r="ATZ6" t="s">
        <v>1368</v>
      </c>
      <c r="AUA6">
        <v>9.0697381496429443</v>
      </c>
      <c r="AUB6">
        <v>250</v>
      </c>
      <c r="AUC6" s="2"/>
    </row>
    <row r="7" spans="2:1225" x14ac:dyDescent="0.25">
      <c r="B7">
        <f t="shared" si="0"/>
        <v>29</v>
      </c>
      <c r="C7" t="s">
        <v>1369</v>
      </c>
      <c r="D7" t="s">
        <v>1370</v>
      </c>
      <c r="E7">
        <v>20.89999961853027</v>
      </c>
      <c r="F7">
        <v>153</v>
      </c>
      <c r="G7" s="1"/>
      <c r="H7">
        <f t="shared" si="1"/>
        <v>88</v>
      </c>
      <c r="I7" t="s">
        <v>1371</v>
      </c>
      <c r="J7" t="s">
        <v>1372</v>
      </c>
      <c r="K7">
        <v>25.17697548866272</v>
      </c>
      <c r="L7">
        <v>305</v>
      </c>
      <c r="M7" s="2"/>
      <c r="N7">
        <f t="shared" si="2"/>
        <v>33</v>
      </c>
      <c r="O7" t="s">
        <v>1373</v>
      </c>
      <c r="P7" t="s">
        <v>1374</v>
      </c>
      <c r="Q7">
        <v>17.313903570175171</v>
      </c>
      <c r="R7">
        <v>167</v>
      </c>
      <c r="S7" s="1"/>
      <c r="T7">
        <f t="shared" si="3"/>
        <v>9</v>
      </c>
      <c r="U7" t="s">
        <v>1375</v>
      </c>
      <c r="V7" t="s">
        <v>1376</v>
      </c>
      <c r="W7">
        <v>25.46877384185791</v>
      </c>
      <c r="X7">
        <v>102</v>
      </c>
      <c r="Y7" s="2"/>
      <c r="Z7">
        <f t="shared" si="4"/>
        <v>33</v>
      </c>
      <c r="AA7" t="s">
        <v>1377</v>
      </c>
      <c r="AB7" t="s">
        <v>1378</v>
      </c>
      <c r="AC7">
        <v>5.2903943061828613</v>
      </c>
      <c r="AD7">
        <v>106</v>
      </c>
      <c r="AE7" s="1"/>
      <c r="AF7">
        <f t="shared" si="5"/>
        <v>40</v>
      </c>
      <c r="AG7" t="s">
        <v>1379</v>
      </c>
      <c r="AH7" t="s">
        <v>1380</v>
      </c>
      <c r="AI7">
        <v>16.54198861122131</v>
      </c>
      <c r="AJ7">
        <v>160</v>
      </c>
      <c r="AK7" s="2"/>
      <c r="AL7">
        <f t="shared" si="6"/>
        <v>32</v>
      </c>
      <c r="AM7" t="s">
        <v>1381</v>
      </c>
      <c r="AN7" t="s">
        <v>1382</v>
      </c>
      <c r="AO7">
        <v>6.6333744525909424</v>
      </c>
      <c r="AP7">
        <v>169</v>
      </c>
      <c r="AQ7" s="1"/>
      <c r="AR7">
        <f t="shared" si="7"/>
        <v>49</v>
      </c>
      <c r="AS7" t="s">
        <v>1383</v>
      </c>
      <c r="AT7" t="s">
        <v>1384</v>
      </c>
      <c r="AU7">
        <v>52.329847097396851</v>
      </c>
      <c r="AV7">
        <v>243</v>
      </c>
      <c r="AW7" s="2"/>
      <c r="AX7">
        <f t="shared" si="8"/>
        <v>28</v>
      </c>
      <c r="AY7" t="s">
        <v>1385</v>
      </c>
      <c r="AZ7" t="s">
        <v>1386</v>
      </c>
      <c r="BA7">
        <v>23.312739372253422</v>
      </c>
      <c r="BB7">
        <v>158</v>
      </c>
      <c r="BC7" s="1"/>
      <c r="BD7">
        <f t="shared" si="9"/>
        <v>24</v>
      </c>
      <c r="BE7" t="s">
        <v>1387</v>
      </c>
      <c r="BF7" t="s">
        <v>1388</v>
      </c>
      <c r="BG7">
        <v>23.391190767288212</v>
      </c>
      <c r="BH7">
        <v>112</v>
      </c>
      <c r="BI7" s="2"/>
      <c r="BJ7">
        <f t="shared" si="10"/>
        <v>54</v>
      </c>
      <c r="BK7" t="s">
        <v>1389</v>
      </c>
      <c r="BL7" t="s">
        <v>1390</v>
      </c>
      <c r="BM7">
        <v>10.99418997764587</v>
      </c>
      <c r="BN7">
        <v>152</v>
      </c>
      <c r="BO7" s="1"/>
      <c r="BP7">
        <f t="shared" si="11"/>
        <v>34</v>
      </c>
      <c r="BQ7" t="s">
        <v>728</v>
      </c>
      <c r="BR7" t="s">
        <v>1391</v>
      </c>
      <c r="BS7">
        <v>18.77926397323608</v>
      </c>
      <c r="BT7">
        <v>216</v>
      </c>
      <c r="BU7" s="2"/>
      <c r="BV7">
        <f t="shared" si="12"/>
        <v>166</v>
      </c>
      <c r="BW7" t="s">
        <v>1392</v>
      </c>
      <c r="BX7" t="s">
        <v>1393</v>
      </c>
      <c r="BY7">
        <v>349.94212794303888</v>
      </c>
      <c r="BZ7">
        <v>412</v>
      </c>
      <c r="CA7" s="1"/>
      <c r="CB7">
        <f t="shared" si="13"/>
        <v>33</v>
      </c>
      <c r="CC7" t="s">
        <v>1394</v>
      </c>
      <c r="CD7" t="s">
        <v>1395</v>
      </c>
      <c r="CE7">
        <v>20.277203559875488</v>
      </c>
      <c r="CF7">
        <v>230</v>
      </c>
      <c r="CG7" s="2"/>
      <c r="CH7">
        <f t="shared" si="14"/>
        <v>35</v>
      </c>
      <c r="CI7" t="s">
        <v>1396</v>
      </c>
      <c r="CJ7" t="s">
        <v>1397</v>
      </c>
      <c r="CK7">
        <v>8.0291943550109863</v>
      </c>
      <c r="CL7">
        <v>173</v>
      </c>
      <c r="CM7" s="1"/>
      <c r="CN7">
        <f t="shared" si="15"/>
        <v>28</v>
      </c>
      <c r="CO7" t="s">
        <v>1398</v>
      </c>
      <c r="CP7" t="s">
        <v>1399</v>
      </c>
      <c r="CQ7">
        <v>12.034765481948851</v>
      </c>
      <c r="CR7">
        <v>270</v>
      </c>
      <c r="CS7" s="2"/>
      <c r="CT7">
        <f t="shared" si="16"/>
        <v>19</v>
      </c>
      <c r="CU7" t="s">
        <v>1400</v>
      </c>
      <c r="CV7" t="s">
        <v>1401</v>
      </c>
      <c r="CW7">
        <v>6.6845872402191162</v>
      </c>
      <c r="CX7">
        <v>136</v>
      </c>
      <c r="CY7" s="1"/>
      <c r="CZ7">
        <f t="shared" si="17"/>
        <v>57</v>
      </c>
      <c r="DA7" t="s">
        <v>1402</v>
      </c>
      <c r="DB7" t="s">
        <v>1403</v>
      </c>
      <c r="DC7">
        <v>31.026940107345581</v>
      </c>
      <c r="DD7">
        <v>257</v>
      </c>
      <c r="DE7" s="2"/>
      <c r="DF7">
        <f t="shared" si="18"/>
        <v>45</v>
      </c>
      <c r="DG7" t="s">
        <v>47</v>
      </c>
      <c r="DH7" t="s">
        <v>1404</v>
      </c>
      <c r="DI7">
        <v>6.5965847969055176</v>
      </c>
      <c r="DJ7">
        <v>164</v>
      </c>
      <c r="DK7" s="1"/>
      <c r="DL7">
        <f t="shared" si="19"/>
        <v>25</v>
      </c>
      <c r="DM7" t="s">
        <v>1405</v>
      </c>
      <c r="DN7" t="s">
        <v>1406</v>
      </c>
      <c r="DO7">
        <v>15.520774364471441</v>
      </c>
      <c r="DP7">
        <v>183</v>
      </c>
      <c r="DQ7" s="2"/>
      <c r="DR7">
        <f t="shared" si="20"/>
        <v>90</v>
      </c>
      <c r="DS7" t="s">
        <v>1407</v>
      </c>
      <c r="DT7" t="s">
        <v>1408</v>
      </c>
      <c r="DU7">
        <v>16.84008431434631</v>
      </c>
      <c r="DV7">
        <v>263</v>
      </c>
      <c r="DW7" s="1"/>
      <c r="DX7">
        <f t="shared" si="21"/>
        <v>33</v>
      </c>
      <c r="DY7" t="s">
        <v>1409</v>
      </c>
      <c r="DZ7" t="s">
        <v>1410</v>
      </c>
      <c r="EA7">
        <v>13.0849928855896</v>
      </c>
      <c r="EB7">
        <v>162</v>
      </c>
      <c r="EC7" s="2"/>
      <c r="ED7">
        <f t="shared" si="22"/>
        <v>33</v>
      </c>
      <c r="EE7" t="s">
        <v>1411</v>
      </c>
      <c r="EF7" t="s">
        <v>1412</v>
      </c>
      <c r="EG7">
        <v>13.68528509140015</v>
      </c>
      <c r="EH7">
        <v>126</v>
      </c>
      <c r="EI7" s="1"/>
      <c r="EJ7">
        <f t="shared" si="23"/>
        <v>28</v>
      </c>
      <c r="EK7" t="s">
        <v>1413</v>
      </c>
      <c r="EL7" t="s">
        <v>1414</v>
      </c>
      <c r="EM7">
        <v>14.825822353363041</v>
      </c>
      <c r="EN7">
        <v>210</v>
      </c>
      <c r="EO7" s="2"/>
      <c r="EP7">
        <f t="shared" si="24"/>
        <v>27</v>
      </c>
      <c r="EQ7" t="s">
        <v>1415</v>
      </c>
      <c r="ER7" t="s">
        <v>1416</v>
      </c>
      <c r="ES7">
        <v>14.754699945449831</v>
      </c>
      <c r="ET7">
        <v>141</v>
      </c>
      <c r="EU7" s="1"/>
      <c r="EV7">
        <f t="shared" si="25"/>
        <v>17</v>
      </c>
      <c r="EW7" t="s">
        <v>1417</v>
      </c>
      <c r="EX7" t="s">
        <v>1418</v>
      </c>
      <c r="EY7">
        <v>11.65758037567139</v>
      </c>
      <c r="EZ7">
        <v>154</v>
      </c>
      <c r="FA7" s="2"/>
      <c r="FB7">
        <f t="shared" si="26"/>
        <v>29</v>
      </c>
      <c r="FC7" t="s">
        <v>1419</v>
      </c>
      <c r="FD7" t="s">
        <v>1420</v>
      </c>
      <c r="FE7">
        <v>27.18352651596069</v>
      </c>
      <c r="FF7">
        <v>223</v>
      </c>
      <c r="FG7" s="1"/>
      <c r="FH7">
        <f t="shared" si="27"/>
        <v>36</v>
      </c>
      <c r="FI7" t="s">
        <v>1421</v>
      </c>
      <c r="FJ7" t="s">
        <v>1422</v>
      </c>
      <c r="FK7">
        <v>50.487917423248291</v>
      </c>
      <c r="FL7">
        <v>173</v>
      </c>
      <c r="FM7" s="2"/>
      <c r="FN7">
        <f t="shared" si="28"/>
        <v>64</v>
      </c>
      <c r="FO7" t="s">
        <v>1423</v>
      </c>
      <c r="FP7" t="s">
        <v>1424</v>
      </c>
      <c r="FQ7">
        <v>26.79397439956665</v>
      </c>
      <c r="FR7">
        <v>298</v>
      </c>
      <c r="FS7" s="1"/>
      <c r="FT7">
        <f t="shared" si="29"/>
        <v>46</v>
      </c>
      <c r="FU7" t="s">
        <v>1425</v>
      </c>
      <c r="FV7" t="s">
        <v>1426</v>
      </c>
      <c r="FW7">
        <v>55.307476043701172</v>
      </c>
      <c r="FX7">
        <v>291</v>
      </c>
      <c r="FY7" s="2"/>
      <c r="FZ7">
        <f t="shared" si="30"/>
        <v>30</v>
      </c>
      <c r="GA7" t="s">
        <v>1427</v>
      </c>
      <c r="GB7" t="s">
        <v>1428</v>
      </c>
      <c r="GC7">
        <v>14.890973806381229</v>
      </c>
      <c r="GD7">
        <v>206</v>
      </c>
      <c r="GE7" s="1"/>
      <c r="GF7">
        <f t="shared" si="31"/>
        <v>25</v>
      </c>
      <c r="GG7" t="s">
        <v>1429</v>
      </c>
      <c r="GH7" t="s">
        <v>1430</v>
      </c>
      <c r="GI7">
        <v>13.98964476585388</v>
      </c>
      <c r="GJ7">
        <v>272</v>
      </c>
      <c r="GK7" s="2"/>
      <c r="GL7">
        <f t="shared" si="32"/>
        <v>30</v>
      </c>
      <c r="GM7" t="s">
        <v>1431</v>
      </c>
      <c r="GN7" t="s">
        <v>1432</v>
      </c>
      <c r="GO7">
        <v>9.286674976348877</v>
      </c>
      <c r="GP7">
        <v>166</v>
      </c>
      <c r="GQ7" s="1"/>
      <c r="GR7">
        <f t="shared" si="33"/>
        <v>39</v>
      </c>
      <c r="GS7" t="s">
        <v>1433</v>
      </c>
      <c r="GT7" t="s">
        <v>1434</v>
      </c>
      <c r="GU7">
        <v>31.386465072631839</v>
      </c>
      <c r="GV7">
        <v>186</v>
      </c>
      <c r="GW7" s="2"/>
      <c r="GX7">
        <f t="shared" si="34"/>
        <v>33</v>
      </c>
      <c r="GY7" t="s">
        <v>1435</v>
      </c>
      <c r="GZ7" t="s">
        <v>1436</v>
      </c>
      <c r="HA7">
        <v>15.424902677536011</v>
      </c>
      <c r="HB7">
        <v>127</v>
      </c>
      <c r="HC7" s="1"/>
      <c r="HD7">
        <f t="shared" si="35"/>
        <v>13</v>
      </c>
      <c r="HE7" t="s">
        <v>1437</v>
      </c>
      <c r="HF7" t="s">
        <v>1438</v>
      </c>
      <c r="HG7">
        <v>116.43264055252079</v>
      </c>
      <c r="HH7">
        <v>168</v>
      </c>
      <c r="HI7" s="2"/>
      <c r="HJ7">
        <f t="shared" si="36"/>
        <v>30</v>
      </c>
      <c r="HK7" t="s">
        <v>1439</v>
      </c>
      <c r="HL7" t="s">
        <v>1440</v>
      </c>
      <c r="HM7">
        <v>10.030091047286991</v>
      </c>
      <c r="HN7">
        <v>131</v>
      </c>
      <c r="HO7" s="1"/>
      <c r="HP7">
        <f t="shared" si="37"/>
        <v>124</v>
      </c>
      <c r="HQ7" t="s">
        <v>1441</v>
      </c>
      <c r="HR7" t="s">
        <v>1442</v>
      </c>
      <c r="HS7">
        <v>26.30298471450806</v>
      </c>
      <c r="HT7">
        <v>309</v>
      </c>
      <c r="HU7" s="2"/>
      <c r="HV7">
        <f t="shared" si="38"/>
        <v>16</v>
      </c>
      <c r="HW7" t="s">
        <v>1443</v>
      </c>
      <c r="HX7" t="s">
        <v>1444</v>
      </c>
      <c r="HY7">
        <v>4.4215285778045654</v>
      </c>
      <c r="HZ7">
        <v>123</v>
      </c>
      <c r="IA7" s="1"/>
      <c r="IB7">
        <f t="shared" si="39"/>
        <v>13</v>
      </c>
      <c r="IC7" t="s">
        <v>1445</v>
      </c>
      <c r="ID7" t="s">
        <v>1446</v>
      </c>
      <c r="IE7">
        <v>262.46422505378717</v>
      </c>
      <c r="IF7">
        <v>173</v>
      </c>
      <c r="IG7" s="2"/>
      <c r="IH7">
        <f t="shared" si="40"/>
        <v>21</v>
      </c>
      <c r="II7" t="s">
        <v>805</v>
      </c>
      <c r="IJ7" t="s">
        <v>1447</v>
      </c>
      <c r="IK7">
        <v>6.5222344398498544</v>
      </c>
      <c r="IL7">
        <v>145</v>
      </c>
      <c r="IM7" s="1"/>
      <c r="IN7">
        <f t="shared" si="41"/>
        <v>33</v>
      </c>
      <c r="IO7" t="s">
        <v>1448</v>
      </c>
      <c r="IP7" t="s">
        <v>1449</v>
      </c>
      <c r="IQ7">
        <v>28.47144532203674</v>
      </c>
      <c r="IR7">
        <v>309</v>
      </c>
      <c r="IS7" s="2"/>
      <c r="IT7">
        <f t="shared" si="42"/>
        <v>32</v>
      </c>
      <c r="IU7" t="s">
        <v>1450</v>
      </c>
      <c r="IV7" t="s">
        <v>1451</v>
      </c>
      <c r="IW7">
        <v>12.24235105514526</v>
      </c>
      <c r="IX7">
        <v>237</v>
      </c>
      <c r="IY7" s="1"/>
      <c r="IZ7">
        <f t="shared" si="43"/>
        <v>30</v>
      </c>
      <c r="JA7" t="s">
        <v>1452</v>
      </c>
      <c r="JB7" t="s">
        <v>1453</v>
      </c>
      <c r="JC7">
        <v>20.963857173919681</v>
      </c>
      <c r="JD7">
        <v>169</v>
      </c>
      <c r="JE7" s="2"/>
      <c r="JF7">
        <f t="shared" si="44"/>
        <v>14</v>
      </c>
      <c r="JG7" t="s">
        <v>1454</v>
      </c>
      <c r="JH7" t="s">
        <v>1455</v>
      </c>
      <c r="JI7">
        <v>3.500644445419312</v>
      </c>
      <c r="JJ7">
        <v>115</v>
      </c>
      <c r="JK7" s="1"/>
      <c r="JL7">
        <f t="shared" si="45"/>
        <v>25</v>
      </c>
      <c r="JM7" t="s">
        <v>1456</v>
      </c>
      <c r="JN7" t="s">
        <v>1457</v>
      </c>
      <c r="JO7">
        <v>16.620830297470089</v>
      </c>
      <c r="JP7">
        <v>155</v>
      </c>
      <c r="JQ7" s="2"/>
      <c r="JR7">
        <f t="shared" si="46"/>
        <v>27</v>
      </c>
      <c r="JS7" t="s">
        <v>1458</v>
      </c>
      <c r="JT7" t="s">
        <v>1459</v>
      </c>
      <c r="JU7">
        <v>9.5678598880767822</v>
      </c>
      <c r="JV7">
        <v>102</v>
      </c>
      <c r="JW7" s="1"/>
      <c r="JX7">
        <f t="shared" si="47"/>
        <v>26</v>
      </c>
      <c r="JY7" t="s">
        <v>1460</v>
      </c>
      <c r="JZ7" t="s">
        <v>1461</v>
      </c>
      <c r="KA7">
        <v>21.430151700973511</v>
      </c>
      <c r="KB7">
        <v>173</v>
      </c>
      <c r="KC7" s="2"/>
      <c r="KD7">
        <f t="shared" si="48"/>
        <v>24</v>
      </c>
      <c r="KE7" t="s">
        <v>1462</v>
      </c>
      <c r="KF7" t="s">
        <v>1463</v>
      </c>
      <c r="KG7">
        <v>11.263451337814329</v>
      </c>
      <c r="KH7">
        <v>229</v>
      </c>
      <c r="KI7" s="1"/>
      <c r="KJ7">
        <f t="shared" si="49"/>
        <v>57</v>
      </c>
      <c r="KK7" t="s">
        <v>332</v>
      </c>
      <c r="KL7" t="s">
        <v>1464</v>
      </c>
      <c r="KM7">
        <v>25.75464129447937</v>
      </c>
      <c r="KN7">
        <v>244</v>
      </c>
      <c r="KO7" s="2"/>
      <c r="KP7">
        <f t="shared" si="50"/>
        <v>42</v>
      </c>
      <c r="KQ7" t="s">
        <v>1040</v>
      </c>
      <c r="KR7" t="s">
        <v>1465</v>
      </c>
      <c r="KS7">
        <v>13.47684025764465</v>
      </c>
      <c r="KT7">
        <v>189</v>
      </c>
      <c r="KU7" s="1"/>
      <c r="KV7">
        <f t="shared" si="51"/>
        <v>31</v>
      </c>
      <c r="KW7" t="s">
        <v>1466</v>
      </c>
      <c r="KX7" t="s">
        <v>1467</v>
      </c>
      <c r="KY7">
        <v>12.54715538024902</v>
      </c>
      <c r="KZ7">
        <v>177</v>
      </c>
      <c r="LA7" s="2"/>
      <c r="LB7">
        <f t="shared" si="52"/>
        <v>86</v>
      </c>
      <c r="LC7" t="s">
        <v>1468</v>
      </c>
      <c r="LD7" t="s">
        <v>1469</v>
      </c>
      <c r="LE7">
        <v>209.4470853805542</v>
      </c>
      <c r="LF7">
        <v>287</v>
      </c>
      <c r="LG7" s="1"/>
      <c r="LH7">
        <f t="shared" si="53"/>
        <v>39</v>
      </c>
      <c r="LI7" t="s">
        <v>1470</v>
      </c>
      <c r="LJ7" t="s">
        <v>1471</v>
      </c>
      <c r="LK7">
        <v>16.356964826583859</v>
      </c>
      <c r="LL7">
        <v>276</v>
      </c>
      <c r="LM7" s="2"/>
      <c r="LN7">
        <f t="shared" si="54"/>
        <v>21</v>
      </c>
      <c r="LO7" t="s">
        <v>1472</v>
      </c>
      <c r="LP7" t="s">
        <v>1473</v>
      </c>
      <c r="LQ7">
        <v>9.1730847358703613</v>
      </c>
      <c r="LR7">
        <v>129</v>
      </c>
      <c r="LS7" s="1"/>
      <c r="LT7">
        <f t="shared" si="55"/>
        <v>69</v>
      </c>
      <c r="LU7" t="s">
        <v>1474</v>
      </c>
      <c r="LV7" t="s">
        <v>1475</v>
      </c>
      <c r="LW7">
        <v>43.571046352386468</v>
      </c>
      <c r="LX7">
        <v>166</v>
      </c>
      <c r="LY7" s="2"/>
      <c r="LZ7">
        <f t="shared" si="56"/>
        <v>24</v>
      </c>
      <c r="MA7" t="s">
        <v>1476</v>
      </c>
      <c r="MB7" t="s">
        <v>1477</v>
      </c>
      <c r="MC7">
        <v>5.5030241012573242</v>
      </c>
      <c r="MD7">
        <v>117</v>
      </c>
      <c r="ME7" s="1"/>
      <c r="MF7">
        <f t="shared" si="57"/>
        <v>35</v>
      </c>
      <c r="MG7" t="s">
        <v>1478</v>
      </c>
      <c r="MH7" t="s">
        <v>1479</v>
      </c>
      <c r="MI7">
        <v>17.922065734863281</v>
      </c>
      <c r="MJ7">
        <v>160</v>
      </c>
      <c r="MK7" s="2"/>
      <c r="ML7">
        <f t="shared" si="58"/>
        <v>78</v>
      </c>
      <c r="MM7" t="s">
        <v>1480</v>
      </c>
      <c r="MN7" t="s">
        <v>1481</v>
      </c>
      <c r="MO7">
        <v>528.58562254905701</v>
      </c>
      <c r="MP7">
        <v>217</v>
      </c>
      <c r="MQ7" s="1"/>
      <c r="MR7">
        <f t="shared" si="59"/>
        <v>27</v>
      </c>
      <c r="MS7" t="s">
        <v>1191</v>
      </c>
      <c r="MT7" t="s">
        <v>1482</v>
      </c>
      <c r="MU7">
        <v>57.819495677947998</v>
      </c>
      <c r="MV7">
        <v>172</v>
      </c>
      <c r="MW7" s="2"/>
      <c r="MX7">
        <f t="shared" si="60"/>
        <v>26</v>
      </c>
      <c r="MY7" t="s">
        <v>1483</v>
      </c>
      <c r="MZ7" t="s">
        <v>1484</v>
      </c>
      <c r="NA7">
        <v>19.996320724487301</v>
      </c>
      <c r="NB7">
        <v>149</v>
      </c>
      <c r="NC7" s="1"/>
      <c r="ND7">
        <f t="shared" si="61"/>
        <v>24</v>
      </c>
      <c r="NE7" t="s">
        <v>1485</v>
      </c>
      <c r="NF7" t="s">
        <v>1486</v>
      </c>
      <c r="NG7">
        <v>19.3617377281189</v>
      </c>
      <c r="NH7">
        <v>156</v>
      </c>
      <c r="NI7" s="2"/>
      <c r="NJ7">
        <f t="shared" si="62"/>
        <v>24</v>
      </c>
      <c r="NK7" t="s">
        <v>585</v>
      </c>
      <c r="NL7" t="s">
        <v>1487</v>
      </c>
      <c r="NM7">
        <v>4.1156020164489746</v>
      </c>
      <c r="NN7">
        <v>120</v>
      </c>
      <c r="NO7" s="1"/>
      <c r="NP7">
        <f t="shared" si="63"/>
        <v>37</v>
      </c>
      <c r="NQ7" t="s">
        <v>1488</v>
      </c>
      <c r="NR7" t="s">
        <v>1489</v>
      </c>
      <c r="NS7">
        <v>26.294477224349979</v>
      </c>
      <c r="NT7">
        <v>179</v>
      </c>
      <c r="NU7" s="2"/>
      <c r="NV7">
        <f t="shared" si="64"/>
        <v>63</v>
      </c>
      <c r="NW7" t="s">
        <v>1490</v>
      </c>
      <c r="NX7" t="s">
        <v>1491</v>
      </c>
      <c r="NY7">
        <v>82.897077083587646</v>
      </c>
      <c r="NZ7">
        <v>206</v>
      </c>
      <c r="OA7" s="1"/>
      <c r="OB7">
        <f t="shared" si="65"/>
        <v>5</v>
      </c>
      <c r="OC7" t="s">
        <v>1492</v>
      </c>
      <c r="OD7" t="s">
        <v>1493</v>
      </c>
      <c r="OE7">
        <v>37.057724714279168</v>
      </c>
      <c r="OF7">
        <v>73</v>
      </c>
      <c r="OG7" s="2"/>
      <c r="OH7">
        <f t="shared" si="66"/>
        <v>38</v>
      </c>
      <c r="OI7" t="s">
        <v>1494</v>
      </c>
      <c r="OJ7" t="s">
        <v>1495</v>
      </c>
      <c r="OK7">
        <v>27.603885889053341</v>
      </c>
      <c r="OL7">
        <v>206</v>
      </c>
      <c r="OM7" s="1"/>
      <c r="ON7">
        <f t="shared" si="67"/>
        <v>42</v>
      </c>
      <c r="OO7" t="s">
        <v>1496</v>
      </c>
      <c r="OP7" t="s">
        <v>1497</v>
      </c>
      <c r="OQ7">
        <v>38.154631614685059</v>
      </c>
      <c r="OR7">
        <v>177</v>
      </c>
      <c r="OS7" s="2"/>
      <c r="OT7">
        <f t="shared" si="68"/>
        <v>52</v>
      </c>
      <c r="OU7" t="s">
        <v>1498</v>
      </c>
      <c r="OV7" t="s">
        <v>1499</v>
      </c>
      <c r="OW7">
        <v>6.4868783950805664</v>
      </c>
      <c r="OX7">
        <v>170</v>
      </c>
      <c r="OY7" s="1"/>
      <c r="OZ7">
        <f t="shared" si="69"/>
        <v>90</v>
      </c>
      <c r="PA7" t="s">
        <v>147</v>
      </c>
      <c r="PB7" t="s">
        <v>1500</v>
      </c>
      <c r="PC7">
        <v>40.335686445236213</v>
      </c>
      <c r="PD7">
        <v>198</v>
      </c>
      <c r="PE7" s="2"/>
      <c r="PF7">
        <f t="shared" si="70"/>
        <v>30</v>
      </c>
      <c r="PG7" t="s">
        <v>1501</v>
      </c>
      <c r="PH7" t="s">
        <v>1502</v>
      </c>
      <c r="PI7">
        <v>28.323245525360111</v>
      </c>
      <c r="PJ7">
        <v>158</v>
      </c>
      <c r="PK7" s="1"/>
      <c r="PL7">
        <f t="shared" si="71"/>
        <v>61</v>
      </c>
      <c r="PM7" t="s">
        <v>1503</v>
      </c>
      <c r="PN7" t="s">
        <v>1504</v>
      </c>
      <c r="PO7">
        <v>422.45426845550543</v>
      </c>
      <c r="PP7">
        <v>181</v>
      </c>
      <c r="PQ7" s="2"/>
      <c r="PR7">
        <f t="shared" si="72"/>
        <v>36</v>
      </c>
      <c r="PS7" t="s">
        <v>728</v>
      </c>
      <c r="PT7" t="s">
        <v>1505</v>
      </c>
      <c r="PU7">
        <v>35.428464651107788</v>
      </c>
      <c r="PV7">
        <v>213</v>
      </c>
      <c r="PW7" s="1"/>
      <c r="PX7">
        <f t="shared" si="73"/>
        <v>18</v>
      </c>
      <c r="PY7" t="s">
        <v>1506</v>
      </c>
      <c r="PZ7" t="s">
        <v>1507</v>
      </c>
      <c r="QA7">
        <v>26.50440239906311</v>
      </c>
      <c r="QB7">
        <v>175</v>
      </c>
      <c r="QC7" s="2"/>
      <c r="QD7">
        <f t="shared" si="74"/>
        <v>35</v>
      </c>
      <c r="QE7" t="s">
        <v>1508</v>
      </c>
      <c r="QF7" t="s">
        <v>1509</v>
      </c>
      <c r="QG7">
        <v>11.79556465148926</v>
      </c>
      <c r="QH7">
        <v>201</v>
      </c>
      <c r="QI7" s="1"/>
      <c r="QJ7">
        <f t="shared" si="75"/>
        <v>13</v>
      </c>
      <c r="QK7" t="s">
        <v>254</v>
      </c>
      <c r="QL7" t="s">
        <v>1510</v>
      </c>
      <c r="QM7">
        <v>21.786702871322628</v>
      </c>
      <c r="QN7">
        <v>143</v>
      </c>
      <c r="QO7" s="2"/>
      <c r="QP7">
        <f t="shared" si="76"/>
        <v>28</v>
      </c>
      <c r="QQ7" t="s">
        <v>1511</v>
      </c>
      <c r="QR7" t="s">
        <v>1512</v>
      </c>
      <c r="QS7">
        <v>7.8833885192871094</v>
      </c>
      <c r="QT7">
        <v>137</v>
      </c>
      <c r="QU7" s="1"/>
      <c r="QV7">
        <f t="shared" si="77"/>
        <v>27</v>
      </c>
      <c r="QW7" t="s">
        <v>1513</v>
      </c>
      <c r="QX7" t="s">
        <v>1514</v>
      </c>
      <c r="QY7">
        <v>15.300911903381349</v>
      </c>
      <c r="QZ7">
        <v>200</v>
      </c>
      <c r="RA7" s="2"/>
      <c r="RB7">
        <f t="shared" si="78"/>
        <v>26</v>
      </c>
      <c r="RC7" t="s">
        <v>1515</v>
      </c>
      <c r="RD7" t="s">
        <v>1516</v>
      </c>
      <c r="RE7">
        <v>7.3907227516174316</v>
      </c>
      <c r="RF7">
        <v>205</v>
      </c>
      <c r="RG7" s="1"/>
      <c r="RH7">
        <f t="shared" si="79"/>
        <v>23</v>
      </c>
      <c r="RI7" t="s">
        <v>1517</v>
      </c>
      <c r="RJ7" t="s">
        <v>1518</v>
      </c>
      <c r="RK7">
        <v>12.63457632064819</v>
      </c>
      <c r="RL7">
        <v>217</v>
      </c>
      <c r="RM7" s="2"/>
      <c r="RN7">
        <f t="shared" si="80"/>
        <v>41</v>
      </c>
      <c r="RO7" t="s">
        <v>1519</v>
      </c>
      <c r="RP7" t="s">
        <v>1520</v>
      </c>
      <c r="RQ7">
        <v>15.38453960418701</v>
      </c>
      <c r="RR7">
        <v>289</v>
      </c>
      <c r="RS7" s="1"/>
      <c r="RT7">
        <f t="shared" si="81"/>
        <v>32</v>
      </c>
      <c r="RU7" t="s">
        <v>1521</v>
      </c>
      <c r="RV7" t="s">
        <v>1522</v>
      </c>
      <c r="RW7">
        <v>29.780721426010128</v>
      </c>
      <c r="RX7">
        <v>228</v>
      </c>
      <c r="RY7" s="2"/>
      <c r="RZ7">
        <f t="shared" si="82"/>
        <v>33</v>
      </c>
      <c r="SA7" t="s">
        <v>1523</v>
      </c>
      <c r="SB7" t="s">
        <v>1524</v>
      </c>
      <c r="SC7">
        <v>16.917365550994869</v>
      </c>
      <c r="SD7">
        <v>235</v>
      </c>
      <c r="SE7" s="1"/>
      <c r="SF7">
        <f t="shared" si="83"/>
        <v>6</v>
      </c>
      <c r="SG7" t="s">
        <v>1525</v>
      </c>
      <c r="SH7" t="s">
        <v>1526</v>
      </c>
      <c r="SI7">
        <v>46.817636013031013</v>
      </c>
      <c r="SJ7">
        <v>206</v>
      </c>
      <c r="SK7" s="2"/>
      <c r="SL7">
        <f t="shared" si="84"/>
        <v>18</v>
      </c>
      <c r="SM7" t="s">
        <v>1527</v>
      </c>
      <c r="SN7" t="s">
        <v>1528</v>
      </c>
      <c r="SO7">
        <v>8.7594804763793945</v>
      </c>
      <c r="SP7">
        <v>145</v>
      </c>
      <c r="SQ7" s="1"/>
      <c r="SR7">
        <f t="shared" si="85"/>
        <v>60</v>
      </c>
      <c r="SS7" t="s">
        <v>1529</v>
      </c>
      <c r="ST7" t="s">
        <v>1530</v>
      </c>
      <c r="SU7">
        <v>50.269026041030877</v>
      </c>
      <c r="SV7">
        <v>273</v>
      </c>
      <c r="SW7" s="2"/>
      <c r="SX7">
        <f t="shared" si="86"/>
        <v>28</v>
      </c>
      <c r="SY7" t="s">
        <v>1531</v>
      </c>
      <c r="SZ7" t="s">
        <v>1532</v>
      </c>
      <c r="TA7">
        <v>5.6231241226196289</v>
      </c>
      <c r="TB7">
        <v>132</v>
      </c>
      <c r="TC7" s="1"/>
      <c r="TD7">
        <f t="shared" si="87"/>
        <v>24</v>
      </c>
      <c r="TE7" t="s">
        <v>1533</v>
      </c>
      <c r="TF7" t="s">
        <v>1534</v>
      </c>
      <c r="TG7">
        <v>22.702148914337162</v>
      </c>
      <c r="TH7">
        <v>202</v>
      </c>
      <c r="TI7" s="2"/>
      <c r="TJ7">
        <f t="shared" si="88"/>
        <v>55</v>
      </c>
      <c r="TK7" t="s">
        <v>1535</v>
      </c>
      <c r="TL7" t="s">
        <v>1536</v>
      </c>
      <c r="TM7">
        <v>19.689726591110229</v>
      </c>
      <c r="TN7">
        <v>276</v>
      </c>
      <c r="TO7" s="1"/>
      <c r="TP7">
        <f t="shared" si="89"/>
        <v>42</v>
      </c>
      <c r="TQ7" t="s">
        <v>1537</v>
      </c>
      <c r="TR7" t="s">
        <v>1538</v>
      </c>
      <c r="TS7">
        <v>29.556472063064579</v>
      </c>
      <c r="TT7">
        <v>149</v>
      </c>
      <c r="TU7" s="2"/>
      <c r="TV7">
        <f t="shared" si="90"/>
        <v>17</v>
      </c>
      <c r="TW7" t="s">
        <v>1539</v>
      </c>
      <c r="TX7" t="s">
        <v>1540</v>
      </c>
      <c r="TY7">
        <v>3.7965881824493408</v>
      </c>
      <c r="TZ7">
        <v>182</v>
      </c>
      <c r="UA7" s="1"/>
      <c r="UB7">
        <f t="shared" si="91"/>
        <v>21</v>
      </c>
      <c r="UC7" t="s">
        <v>1541</v>
      </c>
      <c r="UD7" t="s">
        <v>1542</v>
      </c>
      <c r="UE7">
        <v>17.23072981834412</v>
      </c>
      <c r="UF7">
        <v>161</v>
      </c>
      <c r="UG7" s="2"/>
      <c r="UH7">
        <f t="shared" si="92"/>
        <v>17</v>
      </c>
      <c r="UI7" t="s">
        <v>1543</v>
      </c>
      <c r="UJ7" t="s">
        <v>1544</v>
      </c>
      <c r="UK7">
        <v>4.6238570213317871</v>
      </c>
      <c r="UL7">
        <v>105</v>
      </c>
      <c r="UM7" s="1"/>
      <c r="UN7">
        <f t="shared" si="93"/>
        <v>20</v>
      </c>
      <c r="UO7" t="s">
        <v>1108</v>
      </c>
      <c r="UP7" t="s">
        <v>1545</v>
      </c>
      <c r="UQ7">
        <v>26.887799501419071</v>
      </c>
      <c r="UR7">
        <v>209</v>
      </c>
      <c r="US7" s="2"/>
      <c r="UT7">
        <f t="shared" si="94"/>
        <v>61</v>
      </c>
      <c r="UU7" t="s">
        <v>1546</v>
      </c>
      <c r="UV7" t="s">
        <v>1547</v>
      </c>
      <c r="UW7">
        <v>13.721431732177731</v>
      </c>
      <c r="UX7">
        <v>154</v>
      </c>
      <c r="UY7" s="1"/>
      <c r="UZ7">
        <f t="shared" si="95"/>
        <v>13</v>
      </c>
      <c r="VA7" t="s">
        <v>254</v>
      </c>
      <c r="VB7" t="s">
        <v>1548</v>
      </c>
      <c r="VC7">
        <v>244.5555503368378</v>
      </c>
      <c r="VD7">
        <v>141</v>
      </c>
      <c r="VE7" s="2"/>
      <c r="VF7">
        <f t="shared" si="96"/>
        <v>20</v>
      </c>
      <c r="VG7" t="s">
        <v>466</v>
      </c>
      <c r="VH7" t="s">
        <v>1549</v>
      </c>
      <c r="VI7">
        <v>4.7721145153045654</v>
      </c>
      <c r="VJ7">
        <v>192</v>
      </c>
      <c r="VK7" s="1"/>
      <c r="VL7">
        <f t="shared" si="97"/>
        <v>40</v>
      </c>
      <c r="VM7" t="s">
        <v>1550</v>
      </c>
      <c r="VN7" t="s">
        <v>1551</v>
      </c>
      <c r="VO7">
        <v>19.743530988693241</v>
      </c>
      <c r="VP7">
        <v>240</v>
      </c>
      <c r="VQ7" s="2"/>
      <c r="VR7">
        <f t="shared" si="98"/>
        <v>27</v>
      </c>
      <c r="VS7" t="s">
        <v>354</v>
      </c>
      <c r="VT7" t="s">
        <v>1552</v>
      </c>
      <c r="VU7">
        <v>6.7058072090148926</v>
      </c>
      <c r="VV7">
        <v>116</v>
      </c>
      <c r="VW7" s="1"/>
      <c r="VX7">
        <f t="shared" si="99"/>
        <v>35</v>
      </c>
      <c r="VY7" t="s">
        <v>1373</v>
      </c>
      <c r="VZ7" t="s">
        <v>1553</v>
      </c>
      <c r="WA7">
        <v>13.548987150192261</v>
      </c>
      <c r="WB7">
        <v>251</v>
      </c>
      <c r="WC7" s="2"/>
      <c r="WD7">
        <f t="shared" si="100"/>
        <v>36</v>
      </c>
      <c r="WE7" t="s">
        <v>1554</v>
      </c>
      <c r="WF7" t="s">
        <v>1555</v>
      </c>
      <c r="WG7">
        <v>15.212664365768431</v>
      </c>
      <c r="WH7">
        <v>300</v>
      </c>
      <c r="WI7" s="1"/>
      <c r="WJ7">
        <f t="shared" si="101"/>
        <v>37</v>
      </c>
      <c r="WK7" t="s">
        <v>1556</v>
      </c>
      <c r="WL7" t="s">
        <v>1557</v>
      </c>
      <c r="WM7">
        <v>20.927325010299679</v>
      </c>
      <c r="WN7">
        <v>241</v>
      </c>
      <c r="WO7" s="4"/>
      <c r="WP7">
        <f t="shared" si="102"/>
        <v>80</v>
      </c>
      <c r="WQ7" t="s">
        <v>1558</v>
      </c>
      <c r="WR7" t="s">
        <v>1559</v>
      </c>
      <c r="WS7">
        <v>39.190967798233032</v>
      </c>
      <c r="WT7">
        <v>292</v>
      </c>
      <c r="WU7" s="3"/>
      <c r="WV7">
        <f t="shared" si="103"/>
        <v>43</v>
      </c>
      <c r="WW7" t="s">
        <v>1560</v>
      </c>
      <c r="WX7" t="s">
        <v>1561</v>
      </c>
      <c r="WY7">
        <v>186.7077240943909</v>
      </c>
      <c r="WZ7">
        <v>278</v>
      </c>
      <c r="XA7" s="2"/>
      <c r="XB7">
        <f t="shared" si="104"/>
        <v>39</v>
      </c>
      <c r="XC7" t="s">
        <v>1562</v>
      </c>
      <c r="XD7" t="s">
        <v>1563</v>
      </c>
      <c r="XE7">
        <v>24.265383958816528</v>
      </c>
      <c r="XF7">
        <v>191</v>
      </c>
      <c r="XG7" s="5"/>
      <c r="XH7">
        <f t="shared" si="105"/>
        <v>48</v>
      </c>
      <c r="XI7" t="s">
        <v>1564</v>
      </c>
      <c r="XJ7" t="s">
        <v>1565</v>
      </c>
      <c r="XK7">
        <v>8.6280291080474854</v>
      </c>
      <c r="XL7">
        <v>177</v>
      </c>
      <c r="XM7" s="2"/>
      <c r="XN7">
        <f t="shared" si="106"/>
        <v>46</v>
      </c>
      <c r="XO7" t="s">
        <v>1566</v>
      </c>
      <c r="XP7" t="s">
        <v>1567</v>
      </c>
      <c r="XQ7">
        <v>21.715188980102539</v>
      </c>
      <c r="XR7">
        <v>236</v>
      </c>
      <c r="XS7" s="5"/>
      <c r="XT7">
        <f t="shared" si="107"/>
        <v>50</v>
      </c>
      <c r="XU7" t="s">
        <v>1568</v>
      </c>
      <c r="XV7" t="s">
        <v>1569</v>
      </c>
      <c r="XW7">
        <v>8.9395155906677246</v>
      </c>
      <c r="XX7">
        <v>187</v>
      </c>
      <c r="XY7" s="2"/>
      <c r="XZ7">
        <f t="shared" si="108"/>
        <v>33</v>
      </c>
      <c r="YA7" t="s">
        <v>1570</v>
      </c>
      <c r="YB7" t="s">
        <v>1571</v>
      </c>
      <c r="YC7">
        <v>33.889842748641968</v>
      </c>
      <c r="YD7">
        <v>157</v>
      </c>
      <c r="YE7" s="5"/>
      <c r="YF7">
        <f t="shared" si="109"/>
        <v>36</v>
      </c>
      <c r="YG7" t="s">
        <v>1572</v>
      </c>
      <c r="YH7" t="s">
        <v>1573</v>
      </c>
      <c r="YI7">
        <v>10.12980151176453</v>
      </c>
      <c r="YJ7">
        <v>152</v>
      </c>
      <c r="YK7" s="2"/>
      <c r="YL7">
        <f t="shared" si="110"/>
        <v>32</v>
      </c>
      <c r="YM7" t="s">
        <v>1574</v>
      </c>
      <c r="YN7" t="s">
        <v>1575</v>
      </c>
      <c r="YO7">
        <v>19.47777628898621</v>
      </c>
      <c r="YP7">
        <v>132</v>
      </c>
      <c r="YQ7" s="5"/>
      <c r="YR7">
        <f t="shared" si="111"/>
        <v>27</v>
      </c>
      <c r="YS7" t="s">
        <v>1576</v>
      </c>
      <c r="YT7" t="s">
        <v>1577</v>
      </c>
      <c r="YU7">
        <v>7.8887672424316406</v>
      </c>
      <c r="YV7">
        <v>218</v>
      </c>
      <c r="YW7" s="2"/>
      <c r="YX7">
        <f t="shared" si="112"/>
        <v>21</v>
      </c>
      <c r="YY7" t="s">
        <v>1578</v>
      </c>
      <c r="YZ7" t="s">
        <v>1579</v>
      </c>
      <c r="ZA7">
        <v>18.818884611129761</v>
      </c>
      <c r="ZB7">
        <v>124</v>
      </c>
      <c r="ZC7" s="5"/>
      <c r="ZD7">
        <f t="shared" si="113"/>
        <v>25</v>
      </c>
      <c r="ZE7" t="s">
        <v>1580</v>
      </c>
      <c r="ZF7" t="s">
        <v>1581</v>
      </c>
      <c r="ZG7">
        <v>5.1340401172637939</v>
      </c>
      <c r="ZH7">
        <v>151</v>
      </c>
      <c r="ZI7" s="2"/>
      <c r="ZJ7">
        <f t="shared" si="114"/>
        <v>15</v>
      </c>
      <c r="ZK7" t="s">
        <v>1582</v>
      </c>
      <c r="ZL7" t="s">
        <v>1583</v>
      </c>
      <c r="ZM7">
        <v>11.654925584793091</v>
      </c>
      <c r="ZN7">
        <v>181</v>
      </c>
      <c r="ZO7" s="5"/>
      <c r="ZP7">
        <f t="shared" si="115"/>
        <v>23</v>
      </c>
      <c r="ZQ7" t="s">
        <v>1584</v>
      </c>
      <c r="ZR7" t="s">
        <v>1585</v>
      </c>
      <c r="ZS7">
        <v>8.8870792388916016</v>
      </c>
      <c r="ZT7">
        <v>244</v>
      </c>
      <c r="ZU7" s="2"/>
      <c r="ZV7">
        <f t="shared" si="116"/>
        <v>7</v>
      </c>
      <c r="ZW7" t="s">
        <v>1586</v>
      </c>
      <c r="ZX7" t="s">
        <v>1587</v>
      </c>
      <c r="ZY7">
        <v>50.645480394363403</v>
      </c>
      <c r="ZZ7">
        <v>111</v>
      </c>
      <c r="AAA7" s="5"/>
      <c r="AAB7">
        <f t="shared" si="117"/>
        <v>46</v>
      </c>
      <c r="AAC7" t="s">
        <v>1588</v>
      </c>
      <c r="AAD7" t="s">
        <v>1589</v>
      </c>
      <c r="AAE7">
        <v>47.307649850845337</v>
      </c>
      <c r="AAF7">
        <v>215</v>
      </c>
      <c r="AAG7" s="2"/>
      <c r="AAH7">
        <f t="shared" si="118"/>
        <v>21</v>
      </c>
      <c r="AAI7" t="s">
        <v>843</v>
      </c>
      <c r="AAJ7" t="s">
        <v>1590</v>
      </c>
      <c r="AAK7">
        <v>14.33496451377869</v>
      </c>
      <c r="AAL7">
        <v>235</v>
      </c>
      <c r="AAM7" s="5"/>
      <c r="AAN7">
        <f t="shared" si="119"/>
        <v>23</v>
      </c>
      <c r="AAO7" t="s">
        <v>1591</v>
      </c>
      <c r="AAP7" t="s">
        <v>1592</v>
      </c>
      <c r="AAQ7">
        <v>3.8107600212097168</v>
      </c>
      <c r="AAR7">
        <v>166</v>
      </c>
      <c r="AAS7" s="2"/>
      <c r="AAT7">
        <f t="shared" si="120"/>
        <v>40</v>
      </c>
      <c r="AAU7" t="s">
        <v>1593</v>
      </c>
      <c r="AAV7" t="s">
        <v>1594</v>
      </c>
      <c r="AAW7">
        <v>14.47244715690613</v>
      </c>
      <c r="AAX7">
        <v>196</v>
      </c>
      <c r="AAY7" s="5"/>
      <c r="AAZ7">
        <f t="shared" si="121"/>
        <v>39</v>
      </c>
      <c r="ABA7" t="s">
        <v>178</v>
      </c>
      <c r="ABB7" t="s">
        <v>1595</v>
      </c>
      <c r="ABC7">
        <v>19.459065198898319</v>
      </c>
      <c r="ABD7">
        <v>193</v>
      </c>
      <c r="ABE7" s="2"/>
      <c r="ABF7">
        <f t="shared" si="122"/>
        <v>38</v>
      </c>
      <c r="ABG7" t="s">
        <v>1596</v>
      </c>
      <c r="ABH7" t="s">
        <v>1597</v>
      </c>
      <c r="ABI7">
        <v>35.304917812347412</v>
      </c>
      <c r="ABJ7">
        <v>117</v>
      </c>
      <c r="ABK7" s="5"/>
      <c r="ABL7">
        <f t="shared" si="123"/>
        <v>77</v>
      </c>
      <c r="ABM7" t="s">
        <v>1598</v>
      </c>
      <c r="ABN7" t="s">
        <v>1599</v>
      </c>
      <c r="ABO7">
        <v>25.798424243926998</v>
      </c>
      <c r="ABP7">
        <v>317</v>
      </c>
      <c r="ABQ7" s="2"/>
      <c r="ABR7">
        <f t="shared" si="124"/>
        <v>72</v>
      </c>
      <c r="ABS7" t="s">
        <v>1600</v>
      </c>
      <c r="ABT7" t="s">
        <v>1601</v>
      </c>
      <c r="ABU7">
        <v>131.74597406387329</v>
      </c>
      <c r="ABV7">
        <v>247</v>
      </c>
      <c r="ABW7" s="5"/>
      <c r="ABX7">
        <f t="shared" si="125"/>
        <v>16</v>
      </c>
      <c r="ABY7" t="s">
        <v>1602</v>
      </c>
      <c r="ABZ7" t="s">
        <v>1603</v>
      </c>
      <c r="ACA7">
        <v>3.330386638641357</v>
      </c>
      <c r="ACB7">
        <v>143</v>
      </c>
      <c r="ACC7" s="2"/>
      <c r="ACD7">
        <f t="shared" si="126"/>
        <v>33</v>
      </c>
      <c r="ACE7" t="s">
        <v>1604</v>
      </c>
      <c r="ACF7" t="s">
        <v>1605</v>
      </c>
      <c r="ACG7">
        <v>14.883480548858641</v>
      </c>
      <c r="ACH7">
        <v>133</v>
      </c>
      <c r="ACI7" s="5"/>
      <c r="ACJ7">
        <f t="shared" si="127"/>
        <v>30</v>
      </c>
      <c r="ACK7" t="s">
        <v>1606</v>
      </c>
      <c r="ACL7" t="s">
        <v>1607</v>
      </c>
      <c r="ACM7">
        <v>14.49010705947876</v>
      </c>
      <c r="ACN7">
        <v>268</v>
      </c>
      <c r="ACO7" s="2"/>
      <c r="ACP7">
        <f t="shared" si="128"/>
        <v>54</v>
      </c>
      <c r="ACQ7" t="s">
        <v>1608</v>
      </c>
      <c r="ACR7" t="s">
        <v>1609</v>
      </c>
      <c r="ACS7">
        <v>40.21632981300354</v>
      </c>
      <c r="ACT7">
        <v>270</v>
      </c>
      <c r="ACU7" s="5"/>
      <c r="ACV7">
        <f t="shared" si="129"/>
        <v>36</v>
      </c>
      <c r="ACW7" t="s">
        <v>1610</v>
      </c>
      <c r="ACX7" t="s">
        <v>1611</v>
      </c>
      <c r="ACY7">
        <v>4.2211501598358154</v>
      </c>
      <c r="ACZ7">
        <v>234</v>
      </c>
      <c r="ADA7" s="2"/>
      <c r="ADB7">
        <f t="shared" si="130"/>
        <v>28</v>
      </c>
      <c r="ADC7" t="s">
        <v>1612</v>
      </c>
      <c r="ADD7" t="s">
        <v>1613</v>
      </c>
      <c r="ADE7">
        <v>80.578501462936401</v>
      </c>
      <c r="ADF7">
        <v>156</v>
      </c>
      <c r="ADG7" s="5"/>
      <c r="ADH7">
        <f t="shared" si="131"/>
        <v>48</v>
      </c>
      <c r="ADI7" t="s">
        <v>1614</v>
      </c>
      <c r="ADJ7" t="s">
        <v>1615</v>
      </c>
      <c r="ADK7">
        <v>134.33935928344729</v>
      </c>
      <c r="ADL7">
        <v>172</v>
      </c>
      <c r="ADM7" s="2"/>
      <c r="ADN7">
        <f t="shared" si="132"/>
        <v>47</v>
      </c>
      <c r="ADO7" t="s">
        <v>1616</v>
      </c>
      <c r="ADP7" t="s">
        <v>1617</v>
      </c>
      <c r="ADQ7">
        <v>25.860122203826901</v>
      </c>
      <c r="ADR7">
        <v>202</v>
      </c>
      <c r="ADS7" s="5"/>
      <c r="ADT7">
        <f t="shared" si="133"/>
        <v>30</v>
      </c>
      <c r="ADU7" t="s">
        <v>1618</v>
      </c>
      <c r="ADV7" t="s">
        <v>1619</v>
      </c>
      <c r="ADW7">
        <v>8.8148283958435059</v>
      </c>
      <c r="ADX7">
        <v>158</v>
      </c>
      <c r="ADY7" s="2"/>
      <c r="ADZ7">
        <f t="shared" si="134"/>
        <v>39</v>
      </c>
      <c r="AEA7" t="s">
        <v>1620</v>
      </c>
      <c r="AEB7" t="s">
        <v>1621</v>
      </c>
      <c r="AEC7">
        <v>22.105749845504761</v>
      </c>
      <c r="AED7">
        <v>184</v>
      </c>
      <c r="AEE7" s="5"/>
      <c r="AEF7">
        <f t="shared" si="135"/>
        <v>42</v>
      </c>
      <c r="AEG7" t="s">
        <v>1622</v>
      </c>
      <c r="AEH7" t="s">
        <v>1623</v>
      </c>
      <c r="AEI7">
        <v>6.6446535587310791</v>
      </c>
      <c r="AEJ7">
        <v>163</v>
      </c>
      <c r="AEK7" s="2"/>
      <c r="AEL7">
        <f t="shared" si="136"/>
        <v>28</v>
      </c>
      <c r="AEM7" t="s">
        <v>1062</v>
      </c>
      <c r="AEN7" t="s">
        <v>1624</v>
      </c>
      <c r="AEO7">
        <v>11.679184436798099</v>
      </c>
      <c r="AEP7">
        <v>243</v>
      </c>
      <c r="AEQ7" s="5"/>
      <c r="AER7">
        <f t="shared" si="137"/>
        <v>87</v>
      </c>
      <c r="AES7" t="s">
        <v>1625</v>
      </c>
      <c r="AET7" t="s">
        <v>1626</v>
      </c>
      <c r="AEU7">
        <v>35.087493658065803</v>
      </c>
      <c r="AEV7">
        <v>189</v>
      </c>
      <c r="AEW7" s="2"/>
      <c r="AEX7">
        <f t="shared" si="138"/>
        <v>32</v>
      </c>
      <c r="AEY7" t="s">
        <v>1627</v>
      </c>
      <c r="AEZ7" t="s">
        <v>1628</v>
      </c>
      <c r="AFA7">
        <v>18.369103193283081</v>
      </c>
      <c r="AFB7">
        <v>124</v>
      </c>
      <c r="AFC7" s="5"/>
      <c r="AFD7">
        <f t="shared" si="139"/>
        <v>36</v>
      </c>
      <c r="AFE7" t="s">
        <v>332</v>
      </c>
      <c r="AFF7" t="s">
        <v>1629</v>
      </c>
      <c r="AFG7">
        <v>9.4634549617767334</v>
      </c>
      <c r="AFH7">
        <v>128</v>
      </c>
      <c r="AFI7" s="2"/>
      <c r="AFJ7">
        <f t="shared" si="140"/>
        <v>56</v>
      </c>
      <c r="AFK7" t="s">
        <v>1630</v>
      </c>
      <c r="AFL7" t="s">
        <v>1631</v>
      </c>
      <c r="AFM7">
        <v>23.383572578430179</v>
      </c>
      <c r="AFN7">
        <v>240</v>
      </c>
      <c r="AFO7" s="5"/>
      <c r="AFP7">
        <f t="shared" si="141"/>
        <v>75</v>
      </c>
      <c r="AFQ7" t="s">
        <v>1632</v>
      </c>
      <c r="AFR7" t="s">
        <v>1633</v>
      </c>
      <c r="AFS7">
        <v>24.373181581497189</v>
      </c>
      <c r="AFT7">
        <v>213</v>
      </c>
      <c r="AFU7" s="2"/>
      <c r="AFV7">
        <f t="shared" si="142"/>
        <v>48</v>
      </c>
      <c r="AFW7" t="s">
        <v>1634</v>
      </c>
      <c r="AFX7" t="s">
        <v>1635</v>
      </c>
      <c r="AFY7">
        <v>32.768410205841057</v>
      </c>
      <c r="AFZ7">
        <v>226</v>
      </c>
      <c r="AGA7" s="5"/>
      <c r="AGB7">
        <f t="shared" si="143"/>
        <v>31</v>
      </c>
      <c r="AGC7" t="s">
        <v>1636</v>
      </c>
      <c r="AGD7" t="s">
        <v>1637</v>
      </c>
      <c r="AGE7">
        <v>8.630244255065918</v>
      </c>
      <c r="AGF7">
        <v>194</v>
      </c>
      <c r="AGG7" s="2"/>
      <c r="AGH7">
        <f t="shared" si="144"/>
        <v>25</v>
      </c>
      <c r="AGI7" t="s">
        <v>1638</v>
      </c>
      <c r="AGJ7" t="s">
        <v>1639</v>
      </c>
      <c r="AGK7">
        <v>16.725491762161251</v>
      </c>
      <c r="AGL7">
        <v>140</v>
      </c>
      <c r="AGM7" s="5"/>
      <c r="AGN7">
        <f t="shared" si="145"/>
        <v>36</v>
      </c>
      <c r="AGO7" t="s">
        <v>1640</v>
      </c>
      <c r="AGP7" t="s">
        <v>1641</v>
      </c>
      <c r="AGQ7">
        <v>15.233049392700201</v>
      </c>
      <c r="AGR7">
        <v>252</v>
      </c>
      <c r="AGS7" s="2"/>
      <c r="AGT7">
        <f t="shared" si="146"/>
        <v>100</v>
      </c>
      <c r="AGU7" t="s">
        <v>1642</v>
      </c>
      <c r="AGV7" t="s">
        <v>1643</v>
      </c>
      <c r="AGW7">
        <v>67.676817655563354</v>
      </c>
      <c r="AGX7">
        <v>221</v>
      </c>
      <c r="AGY7" s="5"/>
      <c r="AGZ7">
        <f t="shared" si="147"/>
        <v>32</v>
      </c>
      <c r="AHA7" t="s">
        <v>1644</v>
      </c>
      <c r="AHB7" t="s">
        <v>1645</v>
      </c>
      <c r="AHC7">
        <v>140.6396107673645</v>
      </c>
      <c r="AHD7">
        <v>188</v>
      </c>
      <c r="AHE7" s="2"/>
      <c r="AHF7">
        <f t="shared" si="148"/>
        <v>50</v>
      </c>
      <c r="AHG7" t="s">
        <v>1646</v>
      </c>
      <c r="AHH7" t="s">
        <v>1647</v>
      </c>
      <c r="AHI7">
        <v>24.23873591423035</v>
      </c>
      <c r="AHJ7">
        <v>132</v>
      </c>
      <c r="AHK7" s="5"/>
      <c r="AHL7">
        <f t="shared" si="149"/>
        <v>43</v>
      </c>
      <c r="AHM7" t="s">
        <v>1648</v>
      </c>
      <c r="AHN7" t="s">
        <v>1649</v>
      </c>
      <c r="AHO7">
        <v>12.77283549308777</v>
      </c>
      <c r="AHP7">
        <v>227</v>
      </c>
      <c r="AHQ7" s="2"/>
      <c r="AHR7">
        <f t="shared" si="150"/>
        <v>32</v>
      </c>
      <c r="AHS7" t="s">
        <v>1650</v>
      </c>
      <c r="AHT7" t="s">
        <v>1651</v>
      </c>
      <c r="AHU7">
        <v>17.104315519332889</v>
      </c>
      <c r="AHV7">
        <v>162</v>
      </c>
      <c r="AHW7" s="5"/>
      <c r="AHX7">
        <f t="shared" si="151"/>
        <v>27</v>
      </c>
      <c r="AHY7" t="s">
        <v>1652</v>
      </c>
      <c r="AHZ7" t="s">
        <v>1653</v>
      </c>
      <c r="AIA7">
        <v>12.079020500183111</v>
      </c>
      <c r="AIB7">
        <v>148</v>
      </c>
      <c r="AIC7" s="2"/>
      <c r="AID7">
        <f t="shared" si="152"/>
        <v>36</v>
      </c>
      <c r="AIE7" t="s">
        <v>1654</v>
      </c>
      <c r="AIF7" t="s">
        <v>1655</v>
      </c>
      <c r="AIG7">
        <v>61.043613195419312</v>
      </c>
      <c r="AIH7">
        <v>204</v>
      </c>
      <c r="AII7" s="5"/>
      <c r="AIJ7">
        <f t="shared" si="153"/>
        <v>45</v>
      </c>
      <c r="AIK7" t="s">
        <v>1656</v>
      </c>
      <c r="AIL7" t="s">
        <v>1657</v>
      </c>
      <c r="AIM7">
        <v>111.49098515510561</v>
      </c>
      <c r="AIN7">
        <v>160</v>
      </c>
      <c r="AIO7" s="2"/>
      <c r="AIP7">
        <f t="shared" si="154"/>
        <v>30</v>
      </c>
      <c r="AIQ7" t="s">
        <v>1658</v>
      </c>
      <c r="AIR7" t="s">
        <v>1659</v>
      </c>
      <c r="AIS7">
        <v>243.1509153842926</v>
      </c>
      <c r="AIT7">
        <v>252</v>
      </c>
      <c r="AIU7" s="5"/>
      <c r="AIV7">
        <f t="shared" si="155"/>
        <v>41</v>
      </c>
      <c r="AIW7" t="s">
        <v>1660</v>
      </c>
      <c r="AIX7" t="s">
        <v>1661</v>
      </c>
      <c r="AIY7">
        <v>20.03510141372681</v>
      </c>
      <c r="AIZ7">
        <v>183</v>
      </c>
      <c r="AJA7" s="2"/>
      <c r="AJB7">
        <f t="shared" si="156"/>
        <v>39</v>
      </c>
      <c r="AJC7" t="s">
        <v>378</v>
      </c>
      <c r="AJD7" t="s">
        <v>1662</v>
      </c>
      <c r="AJE7">
        <v>19.878828048706051</v>
      </c>
      <c r="AJF7">
        <v>147</v>
      </c>
      <c r="AJG7" s="5"/>
      <c r="AJH7">
        <f t="shared" si="157"/>
        <v>27</v>
      </c>
      <c r="AJI7" t="s">
        <v>1663</v>
      </c>
      <c r="AJJ7" t="s">
        <v>1664</v>
      </c>
      <c r="AJK7">
        <v>6.5303201675415039</v>
      </c>
      <c r="AJL7">
        <v>138</v>
      </c>
      <c r="AJM7" s="2"/>
      <c r="AJN7">
        <f t="shared" si="158"/>
        <v>55</v>
      </c>
      <c r="AJO7" t="s">
        <v>1665</v>
      </c>
      <c r="AJP7" t="s">
        <v>1666</v>
      </c>
      <c r="AJQ7">
        <v>31.050827741622921</v>
      </c>
      <c r="AJR7">
        <v>320</v>
      </c>
      <c r="AJS7" s="5"/>
      <c r="AJT7">
        <f t="shared" si="159"/>
        <v>52</v>
      </c>
      <c r="AJU7" t="s">
        <v>1667</v>
      </c>
      <c r="AJV7" t="s">
        <v>1668</v>
      </c>
      <c r="AJW7">
        <v>12.952728986740111</v>
      </c>
      <c r="AJX7">
        <v>297</v>
      </c>
      <c r="AJY7" s="2"/>
      <c r="AJZ7">
        <f t="shared" si="160"/>
        <v>11</v>
      </c>
      <c r="AKA7" t="s">
        <v>1669</v>
      </c>
      <c r="AKB7" t="s">
        <v>1670</v>
      </c>
      <c r="AKC7">
        <v>42.927999496459961</v>
      </c>
      <c r="AKD7">
        <v>233</v>
      </c>
      <c r="AKE7" s="5"/>
      <c r="AKF7">
        <f t="shared" si="161"/>
        <v>44</v>
      </c>
      <c r="AKG7" t="s">
        <v>1671</v>
      </c>
      <c r="AKH7" t="s">
        <v>1672</v>
      </c>
      <c r="AKI7">
        <v>27.2529730796814</v>
      </c>
      <c r="AKJ7">
        <v>202</v>
      </c>
      <c r="AKK7" s="2"/>
      <c r="AKL7">
        <f t="shared" si="162"/>
        <v>29</v>
      </c>
      <c r="AKM7" t="s">
        <v>1673</v>
      </c>
      <c r="AKN7" t="s">
        <v>1674</v>
      </c>
      <c r="AKO7">
        <v>30.58172607421875</v>
      </c>
      <c r="AKP7">
        <v>209</v>
      </c>
      <c r="AKQ7" s="5"/>
      <c r="AKR7">
        <f t="shared" si="163"/>
        <v>35</v>
      </c>
      <c r="AKS7" t="s">
        <v>1675</v>
      </c>
      <c r="AKT7" t="s">
        <v>1676</v>
      </c>
      <c r="AKU7">
        <v>8.9690995216369629</v>
      </c>
      <c r="AKV7">
        <v>191</v>
      </c>
      <c r="AKW7" s="2"/>
      <c r="AKX7">
        <f t="shared" si="164"/>
        <v>28</v>
      </c>
      <c r="AKY7" t="s">
        <v>1413</v>
      </c>
      <c r="AKZ7" t="s">
        <v>1677</v>
      </c>
      <c r="ALA7">
        <v>22.442517518997189</v>
      </c>
      <c r="ALB7">
        <v>231</v>
      </c>
      <c r="ALC7" s="5"/>
      <c r="ALD7">
        <f t="shared" si="165"/>
        <v>41</v>
      </c>
      <c r="ALE7" t="s">
        <v>1678</v>
      </c>
      <c r="ALF7" t="s">
        <v>1679</v>
      </c>
      <c r="ALG7">
        <v>54.843352317810059</v>
      </c>
      <c r="ALH7">
        <v>209</v>
      </c>
      <c r="ALI7" s="2"/>
      <c r="ALJ7">
        <f t="shared" si="166"/>
        <v>84</v>
      </c>
      <c r="ALK7" t="s">
        <v>1680</v>
      </c>
      <c r="ALL7" t="s">
        <v>1681</v>
      </c>
      <c r="ALM7">
        <v>12.915530204772949</v>
      </c>
      <c r="ALN7">
        <v>196</v>
      </c>
      <c r="ALO7" s="5"/>
      <c r="ALP7">
        <f t="shared" si="167"/>
        <v>30</v>
      </c>
      <c r="ALQ7" t="s">
        <v>1682</v>
      </c>
      <c r="ALR7" t="s">
        <v>1683</v>
      </c>
      <c r="ALS7">
        <v>6.8266732692718506</v>
      </c>
      <c r="ALT7">
        <v>89</v>
      </c>
      <c r="ALU7" s="2"/>
      <c r="ALV7">
        <f t="shared" si="168"/>
        <v>33</v>
      </c>
      <c r="ALW7" t="s">
        <v>1684</v>
      </c>
      <c r="ALX7" t="s">
        <v>1685</v>
      </c>
      <c r="ALY7">
        <v>15.928161859512331</v>
      </c>
      <c r="ALZ7">
        <v>208</v>
      </c>
      <c r="AMA7" s="5"/>
      <c r="AMB7">
        <f t="shared" si="169"/>
        <v>41</v>
      </c>
      <c r="AMC7" t="s">
        <v>1686</v>
      </c>
      <c r="AMD7" t="s">
        <v>1687</v>
      </c>
      <c r="AME7">
        <v>13.66826224327087</v>
      </c>
      <c r="AMF7">
        <v>184</v>
      </c>
      <c r="AMG7" s="2"/>
      <c r="AMH7">
        <f t="shared" si="170"/>
        <v>64</v>
      </c>
      <c r="AMI7" t="s">
        <v>1688</v>
      </c>
      <c r="AMJ7" t="s">
        <v>1689</v>
      </c>
      <c r="AMK7">
        <v>46.625542879104607</v>
      </c>
      <c r="AML7">
        <v>367</v>
      </c>
      <c r="AMM7" s="5"/>
      <c r="AMN7">
        <f t="shared" si="171"/>
        <v>45</v>
      </c>
      <c r="AMO7" t="s">
        <v>1690</v>
      </c>
      <c r="AMP7" t="s">
        <v>1691</v>
      </c>
      <c r="AMQ7">
        <v>14.29558277130127</v>
      </c>
      <c r="AMR7">
        <v>239</v>
      </c>
      <c r="AMS7" s="2"/>
      <c r="AMT7">
        <f t="shared" si="172"/>
        <v>45</v>
      </c>
      <c r="AMU7" t="s">
        <v>1692</v>
      </c>
      <c r="AMV7" t="s">
        <v>1693</v>
      </c>
      <c r="AMW7">
        <v>35.878695249557502</v>
      </c>
      <c r="AMX7">
        <v>279</v>
      </c>
      <c r="AMY7" s="5"/>
      <c r="AMZ7">
        <f t="shared" si="173"/>
        <v>33</v>
      </c>
      <c r="ANA7" t="s">
        <v>254</v>
      </c>
      <c r="ANB7" t="s">
        <v>1694</v>
      </c>
      <c r="ANC7">
        <v>10.98967409133911</v>
      </c>
      <c r="AND7">
        <v>174</v>
      </c>
      <c r="ANE7" s="2"/>
      <c r="ANF7">
        <f t="shared" si="174"/>
        <v>84</v>
      </c>
      <c r="ANG7" t="s">
        <v>1695</v>
      </c>
      <c r="ANH7" t="s">
        <v>1696</v>
      </c>
      <c r="ANI7">
        <v>31.44606971740723</v>
      </c>
      <c r="ANJ7">
        <v>161</v>
      </c>
      <c r="ANK7" s="5"/>
      <c r="ANL7">
        <f t="shared" si="175"/>
        <v>38</v>
      </c>
      <c r="ANM7" t="s">
        <v>1697</v>
      </c>
      <c r="ANN7" t="s">
        <v>1698</v>
      </c>
      <c r="ANO7">
        <v>16.442769765853878</v>
      </c>
      <c r="ANP7">
        <v>169</v>
      </c>
      <c r="ANQ7" s="2"/>
      <c r="ANR7">
        <f t="shared" si="176"/>
        <v>30</v>
      </c>
      <c r="ANS7" t="s">
        <v>1699</v>
      </c>
      <c r="ANT7" t="s">
        <v>1700</v>
      </c>
      <c r="ANU7">
        <v>55.560344457626343</v>
      </c>
      <c r="ANV7">
        <v>177</v>
      </c>
      <c r="ANW7" s="5"/>
      <c r="ANX7">
        <f t="shared" si="177"/>
        <v>58</v>
      </c>
      <c r="ANY7" t="s">
        <v>1701</v>
      </c>
      <c r="ANZ7" t="s">
        <v>1702</v>
      </c>
      <c r="AOA7">
        <v>206.1556804180145</v>
      </c>
      <c r="AOB7">
        <v>197</v>
      </c>
      <c r="AOC7" s="2"/>
      <c r="AOD7">
        <f t="shared" si="178"/>
        <v>34</v>
      </c>
      <c r="AOE7" t="s">
        <v>1703</v>
      </c>
      <c r="AOF7" t="s">
        <v>1704</v>
      </c>
      <c r="AOG7">
        <v>24.81882214546204</v>
      </c>
      <c r="AOH7">
        <v>192</v>
      </c>
      <c r="AOI7" s="5"/>
      <c r="AOJ7">
        <f t="shared" si="179"/>
        <v>30</v>
      </c>
      <c r="AOK7" t="s">
        <v>1705</v>
      </c>
      <c r="AOL7" t="s">
        <v>1706</v>
      </c>
      <c r="AOM7">
        <v>11.625271320343019</v>
      </c>
      <c r="AON7">
        <v>233</v>
      </c>
      <c r="AOO7" s="2"/>
      <c r="AOP7">
        <f t="shared" si="180"/>
        <v>68</v>
      </c>
      <c r="AOQ7" t="s">
        <v>1707</v>
      </c>
      <c r="AOR7" t="s">
        <v>1708</v>
      </c>
      <c r="AOS7">
        <v>51.12873387336731</v>
      </c>
      <c r="AOT7">
        <v>334</v>
      </c>
      <c r="AOU7" s="5"/>
      <c r="AOV7">
        <f t="shared" si="181"/>
        <v>37</v>
      </c>
      <c r="AOW7" t="s">
        <v>1709</v>
      </c>
      <c r="AOX7" t="s">
        <v>1710</v>
      </c>
      <c r="AOY7">
        <v>20.19017124176025</v>
      </c>
      <c r="AOZ7">
        <v>165</v>
      </c>
      <c r="APA7" s="2"/>
      <c r="APB7">
        <f t="shared" si="182"/>
        <v>45</v>
      </c>
      <c r="APC7" t="s">
        <v>1711</v>
      </c>
      <c r="APD7" t="s">
        <v>1712</v>
      </c>
      <c r="APE7">
        <v>35.025007486343377</v>
      </c>
      <c r="APF7">
        <v>205</v>
      </c>
      <c r="APG7" s="5"/>
      <c r="APH7">
        <f t="shared" si="183"/>
        <v>24</v>
      </c>
      <c r="API7" t="s">
        <v>1713</v>
      </c>
      <c r="APJ7" t="s">
        <v>1714</v>
      </c>
      <c r="APK7">
        <v>8.9650709629058838</v>
      </c>
      <c r="APL7">
        <v>276</v>
      </c>
      <c r="APM7" s="2"/>
      <c r="APN7">
        <f t="shared" si="184"/>
        <v>16</v>
      </c>
      <c r="APO7" t="s">
        <v>1715</v>
      </c>
      <c r="APP7" t="s">
        <v>1716</v>
      </c>
      <c r="APQ7">
        <v>11.12777137756348</v>
      </c>
      <c r="APR7">
        <v>200</v>
      </c>
      <c r="APS7" s="5"/>
      <c r="APT7">
        <f t="shared" si="185"/>
        <v>42</v>
      </c>
      <c r="APU7" t="s">
        <v>1717</v>
      </c>
      <c r="APV7" t="s">
        <v>1718</v>
      </c>
      <c r="APW7">
        <v>13.89898109436035</v>
      </c>
      <c r="APX7">
        <v>275</v>
      </c>
      <c r="APY7" s="2"/>
      <c r="APZ7">
        <f t="shared" si="186"/>
        <v>29</v>
      </c>
      <c r="AQA7" t="s">
        <v>1008</v>
      </c>
      <c r="AQB7" t="s">
        <v>1719</v>
      </c>
      <c r="AQC7">
        <v>55.418529033660889</v>
      </c>
      <c r="AQD7">
        <v>204</v>
      </c>
      <c r="AQE7" s="5"/>
      <c r="AQF7">
        <f t="shared" si="187"/>
        <v>33</v>
      </c>
      <c r="AQG7" t="s">
        <v>1720</v>
      </c>
      <c r="AQH7" t="s">
        <v>1721</v>
      </c>
      <c r="AQI7">
        <v>10.90311908721924</v>
      </c>
      <c r="AQJ7">
        <v>187</v>
      </c>
      <c r="AQK7" s="2"/>
      <c r="AQL7">
        <f t="shared" si="188"/>
        <v>31</v>
      </c>
      <c r="AQM7" t="s">
        <v>1722</v>
      </c>
      <c r="AQN7" t="s">
        <v>1723</v>
      </c>
      <c r="AQO7">
        <v>37.067724466323853</v>
      </c>
      <c r="AQP7">
        <v>176</v>
      </c>
      <c r="AQQ7" s="5"/>
      <c r="AQR7">
        <f t="shared" si="189"/>
        <v>45</v>
      </c>
      <c r="AQS7" t="s">
        <v>1724</v>
      </c>
      <c r="AQT7" t="s">
        <v>1725</v>
      </c>
      <c r="AQU7">
        <v>12.210197925567631</v>
      </c>
      <c r="AQV7">
        <v>196</v>
      </c>
      <c r="AQW7" s="2"/>
      <c r="AQX7">
        <f t="shared" si="190"/>
        <v>26</v>
      </c>
      <c r="AQY7" t="s">
        <v>1726</v>
      </c>
      <c r="AQZ7" t="s">
        <v>1727</v>
      </c>
      <c r="ARA7">
        <v>12.11742091178894</v>
      </c>
      <c r="ARB7">
        <v>172</v>
      </c>
      <c r="ARC7" s="5"/>
      <c r="ARD7">
        <f t="shared" si="191"/>
        <v>32</v>
      </c>
      <c r="ARE7" t="s">
        <v>1728</v>
      </c>
      <c r="ARF7" t="s">
        <v>1729</v>
      </c>
      <c r="ARG7">
        <v>7.0113723278045654</v>
      </c>
      <c r="ARH7">
        <v>225</v>
      </c>
      <c r="ARI7" s="2"/>
      <c r="ARJ7">
        <f t="shared" si="192"/>
        <v>18</v>
      </c>
      <c r="ARK7" t="s">
        <v>1673</v>
      </c>
      <c r="ARL7" t="s">
        <v>1730</v>
      </c>
      <c r="ARM7">
        <v>10.56595420837402</v>
      </c>
      <c r="ARN7">
        <v>113</v>
      </c>
      <c r="ARO7" s="5"/>
      <c r="ARP7">
        <f t="shared" si="193"/>
        <v>22</v>
      </c>
      <c r="ARQ7" t="s">
        <v>1731</v>
      </c>
      <c r="ARR7" t="s">
        <v>1732</v>
      </c>
      <c r="ARS7">
        <v>6.019127368927002</v>
      </c>
      <c r="ART7">
        <v>195</v>
      </c>
      <c r="ARU7" s="2"/>
      <c r="ARV7">
        <f t="shared" si="194"/>
        <v>31</v>
      </c>
      <c r="ARW7" t="s">
        <v>1733</v>
      </c>
      <c r="ARX7" t="s">
        <v>1734</v>
      </c>
      <c r="ARY7">
        <v>20.93140006065369</v>
      </c>
      <c r="ARZ7">
        <v>271</v>
      </c>
      <c r="ASA7" s="5"/>
      <c r="ASB7">
        <f t="shared" si="195"/>
        <v>23</v>
      </c>
      <c r="ASC7" t="s">
        <v>1735</v>
      </c>
      <c r="ASD7" t="s">
        <v>1736</v>
      </c>
      <c r="ASE7">
        <v>21.555321455001831</v>
      </c>
      <c r="ASF7">
        <v>176</v>
      </c>
      <c r="ASG7" s="2"/>
      <c r="ASH7">
        <f t="shared" si="196"/>
        <v>30</v>
      </c>
      <c r="ASI7" t="s">
        <v>1737</v>
      </c>
      <c r="ASJ7" t="s">
        <v>1738</v>
      </c>
      <c r="ASK7">
        <v>25.265747308731079</v>
      </c>
      <c r="ASL7">
        <v>250</v>
      </c>
      <c r="ASM7" s="5"/>
      <c r="ASN7">
        <f t="shared" si="197"/>
        <v>31</v>
      </c>
      <c r="ASO7" t="s">
        <v>1739</v>
      </c>
      <c r="ASP7" t="s">
        <v>1740</v>
      </c>
      <c r="ASQ7">
        <v>10.34374642372131</v>
      </c>
      <c r="ASR7">
        <v>190</v>
      </c>
      <c r="ASS7" s="2"/>
      <c r="AST7">
        <f t="shared" si="198"/>
        <v>16</v>
      </c>
      <c r="ASU7" t="s">
        <v>1062</v>
      </c>
      <c r="ASV7" t="s">
        <v>1741</v>
      </c>
      <c r="ASW7">
        <v>28.88112115859985</v>
      </c>
      <c r="ASX7">
        <v>108</v>
      </c>
      <c r="ASY7" s="5"/>
      <c r="ASZ7">
        <f t="shared" si="199"/>
        <v>37</v>
      </c>
      <c r="ATA7" t="s">
        <v>1742</v>
      </c>
      <c r="ATB7" t="s">
        <v>1743</v>
      </c>
      <c r="ATC7">
        <v>12.090113162994379</v>
      </c>
      <c r="ATD7">
        <v>133</v>
      </c>
      <c r="ATE7" s="2"/>
      <c r="ATF7">
        <f t="shared" si="200"/>
        <v>27</v>
      </c>
      <c r="ATG7" t="s">
        <v>1744</v>
      </c>
      <c r="ATH7" t="s">
        <v>1745</v>
      </c>
      <c r="ATI7">
        <v>153.1738905906677</v>
      </c>
      <c r="ATJ7">
        <v>247</v>
      </c>
      <c r="ATK7" s="5"/>
      <c r="ATL7">
        <f t="shared" si="201"/>
        <v>66</v>
      </c>
      <c r="ATM7" t="s">
        <v>1746</v>
      </c>
      <c r="ATN7" t="s">
        <v>1747</v>
      </c>
      <c r="ATO7">
        <v>18.97656774520874</v>
      </c>
      <c r="ATP7">
        <v>253</v>
      </c>
      <c r="ATQ7" s="2"/>
      <c r="ATR7">
        <f t="shared" si="202"/>
        <v>24</v>
      </c>
      <c r="ATS7" t="s">
        <v>1748</v>
      </c>
      <c r="ATT7" t="s">
        <v>1749</v>
      </c>
      <c r="ATU7">
        <v>18.24654221534729</v>
      </c>
      <c r="ATV7">
        <v>207</v>
      </c>
      <c r="ATW7" s="5"/>
      <c r="ATX7">
        <f t="shared" si="203"/>
        <v>40</v>
      </c>
      <c r="ATY7" t="s">
        <v>1750</v>
      </c>
      <c r="ATZ7" t="s">
        <v>1751</v>
      </c>
      <c r="AUA7">
        <v>12.715094327926639</v>
      </c>
      <c r="AUB7">
        <v>290</v>
      </c>
      <c r="AUC7" s="2"/>
    </row>
    <row r="8" spans="2:1225" x14ac:dyDescent="0.25">
      <c r="B8">
        <f t="shared" si="0"/>
        <v>12</v>
      </c>
      <c r="C8" t="s">
        <v>1752</v>
      </c>
      <c r="D8" t="s">
        <v>1753</v>
      </c>
      <c r="E8">
        <v>3.0979924201965332</v>
      </c>
      <c r="F8">
        <v>165</v>
      </c>
      <c r="G8" s="1"/>
      <c r="H8">
        <f t="shared" si="1"/>
        <v>38</v>
      </c>
      <c r="I8" t="s">
        <v>1754</v>
      </c>
      <c r="J8" t="s">
        <v>1755</v>
      </c>
      <c r="K8">
        <v>14.958516120910639</v>
      </c>
      <c r="L8">
        <v>343</v>
      </c>
      <c r="M8" s="2"/>
      <c r="N8">
        <f t="shared" si="2"/>
        <v>22</v>
      </c>
      <c r="O8" t="s">
        <v>1756</v>
      </c>
      <c r="P8" t="s">
        <v>1757</v>
      </c>
      <c r="Q8">
        <v>10.69958806037903</v>
      </c>
      <c r="R8">
        <v>189</v>
      </c>
      <c r="S8" s="1"/>
      <c r="T8">
        <f t="shared" si="3"/>
        <v>56</v>
      </c>
      <c r="U8" t="s">
        <v>1169</v>
      </c>
      <c r="V8" t="s">
        <v>1758</v>
      </c>
      <c r="W8">
        <v>22.707367658615109</v>
      </c>
      <c r="X8">
        <v>158</v>
      </c>
      <c r="Y8" s="2"/>
      <c r="Z8">
        <f t="shared" si="4"/>
        <v>22</v>
      </c>
      <c r="AA8" t="s">
        <v>1759</v>
      </c>
      <c r="AB8" t="s">
        <v>1760</v>
      </c>
      <c r="AC8">
        <v>6.2589952945709229</v>
      </c>
      <c r="AD8">
        <v>128</v>
      </c>
      <c r="AE8" s="1"/>
      <c r="AF8">
        <f t="shared" si="5"/>
        <v>27</v>
      </c>
      <c r="AG8" t="s">
        <v>493</v>
      </c>
      <c r="AH8" t="s">
        <v>1761</v>
      </c>
      <c r="AI8">
        <v>10.71391797065735</v>
      </c>
      <c r="AJ8">
        <v>187</v>
      </c>
      <c r="AK8" s="2"/>
      <c r="AL8">
        <f t="shared" si="6"/>
        <v>59</v>
      </c>
      <c r="AM8" t="s">
        <v>1762</v>
      </c>
      <c r="AN8" t="s">
        <v>1763</v>
      </c>
      <c r="AO8">
        <v>9.1552705764770508</v>
      </c>
      <c r="AP8">
        <v>228</v>
      </c>
      <c r="AQ8" s="1"/>
      <c r="AR8">
        <f t="shared" si="7"/>
        <v>131</v>
      </c>
      <c r="AS8" t="s">
        <v>1764</v>
      </c>
      <c r="AT8" t="s">
        <v>1765</v>
      </c>
      <c r="AU8">
        <v>95.157956123352051</v>
      </c>
      <c r="AV8">
        <v>374</v>
      </c>
      <c r="AW8" s="2"/>
      <c r="AX8">
        <f t="shared" si="8"/>
        <v>32</v>
      </c>
      <c r="AY8" t="s">
        <v>1766</v>
      </c>
      <c r="AZ8" t="s">
        <v>1767</v>
      </c>
      <c r="BA8">
        <v>18.65761923789978</v>
      </c>
      <c r="BB8">
        <v>190</v>
      </c>
      <c r="BC8" s="1"/>
      <c r="BD8">
        <f t="shared" si="9"/>
        <v>15</v>
      </c>
      <c r="BE8" t="s">
        <v>1768</v>
      </c>
      <c r="BF8" t="s">
        <v>1769</v>
      </c>
      <c r="BG8">
        <v>52.747379541397088</v>
      </c>
      <c r="BH8">
        <v>127</v>
      </c>
      <c r="BI8" s="2"/>
      <c r="BJ8">
        <f t="shared" si="10"/>
        <v>30</v>
      </c>
      <c r="BK8" t="s">
        <v>1770</v>
      </c>
      <c r="BL8" t="s">
        <v>1771</v>
      </c>
      <c r="BM8">
        <v>81.025166034698486</v>
      </c>
      <c r="BN8">
        <v>182</v>
      </c>
      <c r="BO8" s="1"/>
      <c r="BP8">
        <f t="shared" si="11"/>
        <v>28</v>
      </c>
      <c r="BQ8" t="s">
        <v>843</v>
      </c>
      <c r="BR8" t="s">
        <v>1772</v>
      </c>
      <c r="BS8">
        <v>33.26962423324585</v>
      </c>
      <c r="BT8">
        <v>244</v>
      </c>
      <c r="BU8" s="2"/>
      <c r="BV8">
        <f t="shared" si="12"/>
        <v>32</v>
      </c>
      <c r="BW8" t="s">
        <v>1739</v>
      </c>
      <c r="BX8" t="s">
        <v>1773</v>
      </c>
      <c r="BY8">
        <v>11.658771276474001</v>
      </c>
      <c r="BZ8">
        <v>444</v>
      </c>
      <c r="CA8" s="1"/>
      <c r="CB8">
        <f t="shared" si="13"/>
        <v>37</v>
      </c>
      <c r="CC8" t="s">
        <v>1413</v>
      </c>
      <c r="CD8" t="s">
        <v>1774</v>
      </c>
      <c r="CE8">
        <v>27.953754425048832</v>
      </c>
      <c r="CF8">
        <v>267</v>
      </c>
      <c r="CG8" s="2"/>
      <c r="CH8">
        <f t="shared" si="14"/>
        <v>72</v>
      </c>
      <c r="CI8" t="s">
        <v>1775</v>
      </c>
      <c r="CJ8" t="s">
        <v>1776</v>
      </c>
      <c r="CK8">
        <v>259.21572780609131</v>
      </c>
      <c r="CL8">
        <v>245</v>
      </c>
      <c r="CM8" s="1"/>
      <c r="CN8">
        <f t="shared" si="15"/>
        <v>22</v>
      </c>
      <c r="CO8" t="s">
        <v>673</v>
      </c>
      <c r="CP8" t="s">
        <v>1777</v>
      </c>
      <c r="CQ8">
        <v>12.30065822601318</v>
      </c>
      <c r="CR8">
        <v>292</v>
      </c>
      <c r="CS8" s="2"/>
      <c r="CT8">
        <f t="shared" si="16"/>
        <v>60</v>
      </c>
      <c r="CU8" t="s">
        <v>1778</v>
      </c>
      <c r="CV8" t="s">
        <v>1779</v>
      </c>
      <c r="CW8">
        <v>14.973262548446661</v>
      </c>
      <c r="CX8">
        <v>196</v>
      </c>
      <c r="CY8" s="1"/>
      <c r="CZ8">
        <f t="shared" si="17"/>
        <v>24</v>
      </c>
      <c r="DA8" t="s">
        <v>1780</v>
      </c>
      <c r="DB8" t="s">
        <v>1781</v>
      </c>
      <c r="DC8">
        <v>28.838675022125241</v>
      </c>
      <c r="DD8">
        <v>281</v>
      </c>
      <c r="DE8" s="2"/>
      <c r="DF8">
        <f t="shared" si="18"/>
        <v>20</v>
      </c>
      <c r="DG8" t="s">
        <v>1782</v>
      </c>
      <c r="DH8" t="s">
        <v>1783</v>
      </c>
      <c r="DI8">
        <v>4.1355116367340088</v>
      </c>
      <c r="DJ8">
        <v>184</v>
      </c>
      <c r="DK8" s="1"/>
      <c r="DL8">
        <f t="shared" si="19"/>
        <v>38</v>
      </c>
      <c r="DM8" t="s">
        <v>1784</v>
      </c>
      <c r="DN8" t="s">
        <v>1785</v>
      </c>
      <c r="DO8">
        <v>19.099503993988041</v>
      </c>
      <c r="DP8">
        <v>221</v>
      </c>
      <c r="DQ8" s="2"/>
      <c r="DR8">
        <f t="shared" si="20"/>
        <v>34</v>
      </c>
      <c r="DS8" t="s">
        <v>1786</v>
      </c>
      <c r="DT8" t="s">
        <v>1787</v>
      </c>
      <c r="DU8">
        <v>14.16775345802307</v>
      </c>
      <c r="DV8">
        <v>297</v>
      </c>
      <c r="DW8" s="1"/>
      <c r="DX8">
        <f t="shared" si="21"/>
        <v>80</v>
      </c>
      <c r="DY8" t="s">
        <v>1788</v>
      </c>
      <c r="DZ8" t="s">
        <v>1789</v>
      </c>
      <c r="EA8">
        <v>19.430252552032471</v>
      </c>
      <c r="EB8">
        <v>242</v>
      </c>
      <c r="EC8" s="2"/>
      <c r="ED8">
        <f t="shared" si="22"/>
        <v>29</v>
      </c>
      <c r="EE8" t="s">
        <v>1790</v>
      </c>
      <c r="EF8" t="s">
        <v>1791</v>
      </c>
      <c r="EG8">
        <v>11.31415677070618</v>
      </c>
      <c r="EH8">
        <v>155</v>
      </c>
      <c r="EI8" s="1"/>
      <c r="EJ8">
        <f t="shared" si="23"/>
        <v>42</v>
      </c>
      <c r="EK8" t="s">
        <v>1792</v>
      </c>
      <c r="EL8" t="s">
        <v>1793</v>
      </c>
      <c r="EM8">
        <v>28.83630466461182</v>
      </c>
      <c r="EN8">
        <v>252</v>
      </c>
      <c r="EO8" s="2"/>
      <c r="EP8">
        <f t="shared" si="24"/>
        <v>33</v>
      </c>
      <c r="EQ8" t="s">
        <v>1794</v>
      </c>
      <c r="ER8" t="s">
        <v>1795</v>
      </c>
      <c r="ES8">
        <v>39.127930164337158</v>
      </c>
      <c r="ET8">
        <v>174</v>
      </c>
      <c r="EU8" s="1"/>
      <c r="EV8">
        <f t="shared" si="25"/>
        <v>54</v>
      </c>
      <c r="EW8" t="s">
        <v>1796</v>
      </c>
      <c r="EX8" t="s">
        <v>1797</v>
      </c>
      <c r="EY8">
        <v>20.303970813751221</v>
      </c>
      <c r="EZ8">
        <v>208</v>
      </c>
      <c r="FA8" s="2"/>
      <c r="FB8">
        <f t="shared" si="26"/>
        <v>36</v>
      </c>
      <c r="FC8" t="s">
        <v>1798</v>
      </c>
      <c r="FD8" t="s">
        <v>1799</v>
      </c>
      <c r="FE8">
        <v>31.478688716888431</v>
      </c>
      <c r="FF8">
        <v>259</v>
      </c>
      <c r="FG8" s="1"/>
      <c r="FH8">
        <f t="shared" si="27"/>
        <v>36</v>
      </c>
      <c r="FI8" t="s">
        <v>1800</v>
      </c>
      <c r="FJ8" t="s">
        <v>1801</v>
      </c>
      <c r="FK8">
        <v>32.03489351272583</v>
      </c>
      <c r="FL8">
        <v>209</v>
      </c>
      <c r="FM8" s="2"/>
      <c r="FN8">
        <f t="shared" si="28"/>
        <v>30</v>
      </c>
      <c r="FO8" t="s">
        <v>1802</v>
      </c>
      <c r="FP8" t="s">
        <v>1803</v>
      </c>
      <c r="FQ8">
        <v>17.861389636993412</v>
      </c>
      <c r="FR8">
        <v>328</v>
      </c>
      <c r="FS8" s="1"/>
      <c r="FT8">
        <f t="shared" si="29"/>
        <v>44</v>
      </c>
      <c r="FU8" t="s">
        <v>50</v>
      </c>
      <c r="FV8" t="s">
        <v>1804</v>
      </c>
      <c r="FW8">
        <v>35.841601848602288</v>
      </c>
      <c r="FX8">
        <v>335</v>
      </c>
      <c r="FY8" s="2"/>
      <c r="FZ8">
        <f t="shared" si="30"/>
        <v>49</v>
      </c>
      <c r="GA8" t="s">
        <v>1179</v>
      </c>
      <c r="GB8" t="s">
        <v>1805</v>
      </c>
      <c r="GC8">
        <v>15.76658868789673</v>
      </c>
      <c r="GD8">
        <v>255</v>
      </c>
      <c r="GE8" s="1"/>
      <c r="GF8">
        <f t="shared" si="31"/>
        <v>39</v>
      </c>
      <c r="GG8" t="s">
        <v>1806</v>
      </c>
      <c r="GH8" t="s">
        <v>1807</v>
      </c>
      <c r="GI8">
        <v>15.75433349609375</v>
      </c>
      <c r="GJ8">
        <v>311</v>
      </c>
      <c r="GK8" s="2"/>
      <c r="GL8">
        <f t="shared" si="32"/>
        <v>38</v>
      </c>
      <c r="GM8" t="s">
        <v>1808</v>
      </c>
      <c r="GN8" t="s">
        <v>1809</v>
      </c>
      <c r="GO8">
        <v>29.757468938827511</v>
      </c>
      <c r="GP8">
        <v>204</v>
      </c>
      <c r="GQ8" s="1"/>
      <c r="GR8">
        <f t="shared" si="33"/>
        <v>47</v>
      </c>
      <c r="GS8" t="s">
        <v>1810</v>
      </c>
      <c r="GT8" t="s">
        <v>1811</v>
      </c>
      <c r="GU8">
        <v>239.889942407608</v>
      </c>
      <c r="GV8">
        <v>233</v>
      </c>
      <c r="GW8" s="2"/>
      <c r="GX8">
        <f t="shared" si="34"/>
        <v>33</v>
      </c>
      <c r="GY8" t="s">
        <v>1812</v>
      </c>
      <c r="GZ8" t="s">
        <v>1813</v>
      </c>
      <c r="HA8">
        <v>16.257453918457031</v>
      </c>
      <c r="HB8">
        <v>160</v>
      </c>
      <c r="HC8" s="1"/>
      <c r="HD8">
        <f t="shared" si="35"/>
        <v>84</v>
      </c>
      <c r="HE8" t="s">
        <v>1814</v>
      </c>
      <c r="HF8" t="s">
        <v>1815</v>
      </c>
      <c r="HG8">
        <v>163.8160951137543</v>
      </c>
      <c r="HH8">
        <v>252</v>
      </c>
      <c r="HI8" s="2"/>
      <c r="HJ8">
        <f t="shared" si="36"/>
        <v>63</v>
      </c>
      <c r="HK8" t="s">
        <v>1816</v>
      </c>
      <c r="HL8" t="s">
        <v>1817</v>
      </c>
      <c r="HM8">
        <v>28.94514799118042</v>
      </c>
      <c r="HN8">
        <v>194</v>
      </c>
      <c r="HO8" s="1"/>
      <c r="HP8">
        <f t="shared" si="37"/>
        <v>45</v>
      </c>
      <c r="HQ8" t="s">
        <v>1818</v>
      </c>
      <c r="HR8" t="s">
        <v>1819</v>
      </c>
      <c r="HS8">
        <v>21.70190000534058</v>
      </c>
      <c r="HT8">
        <v>354</v>
      </c>
      <c r="HU8" s="2"/>
      <c r="HV8">
        <f t="shared" si="38"/>
        <v>38</v>
      </c>
      <c r="HW8" t="s">
        <v>1820</v>
      </c>
      <c r="HX8" t="s">
        <v>1821</v>
      </c>
      <c r="HY8">
        <v>5.0582044124603271</v>
      </c>
      <c r="HZ8">
        <v>161</v>
      </c>
      <c r="IA8" s="1"/>
      <c r="IB8">
        <f t="shared" si="39"/>
        <v>11</v>
      </c>
      <c r="IC8" t="s">
        <v>1822</v>
      </c>
      <c r="ID8" t="s">
        <v>1823</v>
      </c>
      <c r="IE8">
        <v>243.48216223716739</v>
      </c>
      <c r="IF8">
        <v>184</v>
      </c>
      <c r="IG8" s="2"/>
      <c r="IH8">
        <f t="shared" si="40"/>
        <v>64</v>
      </c>
      <c r="II8" t="s">
        <v>1824</v>
      </c>
      <c r="IJ8" t="s">
        <v>1825</v>
      </c>
      <c r="IK8">
        <v>5.228304386138916</v>
      </c>
      <c r="IL8">
        <v>209</v>
      </c>
      <c r="IM8" s="1"/>
      <c r="IN8">
        <f t="shared" si="41"/>
        <v>32</v>
      </c>
      <c r="IO8" t="s">
        <v>1826</v>
      </c>
      <c r="IP8" t="s">
        <v>1827</v>
      </c>
      <c r="IQ8">
        <v>43.120284795761108</v>
      </c>
      <c r="IR8">
        <v>341</v>
      </c>
      <c r="IS8" s="2"/>
      <c r="IT8">
        <f t="shared" si="42"/>
        <v>44</v>
      </c>
      <c r="IU8" t="s">
        <v>1828</v>
      </c>
      <c r="IV8" t="s">
        <v>1829</v>
      </c>
      <c r="IW8">
        <v>7.5643038749694824</v>
      </c>
      <c r="IX8">
        <v>281</v>
      </c>
      <c r="IY8" s="1"/>
      <c r="IZ8">
        <f t="shared" si="43"/>
        <v>54</v>
      </c>
      <c r="JA8" t="s">
        <v>1830</v>
      </c>
      <c r="JB8" t="s">
        <v>1831</v>
      </c>
      <c r="JC8">
        <v>23.01038384437561</v>
      </c>
      <c r="JD8">
        <v>223</v>
      </c>
      <c r="JE8" s="2"/>
      <c r="JF8">
        <f t="shared" si="44"/>
        <v>22</v>
      </c>
      <c r="JG8" t="s">
        <v>1832</v>
      </c>
      <c r="JH8" t="s">
        <v>1833</v>
      </c>
      <c r="JI8">
        <v>8.8616595268249512</v>
      </c>
      <c r="JJ8">
        <v>137</v>
      </c>
      <c r="JK8" s="1"/>
      <c r="JL8">
        <f t="shared" si="45"/>
        <v>22</v>
      </c>
      <c r="JM8" t="s">
        <v>764</v>
      </c>
      <c r="JN8" t="s">
        <v>1834</v>
      </c>
      <c r="JO8">
        <v>36.305439472198493</v>
      </c>
      <c r="JP8">
        <v>177</v>
      </c>
      <c r="JQ8" s="2"/>
      <c r="JR8">
        <f t="shared" si="46"/>
        <v>33</v>
      </c>
      <c r="JS8" t="s">
        <v>1835</v>
      </c>
      <c r="JT8" t="s">
        <v>1836</v>
      </c>
      <c r="JU8">
        <v>7.9077558517456046</v>
      </c>
      <c r="JV8">
        <v>135</v>
      </c>
      <c r="JW8" s="1"/>
      <c r="JX8">
        <f t="shared" si="47"/>
        <v>85</v>
      </c>
      <c r="JY8" t="s">
        <v>1837</v>
      </c>
      <c r="JZ8" t="s">
        <v>1838</v>
      </c>
      <c r="KA8">
        <v>26.160050630569462</v>
      </c>
      <c r="KB8">
        <v>258</v>
      </c>
      <c r="KC8" s="2"/>
      <c r="KD8">
        <f t="shared" si="48"/>
        <v>38</v>
      </c>
      <c r="KE8" t="s">
        <v>1839</v>
      </c>
      <c r="KF8" t="s">
        <v>1840</v>
      </c>
      <c r="KG8">
        <v>17.98491287231445</v>
      </c>
      <c r="KH8">
        <v>267</v>
      </c>
      <c r="KI8" s="1"/>
      <c r="KJ8">
        <f t="shared" si="49"/>
        <v>52</v>
      </c>
      <c r="KK8" t="s">
        <v>1841</v>
      </c>
      <c r="KL8" t="s">
        <v>1842</v>
      </c>
      <c r="KM8">
        <v>27.433707714080811</v>
      </c>
      <c r="KN8">
        <v>296</v>
      </c>
      <c r="KO8" s="2"/>
      <c r="KP8">
        <f t="shared" si="50"/>
        <v>32</v>
      </c>
      <c r="KQ8" t="s">
        <v>1786</v>
      </c>
      <c r="KR8" t="s">
        <v>1843</v>
      </c>
      <c r="KS8">
        <v>6.7319645881652832</v>
      </c>
      <c r="KT8">
        <v>221</v>
      </c>
      <c r="KU8" s="1"/>
      <c r="KV8">
        <f t="shared" si="51"/>
        <v>29</v>
      </c>
      <c r="KW8" t="s">
        <v>1844</v>
      </c>
      <c r="KX8" t="s">
        <v>1845</v>
      </c>
      <c r="KY8">
        <v>21.109402179718021</v>
      </c>
      <c r="KZ8">
        <v>206</v>
      </c>
      <c r="LA8" s="2"/>
      <c r="LB8">
        <f t="shared" si="52"/>
        <v>39</v>
      </c>
      <c r="LC8" t="s">
        <v>1846</v>
      </c>
      <c r="LD8" t="s">
        <v>1847</v>
      </c>
      <c r="LE8">
        <v>11.42391920089722</v>
      </c>
      <c r="LF8">
        <v>326</v>
      </c>
      <c r="LG8" s="1"/>
      <c r="LH8">
        <f t="shared" si="53"/>
        <v>28</v>
      </c>
      <c r="LI8" t="s">
        <v>1848</v>
      </c>
      <c r="LJ8" t="s">
        <v>1849</v>
      </c>
      <c r="LK8">
        <v>13.89892935752869</v>
      </c>
      <c r="LL8">
        <v>304</v>
      </c>
      <c r="LM8" s="2"/>
      <c r="LN8">
        <f t="shared" si="54"/>
        <v>30</v>
      </c>
      <c r="LO8" t="s">
        <v>1850</v>
      </c>
      <c r="LP8" t="s">
        <v>1851</v>
      </c>
      <c r="LQ8">
        <v>70.631477355957031</v>
      </c>
      <c r="LR8">
        <v>159</v>
      </c>
      <c r="LS8" s="1"/>
      <c r="LT8">
        <f t="shared" si="55"/>
        <v>38</v>
      </c>
      <c r="LU8" t="s">
        <v>1852</v>
      </c>
      <c r="LV8" t="s">
        <v>1853</v>
      </c>
      <c r="LW8">
        <v>47.358953237533569</v>
      </c>
      <c r="LX8">
        <v>204</v>
      </c>
      <c r="LY8" s="2"/>
      <c r="LZ8">
        <f t="shared" si="56"/>
        <v>27</v>
      </c>
      <c r="MA8" t="s">
        <v>1737</v>
      </c>
      <c r="MB8" t="s">
        <v>1854</v>
      </c>
      <c r="MC8">
        <v>6.6988732814788818</v>
      </c>
      <c r="MD8">
        <v>144</v>
      </c>
      <c r="ME8" s="1"/>
      <c r="MF8">
        <f t="shared" si="57"/>
        <v>26</v>
      </c>
      <c r="MG8" t="s">
        <v>649</v>
      </c>
      <c r="MH8" t="s">
        <v>1855</v>
      </c>
      <c r="MI8">
        <v>14.56265830993652</v>
      </c>
      <c r="MJ8">
        <v>186</v>
      </c>
      <c r="MK8" s="2"/>
      <c r="ML8">
        <f t="shared" si="58"/>
        <v>36</v>
      </c>
      <c r="MM8" t="s">
        <v>1856</v>
      </c>
      <c r="MN8" t="s">
        <v>1857</v>
      </c>
      <c r="MO8">
        <v>16.04836535453796</v>
      </c>
      <c r="MP8">
        <v>253</v>
      </c>
      <c r="MQ8" s="1"/>
      <c r="MR8">
        <f t="shared" si="59"/>
        <v>56</v>
      </c>
      <c r="MS8" t="s">
        <v>569</v>
      </c>
      <c r="MT8" t="s">
        <v>1858</v>
      </c>
      <c r="MU8">
        <v>40.691335439682007</v>
      </c>
      <c r="MV8">
        <v>228</v>
      </c>
      <c r="MW8" s="2"/>
      <c r="MX8">
        <f t="shared" si="60"/>
        <v>46</v>
      </c>
      <c r="MY8" t="s">
        <v>1859</v>
      </c>
      <c r="MZ8" t="s">
        <v>1860</v>
      </c>
      <c r="NA8">
        <v>37.708838701248169</v>
      </c>
      <c r="NB8">
        <v>195</v>
      </c>
      <c r="NC8" s="1"/>
      <c r="ND8">
        <f t="shared" si="61"/>
        <v>42</v>
      </c>
      <c r="NE8" t="s">
        <v>1861</v>
      </c>
      <c r="NF8" t="s">
        <v>1862</v>
      </c>
      <c r="NG8">
        <v>31.032036304473881</v>
      </c>
      <c r="NH8">
        <v>198</v>
      </c>
      <c r="NI8" s="2"/>
      <c r="NJ8">
        <f t="shared" si="62"/>
        <v>23</v>
      </c>
      <c r="NK8" t="s">
        <v>843</v>
      </c>
      <c r="NL8" t="s">
        <v>1863</v>
      </c>
      <c r="NM8">
        <v>3.4914813041687012</v>
      </c>
      <c r="NN8">
        <v>143</v>
      </c>
      <c r="NO8" s="1"/>
      <c r="NP8">
        <f t="shared" si="63"/>
        <v>45</v>
      </c>
      <c r="NQ8" t="s">
        <v>1864</v>
      </c>
      <c r="NR8" t="s">
        <v>1865</v>
      </c>
      <c r="NS8">
        <v>24.928293704986569</v>
      </c>
      <c r="NT8">
        <v>224</v>
      </c>
      <c r="NU8" s="2"/>
      <c r="NV8">
        <f t="shared" si="64"/>
        <v>31</v>
      </c>
      <c r="NW8" t="s">
        <v>1866</v>
      </c>
      <c r="NX8" t="s">
        <v>1867</v>
      </c>
      <c r="NY8">
        <v>9.5201914310455322</v>
      </c>
      <c r="NZ8">
        <v>237</v>
      </c>
      <c r="OA8" s="1"/>
      <c r="OB8">
        <f t="shared" si="65"/>
        <v>121</v>
      </c>
      <c r="OC8" t="s">
        <v>1868</v>
      </c>
      <c r="OD8" t="s">
        <v>1869</v>
      </c>
      <c r="OE8">
        <v>30.454468488693241</v>
      </c>
      <c r="OF8">
        <v>194</v>
      </c>
      <c r="OG8" s="2"/>
      <c r="OH8">
        <f t="shared" si="66"/>
        <v>61</v>
      </c>
      <c r="OI8" t="s">
        <v>1870</v>
      </c>
      <c r="OJ8" t="s">
        <v>1871</v>
      </c>
      <c r="OK8">
        <v>216.7834939956665</v>
      </c>
      <c r="OL8">
        <v>267</v>
      </c>
      <c r="OM8" s="1"/>
      <c r="ON8">
        <f t="shared" si="67"/>
        <v>36</v>
      </c>
      <c r="OO8" t="s">
        <v>1872</v>
      </c>
      <c r="OP8" t="s">
        <v>1873</v>
      </c>
      <c r="OQ8">
        <v>48.599419355392463</v>
      </c>
      <c r="OR8">
        <v>213</v>
      </c>
      <c r="OS8" s="2"/>
      <c r="OT8">
        <f t="shared" si="68"/>
        <v>45</v>
      </c>
      <c r="OU8" t="s">
        <v>1874</v>
      </c>
      <c r="OV8" t="s">
        <v>1875</v>
      </c>
      <c r="OW8">
        <v>12.28665351867676</v>
      </c>
      <c r="OX8">
        <v>215</v>
      </c>
      <c r="OY8" s="1"/>
      <c r="OZ8">
        <f t="shared" si="69"/>
        <v>26</v>
      </c>
      <c r="PA8" t="s">
        <v>1876</v>
      </c>
      <c r="PB8" t="s">
        <v>1877</v>
      </c>
      <c r="PC8">
        <v>19.338731527328491</v>
      </c>
      <c r="PD8">
        <v>224</v>
      </c>
      <c r="PE8" s="2"/>
      <c r="PF8">
        <f t="shared" si="70"/>
        <v>74</v>
      </c>
      <c r="PG8" t="s">
        <v>1878</v>
      </c>
      <c r="PH8" t="s">
        <v>1879</v>
      </c>
      <c r="PI8">
        <v>47.52925968170166</v>
      </c>
      <c r="PJ8">
        <v>232</v>
      </c>
      <c r="PK8" s="1"/>
      <c r="PL8">
        <f t="shared" si="71"/>
        <v>30</v>
      </c>
      <c r="PM8" t="s">
        <v>1880</v>
      </c>
      <c r="PN8" t="s">
        <v>1881</v>
      </c>
      <c r="PO8">
        <v>43.880184173583977</v>
      </c>
      <c r="PP8">
        <v>211</v>
      </c>
      <c r="PQ8" s="2"/>
      <c r="PR8">
        <f t="shared" si="72"/>
        <v>36</v>
      </c>
      <c r="PS8" t="s">
        <v>1882</v>
      </c>
      <c r="PT8" t="s">
        <v>1883</v>
      </c>
      <c r="PU8">
        <v>15.41827869415283</v>
      </c>
      <c r="PV8">
        <v>249</v>
      </c>
      <c r="PW8" s="1"/>
      <c r="PX8">
        <f t="shared" si="73"/>
        <v>56</v>
      </c>
      <c r="PY8" t="s">
        <v>1884</v>
      </c>
      <c r="PZ8" t="s">
        <v>1885</v>
      </c>
      <c r="QA8">
        <v>34.005731105804443</v>
      </c>
      <c r="QB8">
        <v>231</v>
      </c>
      <c r="QC8" s="2"/>
      <c r="QD8">
        <f t="shared" si="74"/>
        <v>34</v>
      </c>
      <c r="QE8" t="s">
        <v>1886</v>
      </c>
      <c r="QF8" t="s">
        <v>1887</v>
      </c>
      <c r="QG8">
        <v>24.293135404586788</v>
      </c>
      <c r="QH8">
        <v>235</v>
      </c>
      <c r="QI8" s="1"/>
      <c r="QJ8">
        <f t="shared" si="75"/>
        <v>39</v>
      </c>
      <c r="QK8" t="s">
        <v>1888</v>
      </c>
      <c r="QL8" t="s">
        <v>1889</v>
      </c>
      <c r="QM8">
        <v>31.72714996337891</v>
      </c>
      <c r="QN8">
        <v>182</v>
      </c>
      <c r="QO8" s="2"/>
      <c r="QP8">
        <f t="shared" si="76"/>
        <v>24</v>
      </c>
      <c r="QQ8" t="s">
        <v>1890</v>
      </c>
      <c r="QR8" t="s">
        <v>1891</v>
      </c>
      <c r="QS8">
        <v>5.9101457595825204</v>
      </c>
      <c r="QT8">
        <v>161</v>
      </c>
      <c r="QU8" s="1"/>
      <c r="QV8">
        <f t="shared" si="77"/>
        <v>34</v>
      </c>
      <c r="QW8" t="s">
        <v>1892</v>
      </c>
      <c r="QX8" t="s">
        <v>1893</v>
      </c>
      <c r="QY8">
        <v>13.283521413803101</v>
      </c>
      <c r="QZ8">
        <v>234</v>
      </c>
      <c r="RA8" s="2"/>
      <c r="RB8">
        <f t="shared" si="78"/>
        <v>36</v>
      </c>
      <c r="RC8" t="s">
        <v>1894</v>
      </c>
      <c r="RD8" t="s">
        <v>1895</v>
      </c>
      <c r="RE8">
        <v>14.776629209518431</v>
      </c>
      <c r="RF8">
        <v>241</v>
      </c>
      <c r="RG8" s="1"/>
      <c r="RH8">
        <f t="shared" si="79"/>
        <v>22</v>
      </c>
      <c r="RI8" t="s">
        <v>1153</v>
      </c>
      <c r="RJ8" t="s">
        <v>1896</v>
      </c>
      <c r="RK8">
        <v>14.229657411575319</v>
      </c>
      <c r="RL8">
        <v>239</v>
      </c>
      <c r="RM8" s="2"/>
      <c r="RN8">
        <f t="shared" si="80"/>
        <v>86</v>
      </c>
      <c r="RO8" t="s">
        <v>1897</v>
      </c>
      <c r="RP8" t="s">
        <v>1898</v>
      </c>
      <c r="RQ8">
        <v>330.01761364936829</v>
      </c>
      <c r="RR8">
        <v>375</v>
      </c>
      <c r="RS8" s="1"/>
      <c r="RT8">
        <f t="shared" si="81"/>
        <v>22</v>
      </c>
      <c r="RU8" t="s">
        <v>694</v>
      </c>
      <c r="RV8" t="s">
        <v>1899</v>
      </c>
      <c r="RW8">
        <v>338.25504088401789</v>
      </c>
      <c r="RX8">
        <v>250</v>
      </c>
      <c r="RY8" s="2"/>
      <c r="RZ8">
        <f t="shared" si="82"/>
        <v>27</v>
      </c>
      <c r="SA8" t="s">
        <v>1005</v>
      </c>
      <c r="SB8" t="s">
        <v>1900</v>
      </c>
      <c r="SC8">
        <v>22.539228200912479</v>
      </c>
      <c r="SD8">
        <v>262</v>
      </c>
      <c r="SE8" s="1"/>
      <c r="SF8">
        <f t="shared" si="83"/>
        <v>6</v>
      </c>
      <c r="SG8" t="s">
        <v>1901</v>
      </c>
      <c r="SH8" t="s">
        <v>1902</v>
      </c>
      <c r="SI8">
        <v>47.18381667137146</v>
      </c>
      <c r="SJ8">
        <v>212</v>
      </c>
      <c r="SK8" s="2"/>
      <c r="SL8">
        <f t="shared" si="84"/>
        <v>63</v>
      </c>
      <c r="SM8" t="s">
        <v>1566</v>
      </c>
      <c r="SN8" t="s">
        <v>1903</v>
      </c>
      <c r="SO8">
        <v>22.895702123641971</v>
      </c>
      <c r="SP8">
        <v>208</v>
      </c>
      <c r="SQ8" s="1"/>
      <c r="SR8">
        <f t="shared" si="85"/>
        <v>38</v>
      </c>
      <c r="SS8" t="s">
        <v>1904</v>
      </c>
      <c r="ST8" t="s">
        <v>1905</v>
      </c>
      <c r="SU8">
        <v>36.696384906768799</v>
      </c>
      <c r="SV8">
        <v>311</v>
      </c>
      <c r="SW8" s="2"/>
      <c r="SX8">
        <f t="shared" si="86"/>
        <v>17</v>
      </c>
      <c r="SY8" t="s">
        <v>1906</v>
      </c>
      <c r="SZ8" t="s">
        <v>1907</v>
      </c>
      <c r="TA8">
        <v>3.7876484394073491</v>
      </c>
      <c r="TB8">
        <v>149</v>
      </c>
      <c r="TC8" s="1"/>
      <c r="TD8">
        <f t="shared" si="87"/>
        <v>82</v>
      </c>
      <c r="TE8" t="s">
        <v>1908</v>
      </c>
      <c r="TF8" t="s">
        <v>1909</v>
      </c>
      <c r="TG8">
        <v>46.282847166061401</v>
      </c>
      <c r="TH8">
        <v>284</v>
      </c>
      <c r="TI8" s="2"/>
      <c r="TJ8">
        <f t="shared" si="88"/>
        <v>42</v>
      </c>
      <c r="TK8" t="s">
        <v>1910</v>
      </c>
      <c r="TL8" t="s">
        <v>1911</v>
      </c>
      <c r="TM8">
        <v>20.676261425018311</v>
      </c>
      <c r="TN8">
        <v>318</v>
      </c>
      <c r="TO8" s="1"/>
      <c r="TP8">
        <f t="shared" si="89"/>
        <v>38</v>
      </c>
      <c r="TQ8" t="s">
        <v>1912</v>
      </c>
      <c r="TR8" t="s">
        <v>1913</v>
      </c>
      <c r="TS8">
        <v>18.24576115608215</v>
      </c>
      <c r="TT8">
        <v>187</v>
      </c>
      <c r="TU8" s="2"/>
      <c r="TV8">
        <f t="shared" si="90"/>
        <v>32</v>
      </c>
      <c r="TW8" t="s">
        <v>1914</v>
      </c>
      <c r="TX8" t="s">
        <v>1915</v>
      </c>
      <c r="TY8">
        <v>9.771914005279541</v>
      </c>
      <c r="TZ8">
        <v>214</v>
      </c>
      <c r="UA8" s="1"/>
      <c r="UB8">
        <f t="shared" si="91"/>
        <v>135</v>
      </c>
      <c r="UC8" t="s">
        <v>1916</v>
      </c>
      <c r="UD8" t="s">
        <v>1917</v>
      </c>
      <c r="UE8">
        <v>43.516753435134888</v>
      </c>
      <c r="UF8">
        <v>296</v>
      </c>
      <c r="UG8" s="2"/>
      <c r="UH8">
        <f t="shared" si="92"/>
        <v>15</v>
      </c>
      <c r="UI8" t="s">
        <v>903</v>
      </c>
      <c r="UJ8" t="s">
        <v>1918</v>
      </c>
      <c r="UK8">
        <v>4.0364274978637704</v>
      </c>
      <c r="UL8">
        <v>120</v>
      </c>
      <c r="UM8" s="1"/>
      <c r="UN8">
        <f t="shared" si="93"/>
        <v>73</v>
      </c>
      <c r="UO8" t="s">
        <v>1919</v>
      </c>
      <c r="UP8" t="s">
        <v>1920</v>
      </c>
      <c r="UQ8">
        <v>259.58929443359381</v>
      </c>
      <c r="UR8">
        <v>282</v>
      </c>
      <c r="US8" s="2"/>
      <c r="UT8">
        <f t="shared" si="94"/>
        <v>39</v>
      </c>
      <c r="UU8" t="s">
        <v>1921</v>
      </c>
      <c r="UV8" t="s">
        <v>1922</v>
      </c>
      <c r="UW8">
        <v>18.306183815002441</v>
      </c>
      <c r="UX8">
        <v>193</v>
      </c>
      <c r="UY8" s="1"/>
      <c r="UZ8">
        <f t="shared" si="95"/>
        <v>78</v>
      </c>
      <c r="VA8" t="s">
        <v>1923</v>
      </c>
      <c r="VB8" t="s">
        <v>1924</v>
      </c>
      <c r="VC8">
        <v>330.61621809005737</v>
      </c>
      <c r="VD8">
        <v>219</v>
      </c>
      <c r="VE8" s="2"/>
      <c r="VF8">
        <f t="shared" si="96"/>
        <v>16</v>
      </c>
      <c r="VG8" t="s">
        <v>1925</v>
      </c>
      <c r="VH8" t="s">
        <v>1926</v>
      </c>
      <c r="VI8">
        <v>3.7028040885925289</v>
      </c>
      <c r="VJ8">
        <v>208</v>
      </c>
      <c r="VK8" s="1"/>
      <c r="VL8">
        <f t="shared" si="97"/>
        <v>39</v>
      </c>
      <c r="VM8" t="s">
        <v>1927</v>
      </c>
      <c r="VN8" t="s">
        <v>1928</v>
      </c>
      <c r="VO8">
        <v>21.382843732833859</v>
      </c>
      <c r="VP8">
        <v>279</v>
      </c>
      <c r="VQ8" s="2"/>
      <c r="VR8">
        <f t="shared" si="98"/>
        <v>22</v>
      </c>
      <c r="VS8" t="s">
        <v>1929</v>
      </c>
      <c r="VT8" t="s">
        <v>1930</v>
      </c>
      <c r="VU8">
        <v>4.5750923156738281</v>
      </c>
      <c r="VV8">
        <v>138</v>
      </c>
      <c r="VW8" s="1"/>
      <c r="VX8">
        <f t="shared" si="99"/>
        <v>23</v>
      </c>
      <c r="VY8" t="s">
        <v>1931</v>
      </c>
      <c r="VZ8" t="s">
        <v>1932</v>
      </c>
      <c r="WA8">
        <v>21.055907964706421</v>
      </c>
      <c r="WB8">
        <v>274</v>
      </c>
      <c r="WC8" s="2"/>
      <c r="WD8">
        <f t="shared" si="100"/>
        <v>33</v>
      </c>
      <c r="WE8" t="s">
        <v>1933</v>
      </c>
      <c r="WF8" t="s">
        <v>1934</v>
      </c>
      <c r="WG8">
        <v>70.862870693206787</v>
      </c>
      <c r="WH8">
        <v>333</v>
      </c>
      <c r="WI8" s="1"/>
      <c r="WJ8">
        <f t="shared" si="101"/>
        <v>60</v>
      </c>
      <c r="WK8" t="s">
        <v>1935</v>
      </c>
      <c r="WL8" t="s">
        <v>1936</v>
      </c>
      <c r="WM8">
        <v>50.191166400909417</v>
      </c>
      <c r="WN8">
        <v>301</v>
      </c>
      <c r="WO8" s="4"/>
      <c r="WP8">
        <f t="shared" si="102"/>
        <v>18</v>
      </c>
      <c r="WQ8" t="s">
        <v>1684</v>
      </c>
      <c r="WR8" t="s">
        <v>1937</v>
      </c>
      <c r="WS8">
        <v>34.398388385772712</v>
      </c>
      <c r="WT8">
        <v>310</v>
      </c>
      <c r="WU8" s="3"/>
      <c r="WV8">
        <f t="shared" si="103"/>
        <v>32</v>
      </c>
      <c r="WW8" t="s">
        <v>1938</v>
      </c>
      <c r="WX8" t="s">
        <v>1939</v>
      </c>
      <c r="WY8">
        <v>16.281116962432861</v>
      </c>
      <c r="WZ8">
        <v>310</v>
      </c>
      <c r="XA8" s="2"/>
      <c r="XB8">
        <f t="shared" si="104"/>
        <v>60</v>
      </c>
      <c r="XC8" t="s">
        <v>1940</v>
      </c>
      <c r="XD8" t="s">
        <v>1941</v>
      </c>
      <c r="XE8">
        <v>67.16229772567749</v>
      </c>
      <c r="XF8">
        <v>251</v>
      </c>
      <c r="XG8" s="5"/>
      <c r="XH8">
        <f t="shared" si="105"/>
        <v>61</v>
      </c>
      <c r="XI8" t="s">
        <v>1824</v>
      </c>
      <c r="XJ8" t="s">
        <v>1942</v>
      </c>
      <c r="XK8">
        <v>303.59461355209351</v>
      </c>
      <c r="XL8">
        <v>238</v>
      </c>
      <c r="XM8" s="2"/>
      <c r="XN8">
        <f t="shared" si="106"/>
        <v>69</v>
      </c>
      <c r="XO8" t="s">
        <v>1943</v>
      </c>
      <c r="XP8" t="s">
        <v>1944</v>
      </c>
      <c r="XQ8">
        <v>14.71284294128418</v>
      </c>
      <c r="XR8">
        <v>305</v>
      </c>
      <c r="XS8" s="5"/>
      <c r="XT8">
        <f t="shared" si="107"/>
        <v>40</v>
      </c>
      <c r="XU8" t="s">
        <v>1945</v>
      </c>
      <c r="XV8" t="s">
        <v>1946</v>
      </c>
      <c r="XW8">
        <v>17.009199142456051</v>
      </c>
      <c r="XX8">
        <v>227</v>
      </c>
      <c r="XY8" s="2"/>
      <c r="XZ8">
        <f t="shared" si="108"/>
        <v>69</v>
      </c>
      <c r="YA8" t="s">
        <v>1947</v>
      </c>
      <c r="YB8" t="s">
        <v>1948</v>
      </c>
      <c r="YC8">
        <v>245.8962547779083</v>
      </c>
      <c r="YD8">
        <v>226</v>
      </c>
      <c r="YE8" s="5"/>
      <c r="YF8">
        <f t="shared" si="109"/>
        <v>32</v>
      </c>
      <c r="YG8" t="s">
        <v>1949</v>
      </c>
      <c r="YH8" t="s">
        <v>1950</v>
      </c>
      <c r="YI8">
        <v>25.53536772727966</v>
      </c>
      <c r="YJ8">
        <v>184</v>
      </c>
      <c r="YK8" s="2"/>
      <c r="YL8">
        <f t="shared" si="110"/>
        <v>46</v>
      </c>
      <c r="YM8" t="s">
        <v>1951</v>
      </c>
      <c r="YN8" t="s">
        <v>1952</v>
      </c>
      <c r="YO8">
        <v>17.787169933319088</v>
      </c>
      <c r="YP8">
        <v>178</v>
      </c>
      <c r="YQ8" s="5"/>
      <c r="YR8">
        <f t="shared" si="111"/>
        <v>39</v>
      </c>
      <c r="YS8" t="s">
        <v>1953</v>
      </c>
      <c r="YT8" t="s">
        <v>1954</v>
      </c>
      <c r="YU8">
        <v>12.871139049530029</v>
      </c>
      <c r="YV8">
        <v>257</v>
      </c>
      <c r="YW8" s="2"/>
      <c r="YX8">
        <f t="shared" si="112"/>
        <v>37</v>
      </c>
      <c r="YY8" t="s">
        <v>1955</v>
      </c>
      <c r="YZ8" t="s">
        <v>1956</v>
      </c>
      <c r="ZA8">
        <v>19.4837019443512</v>
      </c>
      <c r="ZB8">
        <v>161</v>
      </c>
      <c r="ZC8" s="5"/>
      <c r="ZD8">
        <f t="shared" si="113"/>
        <v>45</v>
      </c>
      <c r="ZE8" t="s">
        <v>1957</v>
      </c>
      <c r="ZF8" t="s">
        <v>1958</v>
      </c>
      <c r="ZG8">
        <v>9.5030794143676758</v>
      </c>
      <c r="ZH8">
        <v>196</v>
      </c>
      <c r="ZI8" s="2"/>
      <c r="ZJ8">
        <f t="shared" si="114"/>
        <v>34</v>
      </c>
      <c r="ZK8" t="s">
        <v>302</v>
      </c>
      <c r="ZL8" t="s">
        <v>1959</v>
      </c>
      <c r="ZM8">
        <v>12.340854167938231</v>
      </c>
      <c r="ZN8">
        <v>215</v>
      </c>
      <c r="ZO8" s="5"/>
      <c r="ZP8">
        <f t="shared" si="115"/>
        <v>51</v>
      </c>
      <c r="ZQ8" t="s">
        <v>1960</v>
      </c>
      <c r="ZR8" t="s">
        <v>1961</v>
      </c>
      <c r="ZS8">
        <v>27.452061414718631</v>
      </c>
      <c r="ZT8">
        <v>295</v>
      </c>
      <c r="ZU8" s="2"/>
      <c r="ZV8">
        <f t="shared" si="116"/>
        <v>5</v>
      </c>
      <c r="ZW8" t="s">
        <v>232</v>
      </c>
      <c r="ZX8" t="s">
        <v>1962</v>
      </c>
      <c r="ZY8">
        <v>38.488849639892578</v>
      </c>
      <c r="ZZ8">
        <v>116</v>
      </c>
      <c r="AAA8" s="5"/>
      <c r="AAB8">
        <f t="shared" si="117"/>
        <v>36</v>
      </c>
      <c r="AAC8" t="s">
        <v>1963</v>
      </c>
      <c r="AAD8" t="s">
        <v>1964</v>
      </c>
      <c r="AAE8">
        <v>53.649981498718262</v>
      </c>
      <c r="AAF8">
        <v>251</v>
      </c>
      <c r="AAG8" s="2"/>
      <c r="AAH8">
        <f t="shared" si="118"/>
        <v>42</v>
      </c>
      <c r="AAI8" t="s">
        <v>1965</v>
      </c>
      <c r="AAJ8" t="s">
        <v>1966</v>
      </c>
      <c r="AAK8">
        <v>27.401772975921631</v>
      </c>
      <c r="AAL8">
        <v>277</v>
      </c>
      <c r="AAM8" s="5"/>
      <c r="AAN8">
        <f t="shared" si="119"/>
        <v>13</v>
      </c>
      <c r="AAO8" t="s">
        <v>1967</v>
      </c>
      <c r="AAP8" t="s">
        <v>1968</v>
      </c>
      <c r="AAQ8">
        <v>3.5129272937774658</v>
      </c>
      <c r="AAR8">
        <v>179</v>
      </c>
      <c r="AAS8" s="2"/>
      <c r="AAT8">
        <f t="shared" si="120"/>
        <v>28</v>
      </c>
      <c r="AAU8" t="s">
        <v>1969</v>
      </c>
      <c r="AAV8" t="s">
        <v>1970</v>
      </c>
      <c r="AAW8">
        <v>10.91159057617188</v>
      </c>
      <c r="AAX8">
        <v>224</v>
      </c>
      <c r="AAY8" s="5"/>
      <c r="AAZ8">
        <f t="shared" si="121"/>
        <v>25</v>
      </c>
      <c r="ABA8" t="s">
        <v>1971</v>
      </c>
      <c r="ABB8" t="s">
        <v>1972</v>
      </c>
      <c r="ABC8">
        <v>6.8415298461914063</v>
      </c>
      <c r="ABD8">
        <v>218</v>
      </c>
      <c r="ABE8" s="2"/>
      <c r="ABF8">
        <f t="shared" si="122"/>
        <v>30</v>
      </c>
      <c r="ABG8" t="s">
        <v>1112</v>
      </c>
      <c r="ABH8" t="s">
        <v>1973</v>
      </c>
      <c r="ABI8">
        <v>19.176004409790039</v>
      </c>
      <c r="ABJ8">
        <v>147</v>
      </c>
      <c r="ABK8" s="5"/>
      <c r="ABL8">
        <f t="shared" si="123"/>
        <v>77</v>
      </c>
      <c r="ABM8" t="s">
        <v>1974</v>
      </c>
      <c r="ABN8" t="s">
        <v>1975</v>
      </c>
      <c r="ABO8">
        <v>299.81455945968628</v>
      </c>
      <c r="ABP8">
        <v>394</v>
      </c>
      <c r="ABQ8" s="2"/>
      <c r="ABR8">
        <f t="shared" si="124"/>
        <v>66</v>
      </c>
      <c r="ABS8" t="s">
        <v>1976</v>
      </c>
      <c r="ABT8" t="s">
        <v>1977</v>
      </c>
      <c r="ABU8">
        <v>52.113237619400017</v>
      </c>
      <c r="ABV8">
        <v>313</v>
      </c>
      <c r="ABW8" s="5"/>
      <c r="ABX8">
        <f t="shared" si="125"/>
        <v>15</v>
      </c>
      <c r="ABY8" t="s">
        <v>1978</v>
      </c>
      <c r="ABZ8" t="s">
        <v>1979</v>
      </c>
      <c r="ACA8">
        <v>3.7395517826080318</v>
      </c>
      <c r="ACB8">
        <v>158</v>
      </c>
      <c r="ACC8" s="2"/>
      <c r="ACD8">
        <f t="shared" si="126"/>
        <v>30</v>
      </c>
      <c r="ACE8" t="s">
        <v>1980</v>
      </c>
      <c r="ACF8" t="s">
        <v>1981</v>
      </c>
      <c r="ACG8">
        <v>16.01285457611084</v>
      </c>
      <c r="ACH8">
        <v>163</v>
      </c>
      <c r="ACI8" s="5"/>
      <c r="ACJ8">
        <f t="shared" si="127"/>
        <v>40</v>
      </c>
      <c r="ACK8" t="s">
        <v>1982</v>
      </c>
      <c r="ACL8" t="s">
        <v>1983</v>
      </c>
      <c r="ACM8">
        <v>13.760708332061769</v>
      </c>
      <c r="ACN8">
        <v>308</v>
      </c>
      <c r="ACO8" s="2"/>
      <c r="ACP8">
        <f t="shared" si="128"/>
        <v>27</v>
      </c>
      <c r="ACQ8" t="s">
        <v>1984</v>
      </c>
      <c r="ACR8" t="s">
        <v>1985</v>
      </c>
      <c r="ACS8">
        <v>26.288266181945801</v>
      </c>
      <c r="ACT8">
        <v>297</v>
      </c>
      <c r="ACU8" s="5"/>
      <c r="ACV8">
        <f t="shared" si="129"/>
        <v>50</v>
      </c>
      <c r="ACW8" t="s">
        <v>1986</v>
      </c>
      <c r="ACX8" t="s">
        <v>1987</v>
      </c>
      <c r="ACY8">
        <v>8.8300251960754395</v>
      </c>
      <c r="ACZ8">
        <v>284</v>
      </c>
      <c r="ADA8" s="2"/>
      <c r="ADB8">
        <f t="shared" si="130"/>
        <v>69</v>
      </c>
      <c r="ADC8" t="s">
        <v>1988</v>
      </c>
      <c r="ADD8" t="s">
        <v>1989</v>
      </c>
      <c r="ADE8">
        <v>241.08979845047</v>
      </c>
      <c r="ADF8">
        <v>225</v>
      </c>
      <c r="ADG8" s="5"/>
      <c r="ADH8">
        <f t="shared" si="131"/>
        <v>50</v>
      </c>
      <c r="ADI8" t="s">
        <v>1990</v>
      </c>
      <c r="ADJ8" t="s">
        <v>1991</v>
      </c>
      <c r="ADK8">
        <v>25.725636720657349</v>
      </c>
      <c r="ADL8">
        <v>222</v>
      </c>
      <c r="ADM8" s="2"/>
      <c r="ADN8">
        <f t="shared" si="132"/>
        <v>31</v>
      </c>
      <c r="ADO8" t="s">
        <v>1992</v>
      </c>
      <c r="ADP8" t="s">
        <v>1993</v>
      </c>
      <c r="ADQ8">
        <v>24.584395408630371</v>
      </c>
      <c r="ADR8">
        <v>233</v>
      </c>
      <c r="ADS8" s="5"/>
      <c r="ADT8">
        <f t="shared" si="133"/>
        <v>36</v>
      </c>
      <c r="ADU8" t="s">
        <v>1994</v>
      </c>
      <c r="ADV8" t="s">
        <v>1995</v>
      </c>
      <c r="ADW8">
        <v>58.768064737319953</v>
      </c>
      <c r="ADX8">
        <v>194</v>
      </c>
      <c r="ADY8" s="2"/>
      <c r="ADZ8">
        <f t="shared" si="134"/>
        <v>20</v>
      </c>
      <c r="AEA8" t="s">
        <v>1996</v>
      </c>
      <c r="AEB8" t="s">
        <v>1997</v>
      </c>
      <c r="AEC8">
        <v>16.023945093154911</v>
      </c>
      <c r="AED8">
        <v>204</v>
      </c>
      <c r="AEE8" s="5"/>
      <c r="AEF8">
        <f t="shared" si="135"/>
        <v>37</v>
      </c>
      <c r="AEG8" t="s">
        <v>573</v>
      </c>
      <c r="AEH8" t="s">
        <v>1998</v>
      </c>
      <c r="AEI8">
        <v>6.7162172794342041</v>
      </c>
      <c r="AEJ8">
        <v>200</v>
      </c>
      <c r="AEK8" s="2"/>
      <c r="AEL8">
        <f t="shared" si="136"/>
        <v>37</v>
      </c>
      <c r="AEM8" t="s">
        <v>1999</v>
      </c>
      <c r="AEN8" t="s">
        <v>2000</v>
      </c>
      <c r="AEO8">
        <v>24.732426404952999</v>
      </c>
      <c r="AEP8">
        <v>280</v>
      </c>
      <c r="AEQ8" s="5"/>
      <c r="AER8">
        <f t="shared" si="137"/>
        <v>50</v>
      </c>
      <c r="AES8" t="s">
        <v>843</v>
      </c>
      <c r="AET8" t="s">
        <v>2001</v>
      </c>
      <c r="AEU8">
        <v>19.216905832290649</v>
      </c>
      <c r="AEV8">
        <v>239</v>
      </c>
      <c r="AEW8" s="2"/>
      <c r="AEX8">
        <f t="shared" si="138"/>
        <v>16</v>
      </c>
      <c r="AEY8" t="s">
        <v>2002</v>
      </c>
      <c r="AEZ8" t="s">
        <v>2003</v>
      </c>
      <c r="AFA8">
        <v>15.567544460296631</v>
      </c>
      <c r="AFB8">
        <v>140</v>
      </c>
      <c r="AFC8" s="5"/>
      <c r="AFD8">
        <f t="shared" si="139"/>
        <v>32</v>
      </c>
      <c r="AFE8" t="s">
        <v>2004</v>
      </c>
      <c r="AFF8" t="s">
        <v>2005</v>
      </c>
      <c r="AFG8">
        <v>7.2843825817108154</v>
      </c>
      <c r="AFH8">
        <v>160</v>
      </c>
      <c r="AFI8" s="2"/>
      <c r="AFJ8">
        <f t="shared" si="140"/>
        <v>44</v>
      </c>
      <c r="AFK8" t="s">
        <v>2006</v>
      </c>
      <c r="AFL8" t="s">
        <v>2007</v>
      </c>
      <c r="AFM8">
        <v>24.13011717796326</v>
      </c>
      <c r="AFN8">
        <v>284</v>
      </c>
      <c r="AFO8" s="5"/>
      <c r="AFP8">
        <f t="shared" si="141"/>
        <v>65</v>
      </c>
      <c r="AFQ8" t="s">
        <v>2008</v>
      </c>
      <c r="AFR8" t="s">
        <v>2009</v>
      </c>
      <c r="AFS8">
        <v>29.3159499168396</v>
      </c>
      <c r="AFT8">
        <v>278</v>
      </c>
      <c r="AFU8" s="2"/>
      <c r="AFV8">
        <f t="shared" si="142"/>
        <v>49</v>
      </c>
      <c r="AFW8" t="s">
        <v>2010</v>
      </c>
      <c r="AFX8" t="s">
        <v>2011</v>
      </c>
      <c r="AFY8">
        <v>18.904624462127689</v>
      </c>
      <c r="AFZ8">
        <v>275</v>
      </c>
      <c r="AGA8" s="5"/>
      <c r="AGB8">
        <f t="shared" si="143"/>
        <v>39</v>
      </c>
      <c r="AGC8" t="s">
        <v>2012</v>
      </c>
      <c r="AGD8" t="s">
        <v>2013</v>
      </c>
      <c r="AGE8">
        <v>26.15367412567139</v>
      </c>
      <c r="AGF8">
        <v>233</v>
      </c>
      <c r="AGG8" s="2"/>
      <c r="AGH8">
        <f t="shared" si="144"/>
        <v>37</v>
      </c>
      <c r="AGI8" t="s">
        <v>2014</v>
      </c>
      <c r="AGJ8" t="s">
        <v>2015</v>
      </c>
      <c r="AGK8">
        <v>18.582329273223881</v>
      </c>
      <c r="AGL8">
        <v>177</v>
      </c>
      <c r="AGM8" s="5"/>
      <c r="AGN8">
        <f t="shared" si="145"/>
        <v>18</v>
      </c>
      <c r="AGO8" t="s">
        <v>2016</v>
      </c>
      <c r="AGP8" t="s">
        <v>2017</v>
      </c>
      <c r="AGQ8">
        <v>8.0271718502044678</v>
      </c>
      <c r="AGR8">
        <v>270</v>
      </c>
      <c r="AGS8" s="2"/>
      <c r="AGT8">
        <f t="shared" si="146"/>
        <v>18</v>
      </c>
      <c r="AGU8" t="s">
        <v>2018</v>
      </c>
      <c r="AGV8" t="s">
        <v>2019</v>
      </c>
      <c r="AGW8">
        <v>36.969970464706421</v>
      </c>
      <c r="AGX8">
        <v>239</v>
      </c>
      <c r="AGY8" s="5"/>
      <c r="AGZ8">
        <f t="shared" si="147"/>
        <v>31</v>
      </c>
      <c r="AHA8" t="s">
        <v>671</v>
      </c>
      <c r="AHB8" t="s">
        <v>2020</v>
      </c>
      <c r="AHC8">
        <v>20.043440580368038</v>
      </c>
      <c r="AHD8">
        <v>219</v>
      </c>
      <c r="AHE8" s="2"/>
      <c r="AHF8">
        <f t="shared" si="148"/>
        <v>41</v>
      </c>
      <c r="AHG8" t="s">
        <v>2021</v>
      </c>
      <c r="AHH8" t="s">
        <v>2022</v>
      </c>
      <c r="AHI8">
        <v>25.529399871826168</v>
      </c>
      <c r="AHJ8">
        <v>173</v>
      </c>
      <c r="AHK8" s="5"/>
      <c r="AHL8">
        <f t="shared" si="149"/>
        <v>36</v>
      </c>
      <c r="AHM8" t="s">
        <v>2023</v>
      </c>
      <c r="AHN8" t="s">
        <v>2024</v>
      </c>
      <c r="AHO8">
        <v>17.584143161773682</v>
      </c>
      <c r="AHP8">
        <v>263</v>
      </c>
      <c r="AHQ8" s="2"/>
      <c r="AHR8">
        <f t="shared" si="150"/>
        <v>26</v>
      </c>
      <c r="AHS8" t="s">
        <v>2025</v>
      </c>
      <c r="AHT8" t="s">
        <v>2026</v>
      </c>
      <c r="AHU8">
        <v>31.33143138885498</v>
      </c>
      <c r="AHV8">
        <v>188</v>
      </c>
      <c r="AHW8" s="5"/>
      <c r="AHX8">
        <f t="shared" si="151"/>
        <v>38</v>
      </c>
      <c r="AHY8" t="s">
        <v>2027</v>
      </c>
      <c r="AHZ8" t="s">
        <v>2028</v>
      </c>
      <c r="AIA8">
        <v>6.4272093772888184</v>
      </c>
      <c r="AIB8">
        <v>186</v>
      </c>
      <c r="AIC8" s="2"/>
      <c r="AID8">
        <f t="shared" si="152"/>
        <v>73</v>
      </c>
      <c r="AIE8" t="s">
        <v>2029</v>
      </c>
      <c r="AIF8" t="s">
        <v>2030</v>
      </c>
      <c r="AIG8">
        <v>41.134856224060059</v>
      </c>
      <c r="AIH8">
        <v>277</v>
      </c>
      <c r="AII8" s="5"/>
      <c r="AIJ8">
        <f t="shared" si="153"/>
        <v>39</v>
      </c>
      <c r="AIK8" t="s">
        <v>2031</v>
      </c>
      <c r="AIL8" t="s">
        <v>2032</v>
      </c>
      <c r="AIM8">
        <v>23.90616774559021</v>
      </c>
      <c r="AIN8">
        <v>199</v>
      </c>
      <c r="AIO8" s="2"/>
      <c r="AIP8">
        <f t="shared" si="154"/>
        <v>23</v>
      </c>
      <c r="AIQ8" t="s">
        <v>2033</v>
      </c>
      <c r="AIR8" t="s">
        <v>2034</v>
      </c>
      <c r="AIS8">
        <v>414.85020279884338</v>
      </c>
      <c r="AIT8">
        <v>275</v>
      </c>
      <c r="AIU8" s="5"/>
      <c r="AIV8">
        <f t="shared" si="155"/>
        <v>36</v>
      </c>
      <c r="AIW8" t="s">
        <v>2035</v>
      </c>
      <c r="AIX8" t="s">
        <v>2036</v>
      </c>
      <c r="AIY8">
        <v>39.44980788230896</v>
      </c>
      <c r="AIZ8">
        <v>219</v>
      </c>
      <c r="AJA8" s="2"/>
      <c r="AJB8">
        <f t="shared" si="156"/>
        <v>45</v>
      </c>
      <c r="AJC8" t="s">
        <v>2037</v>
      </c>
      <c r="AJD8" t="s">
        <v>2038</v>
      </c>
      <c r="AJE8">
        <v>22.711339712142941</v>
      </c>
      <c r="AJF8">
        <v>192</v>
      </c>
      <c r="AJG8" s="5"/>
      <c r="AJH8">
        <f t="shared" si="157"/>
        <v>19</v>
      </c>
      <c r="AJI8" t="s">
        <v>1759</v>
      </c>
      <c r="AJJ8" t="s">
        <v>2039</v>
      </c>
      <c r="AJK8">
        <v>5.2479655742645264</v>
      </c>
      <c r="AJL8">
        <v>157</v>
      </c>
      <c r="AJM8" s="2"/>
      <c r="AJN8">
        <f t="shared" si="158"/>
        <v>36</v>
      </c>
      <c r="AJO8" t="s">
        <v>2040</v>
      </c>
      <c r="AJP8" t="s">
        <v>2041</v>
      </c>
      <c r="AJQ8">
        <v>19.86432766914368</v>
      </c>
      <c r="AJR8">
        <v>356</v>
      </c>
      <c r="AJS8" s="5"/>
      <c r="AJT8">
        <f t="shared" si="159"/>
        <v>32</v>
      </c>
      <c r="AJU8" t="s">
        <v>2042</v>
      </c>
      <c r="AJV8" t="s">
        <v>2043</v>
      </c>
      <c r="AJW8">
        <v>9.739919900894165</v>
      </c>
      <c r="AJX8">
        <v>329</v>
      </c>
      <c r="AJY8" s="2"/>
      <c r="AJZ8">
        <f t="shared" si="160"/>
        <v>72</v>
      </c>
      <c r="AKA8" t="s">
        <v>2044</v>
      </c>
      <c r="AKB8" t="s">
        <v>2045</v>
      </c>
      <c r="AKC8">
        <v>52.527092456817627</v>
      </c>
      <c r="AKD8">
        <v>305</v>
      </c>
      <c r="AKE8" s="5"/>
      <c r="AKF8">
        <f t="shared" si="161"/>
        <v>70</v>
      </c>
      <c r="AKG8" t="s">
        <v>2046</v>
      </c>
      <c r="AKH8" t="s">
        <v>2047</v>
      </c>
      <c r="AKI8">
        <v>137.36260271072391</v>
      </c>
      <c r="AKJ8">
        <v>272</v>
      </c>
      <c r="AKK8" s="2"/>
      <c r="AKL8">
        <f t="shared" si="162"/>
        <v>35</v>
      </c>
      <c r="AKM8" t="s">
        <v>2048</v>
      </c>
      <c r="AKN8" t="s">
        <v>2049</v>
      </c>
      <c r="AKO8">
        <v>46.397320747375488</v>
      </c>
      <c r="AKP8">
        <v>244</v>
      </c>
      <c r="AKQ8" s="5"/>
      <c r="AKR8">
        <f t="shared" si="163"/>
        <v>25</v>
      </c>
      <c r="AKS8" t="s">
        <v>1784</v>
      </c>
      <c r="AKT8" t="s">
        <v>2050</v>
      </c>
      <c r="AKU8">
        <v>14.132799386978149</v>
      </c>
      <c r="AKV8">
        <v>216</v>
      </c>
      <c r="AKW8" s="2"/>
      <c r="AKX8">
        <f t="shared" si="164"/>
        <v>53</v>
      </c>
      <c r="AKY8" t="s">
        <v>2051</v>
      </c>
      <c r="AKZ8" t="s">
        <v>2052</v>
      </c>
      <c r="ALA8">
        <v>21.491569519042969</v>
      </c>
      <c r="ALB8">
        <v>284</v>
      </c>
      <c r="ALC8" s="5"/>
      <c r="ALD8">
        <f t="shared" si="165"/>
        <v>32</v>
      </c>
      <c r="ALE8" t="s">
        <v>2053</v>
      </c>
      <c r="ALF8" t="s">
        <v>2054</v>
      </c>
      <c r="ALG8">
        <v>12.98962092399597</v>
      </c>
      <c r="ALH8">
        <v>241</v>
      </c>
      <c r="ALI8" s="2"/>
      <c r="ALJ8">
        <f t="shared" si="166"/>
        <v>27</v>
      </c>
      <c r="ALK8" t="s">
        <v>2055</v>
      </c>
      <c r="ALL8" t="s">
        <v>2056</v>
      </c>
      <c r="ALM8">
        <v>19.477551221847531</v>
      </c>
      <c r="ALN8">
        <v>223</v>
      </c>
      <c r="ALO8" s="5"/>
      <c r="ALP8">
        <f t="shared" si="167"/>
        <v>44</v>
      </c>
      <c r="ALQ8" t="s">
        <v>2057</v>
      </c>
      <c r="ALR8" t="s">
        <v>2058</v>
      </c>
      <c r="ALS8">
        <v>14.4756453037262</v>
      </c>
      <c r="ALT8">
        <v>133</v>
      </c>
      <c r="ALU8" s="2"/>
      <c r="ALV8">
        <f t="shared" si="168"/>
        <v>32</v>
      </c>
      <c r="ALW8" t="s">
        <v>728</v>
      </c>
      <c r="ALX8" t="s">
        <v>2059</v>
      </c>
      <c r="ALY8">
        <v>14.687860250473021</v>
      </c>
      <c r="ALZ8">
        <v>240</v>
      </c>
      <c r="AMA8" s="5"/>
      <c r="AMB8">
        <f t="shared" si="169"/>
        <v>28</v>
      </c>
      <c r="AMC8" t="s">
        <v>1992</v>
      </c>
      <c r="AMD8" t="s">
        <v>2060</v>
      </c>
      <c r="AME8">
        <v>7.5603528022766113</v>
      </c>
      <c r="AMF8">
        <v>212</v>
      </c>
      <c r="AMG8" s="2"/>
      <c r="AMH8">
        <f t="shared" si="170"/>
        <v>23</v>
      </c>
      <c r="AMI8" t="s">
        <v>1437</v>
      </c>
      <c r="AMJ8" t="s">
        <v>2061</v>
      </c>
      <c r="AMK8">
        <v>18.724476099014279</v>
      </c>
      <c r="AML8">
        <v>390</v>
      </c>
      <c r="AMM8" s="5"/>
      <c r="AMN8">
        <f t="shared" si="171"/>
        <v>48</v>
      </c>
      <c r="AMO8" t="s">
        <v>2062</v>
      </c>
      <c r="AMP8" t="s">
        <v>2063</v>
      </c>
      <c r="AMQ8">
        <v>25.042086362838749</v>
      </c>
      <c r="AMR8">
        <v>287</v>
      </c>
      <c r="AMS8" s="2"/>
      <c r="AMT8">
        <f t="shared" si="172"/>
        <v>21</v>
      </c>
      <c r="AMU8" t="s">
        <v>232</v>
      </c>
      <c r="AMV8" t="s">
        <v>2064</v>
      </c>
      <c r="AMW8">
        <v>21.608502388000488</v>
      </c>
      <c r="AMX8">
        <v>300</v>
      </c>
      <c r="AMY8" s="5"/>
      <c r="AMZ8">
        <f t="shared" si="173"/>
        <v>28</v>
      </c>
      <c r="ANA8" t="s">
        <v>2065</v>
      </c>
      <c r="ANB8" t="s">
        <v>2066</v>
      </c>
      <c r="ANC8">
        <v>19.955772161483761</v>
      </c>
      <c r="AND8">
        <v>202</v>
      </c>
      <c r="ANE8" s="2"/>
      <c r="ANF8">
        <f t="shared" si="174"/>
        <v>103</v>
      </c>
      <c r="ANG8" t="s">
        <v>2067</v>
      </c>
      <c r="ANH8" t="s">
        <v>2068</v>
      </c>
      <c r="ANI8">
        <v>288.0857994556427</v>
      </c>
      <c r="ANJ8">
        <v>264</v>
      </c>
      <c r="ANK8" s="5"/>
      <c r="ANL8">
        <f t="shared" si="175"/>
        <v>29</v>
      </c>
      <c r="ANM8" t="s">
        <v>1901</v>
      </c>
      <c r="ANN8" t="s">
        <v>2069</v>
      </c>
      <c r="ANO8">
        <v>14.28782153129578</v>
      </c>
      <c r="ANP8">
        <v>198</v>
      </c>
      <c r="ANQ8" s="2"/>
      <c r="ANR8">
        <f t="shared" si="176"/>
        <v>52</v>
      </c>
      <c r="ANS8" t="s">
        <v>2070</v>
      </c>
      <c r="ANT8" t="s">
        <v>2071</v>
      </c>
      <c r="ANU8">
        <v>52.450182914733887</v>
      </c>
      <c r="ANV8">
        <v>229</v>
      </c>
      <c r="ANW8" s="5"/>
      <c r="ANX8">
        <f t="shared" si="177"/>
        <v>32</v>
      </c>
      <c r="ANY8" t="s">
        <v>2072</v>
      </c>
      <c r="ANZ8" t="s">
        <v>2073</v>
      </c>
      <c r="AOA8">
        <v>7.6217339038848877</v>
      </c>
      <c r="AOB8">
        <v>229</v>
      </c>
      <c r="AOC8" s="2"/>
      <c r="AOD8">
        <f t="shared" si="178"/>
        <v>48</v>
      </c>
      <c r="AOE8" t="s">
        <v>2074</v>
      </c>
      <c r="AOF8" t="s">
        <v>2075</v>
      </c>
      <c r="AOG8">
        <v>37.246751546859741</v>
      </c>
      <c r="AOH8">
        <v>240</v>
      </c>
      <c r="AOI8" s="5"/>
      <c r="AOJ8">
        <f t="shared" si="179"/>
        <v>48</v>
      </c>
      <c r="AOK8" t="s">
        <v>2076</v>
      </c>
      <c r="AOL8" t="s">
        <v>2077</v>
      </c>
      <c r="AOM8">
        <v>161.0436894893646</v>
      </c>
      <c r="AON8">
        <v>281</v>
      </c>
      <c r="AOO8" s="2"/>
      <c r="AOP8">
        <f t="shared" si="180"/>
        <v>37</v>
      </c>
      <c r="AOQ8" t="s">
        <v>2078</v>
      </c>
      <c r="AOR8" t="s">
        <v>2079</v>
      </c>
      <c r="AOS8">
        <v>30.890446424484249</v>
      </c>
      <c r="AOT8">
        <v>371</v>
      </c>
      <c r="AOU8" s="5"/>
      <c r="AOV8">
        <f t="shared" si="181"/>
        <v>60</v>
      </c>
      <c r="AOW8" t="s">
        <v>2080</v>
      </c>
      <c r="AOX8" t="s">
        <v>2081</v>
      </c>
      <c r="AOY8">
        <v>10.11735963821411</v>
      </c>
      <c r="AOZ8">
        <v>225</v>
      </c>
      <c r="APA8" s="2"/>
      <c r="APB8">
        <f t="shared" si="182"/>
        <v>19</v>
      </c>
      <c r="APC8" t="s">
        <v>2082</v>
      </c>
      <c r="APD8" t="s">
        <v>2083</v>
      </c>
      <c r="APE8">
        <v>11.92742228507996</v>
      </c>
      <c r="APF8">
        <v>224</v>
      </c>
      <c r="APG8" s="5"/>
      <c r="APH8">
        <f t="shared" si="183"/>
        <v>24</v>
      </c>
      <c r="API8" t="s">
        <v>2084</v>
      </c>
      <c r="APJ8" t="s">
        <v>2085</v>
      </c>
      <c r="APK8">
        <v>5.2698554992675781</v>
      </c>
      <c r="APL8">
        <v>300</v>
      </c>
      <c r="APM8" s="2"/>
      <c r="APN8">
        <f t="shared" si="184"/>
        <v>30</v>
      </c>
      <c r="APO8" t="s">
        <v>2086</v>
      </c>
      <c r="APP8" t="s">
        <v>2087</v>
      </c>
      <c r="APQ8">
        <v>19.472580909729</v>
      </c>
      <c r="APR8">
        <v>230</v>
      </c>
      <c r="APS8" s="5"/>
      <c r="APT8">
        <f t="shared" si="185"/>
        <v>54</v>
      </c>
      <c r="APU8" t="s">
        <v>2088</v>
      </c>
      <c r="APV8" t="s">
        <v>2089</v>
      </c>
      <c r="APW8">
        <v>64.337787628173828</v>
      </c>
      <c r="APX8">
        <v>329</v>
      </c>
      <c r="APY8" s="2"/>
      <c r="APZ8">
        <f t="shared" si="186"/>
        <v>17</v>
      </c>
      <c r="AQA8" t="s">
        <v>2018</v>
      </c>
      <c r="AQB8" t="s">
        <v>2090</v>
      </c>
      <c r="AQC8">
        <v>50.973576545715332</v>
      </c>
      <c r="AQD8">
        <v>221</v>
      </c>
      <c r="AQE8" s="5"/>
      <c r="AQF8">
        <f t="shared" si="187"/>
        <v>67</v>
      </c>
      <c r="AQG8" t="s">
        <v>2091</v>
      </c>
      <c r="AQH8" t="s">
        <v>2092</v>
      </c>
      <c r="AQI8">
        <v>18.647485017776489</v>
      </c>
      <c r="AQJ8">
        <v>254</v>
      </c>
      <c r="AQK8" s="2"/>
      <c r="AQL8">
        <f t="shared" si="188"/>
        <v>72</v>
      </c>
      <c r="AQM8" t="s">
        <v>2093</v>
      </c>
      <c r="AQN8" t="s">
        <v>2094</v>
      </c>
      <c r="AQO8">
        <v>35.16883659362793</v>
      </c>
      <c r="AQP8">
        <v>248</v>
      </c>
      <c r="AQQ8" s="5"/>
      <c r="AQR8">
        <f t="shared" si="189"/>
        <v>48</v>
      </c>
      <c r="AQS8" t="s">
        <v>2095</v>
      </c>
      <c r="AQT8" t="s">
        <v>2096</v>
      </c>
      <c r="AQU8">
        <v>29.158125638961788</v>
      </c>
      <c r="AQV8">
        <v>244</v>
      </c>
      <c r="AQW8" s="2"/>
      <c r="AQX8">
        <f t="shared" si="190"/>
        <v>19</v>
      </c>
      <c r="AQY8" t="s">
        <v>2097</v>
      </c>
      <c r="AQZ8" t="s">
        <v>2098</v>
      </c>
      <c r="ARA8">
        <v>12.663604974746701</v>
      </c>
      <c r="ARB8">
        <v>191</v>
      </c>
      <c r="ARC8" s="5"/>
      <c r="ARD8">
        <f t="shared" si="191"/>
        <v>24</v>
      </c>
      <c r="ARE8" t="s">
        <v>2099</v>
      </c>
      <c r="ARF8" t="s">
        <v>2100</v>
      </c>
      <c r="ARG8">
        <v>9.8698549270629883</v>
      </c>
      <c r="ARH8">
        <v>249</v>
      </c>
      <c r="ARI8" s="2"/>
      <c r="ARJ8">
        <f t="shared" si="192"/>
        <v>25</v>
      </c>
      <c r="ARK8" t="s">
        <v>2101</v>
      </c>
      <c r="ARL8" t="s">
        <v>2102</v>
      </c>
      <c r="ARM8">
        <v>19.249183177948002</v>
      </c>
      <c r="ARN8">
        <v>138</v>
      </c>
      <c r="ARO8" s="5"/>
      <c r="ARP8">
        <f t="shared" si="193"/>
        <v>30</v>
      </c>
      <c r="ARQ8" t="s">
        <v>2103</v>
      </c>
      <c r="ARR8" t="s">
        <v>2104</v>
      </c>
      <c r="ARS8">
        <v>4.3322298526763916</v>
      </c>
      <c r="ART8">
        <v>225</v>
      </c>
      <c r="ARU8" s="2"/>
      <c r="ARV8">
        <f t="shared" si="194"/>
        <v>14</v>
      </c>
      <c r="ARW8" t="s">
        <v>2105</v>
      </c>
      <c r="ARX8" t="s">
        <v>2106</v>
      </c>
      <c r="ARY8">
        <v>19.585084199905399</v>
      </c>
      <c r="ARZ8">
        <v>285</v>
      </c>
      <c r="ASA8" s="5"/>
      <c r="ASB8">
        <f t="shared" si="195"/>
        <v>56</v>
      </c>
      <c r="ASC8" t="s">
        <v>2107</v>
      </c>
      <c r="ASD8" t="s">
        <v>2108</v>
      </c>
      <c r="ASE8">
        <v>20.15948224067688</v>
      </c>
      <c r="ASF8">
        <v>232</v>
      </c>
      <c r="ASG8" s="2"/>
      <c r="ASH8">
        <f t="shared" si="196"/>
        <v>34</v>
      </c>
      <c r="ASI8" t="s">
        <v>1114</v>
      </c>
      <c r="ASJ8" t="s">
        <v>2109</v>
      </c>
      <c r="ASK8">
        <v>19.314643383026119</v>
      </c>
      <c r="ASL8">
        <v>284</v>
      </c>
      <c r="ASM8" s="5"/>
      <c r="ASN8">
        <f t="shared" si="197"/>
        <v>27</v>
      </c>
      <c r="ASO8" t="s">
        <v>2110</v>
      </c>
      <c r="ASP8" t="s">
        <v>2111</v>
      </c>
      <c r="ASQ8">
        <v>9.3804495334625244</v>
      </c>
      <c r="ASR8">
        <v>217</v>
      </c>
      <c r="ASS8" s="2"/>
      <c r="AST8">
        <f t="shared" si="198"/>
        <v>64</v>
      </c>
      <c r="ASU8" t="s">
        <v>2112</v>
      </c>
      <c r="ASV8" t="s">
        <v>2113</v>
      </c>
      <c r="ASW8">
        <v>206.02216458320621</v>
      </c>
      <c r="ASX8">
        <v>172</v>
      </c>
      <c r="ASY8" s="5"/>
      <c r="ASZ8">
        <f t="shared" si="199"/>
        <v>16</v>
      </c>
      <c r="ATA8" t="s">
        <v>2114</v>
      </c>
      <c r="ATB8" t="s">
        <v>2115</v>
      </c>
      <c r="ATC8">
        <v>3.401450395584106</v>
      </c>
      <c r="ATD8">
        <v>149</v>
      </c>
      <c r="ATE8" s="2"/>
      <c r="ATF8">
        <f t="shared" si="200"/>
        <v>50</v>
      </c>
      <c r="ATG8" t="s">
        <v>2116</v>
      </c>
      <c r="ATH8" t="s">
        <v>2117</v>
      </c>
      <c r="ATI8">
        <v>149.60234689712519</v>
      </c>
      <c r="ATJ8">
        <v>297</v>
      </c>
      <c r="ATK8" s="5"/>
      <c r="ATL8">
        <f t="shared" si="201"/>
        <v>34</v>
      </c>
      <c r="ATM8" t="s">
        <v>1485</v>
      </c>
      <c r="ATN8" t="s">
        <v>2118</v>
      </c>
      <c r="ATO8">
        <v>20.917841672897339</v>
      </c>
      <c r="ATP8">
        <v>287</v>
      </c>
      <c r="ATQ8" s="2"/>
      <c r="ATR8">
        <f t="shared" si="202"/>
        <v>24</v>
      </c>
      <c r="ATS8" t="s">
        <v>2119</v>
      </c>
      <c r="ATT8" t="s">
        <v>2120</v>
      </c>
      <c r="ATU8">
        <v>27.68389987945557</v>
      </c>
      <c r="ATV8">
        <v>231</v>
      </c>
      <c r="ATW8" s="5"/>
      <c r="ATX8">
        <f t="shared" si="203"/>
        <v>66</v>
      </c>
      <c r="ATY8" t="s">
        <v>2121</v>
      </c>
      <c r="ATZ8" t="s">
        <v>2122</v>
      </c>
      <c r="AUA8">
        <v>25.314713001251221</v>
      </c>
      <c r="AUB8">
        <v>356</v>
      </c>
      <c r="AUC8" s="2"/>
    </row>
    <row r="9" spans="2:1225" x14ac:dyDescent="0.25">
      <c r="B9">
        <f t="shared" si="0"/>
        <v>11</v>
      </c>
      <c r="C9" t="s">
        <v>2018</v>
      </c>
      <c r="D9" t="s">
        <v>2123</v>
      </c>
      <c r="E9">
        <v>3.7184970378875728</v>
      </c>
      <c r="F9">
        <v>176</v>
      </c>
      <c r="G9" s="1"/>
      <c r="H9">
        <f t="shared" si="1"/>
        <v>34</v>
      </c>
      <c r="I9" t="s">
        <v>105</v>
      </c>
      <c r="J9" t="s">
        <v>2124</v>
      </c>
      <c r="K9">
        <v>12.346927165985109</v>
      </c>
      <c r="L9">
        <v>377</v>
      </c>
      <c r="M9" s="2"/>
      <c r="N9">
        <f t="shared" si="2"/>
        <v>39</v>
      </c>
      <c r="O9" t="s">
        <v>2125</v>
      </c>
      <c r="P9" t="s">
        <v>2126</v>
      </c>
      <c r="Q9">
        <v>10.54292416572571</v>
      </c>
      <c r="R9">
        <v>228</v>
      </c>
      <c r="S9" s="1"/>
      <c r="T9">
        <f t="shared" si="3"/>
        <v>207</v>
      </c>
      <c r="U9" t="s">
        <v>2127</v>
      </c>
      <c r="V9" t="s">
        <v>2128</v>
      </c>
      <c r="W9">
        <v>21.6248619556427</v>
      </c>
      <c r="X9">
        <v>365</v>
      </c>
      <c r="Y9" s="2"/>
      <c r="Z9">
        <f t="shared" si="4"/>
        <v>30</v>
      </c>
      <c r="AA9" t="s">
        <v>2129</v>
      </c>
      <c r="AB9" t="s">
        <v>2130</v>
      </c>
      <c r="AC9">
        <v>13.631996393203741</v>
      </c>
      <c r="AD9">
        <v>158</v>
      </c>
      <c r="AE9" s="1"/>
      <c r="AF9">
        <f t="shared" si="5"/>
        <v>18</v>
      </c>
      <c r="AG9" t="s">
        <v>2131</v>
      </c>
      <c r="AH9" t="s">
        <v>2132</v>
      </c>
      <c r="AI9">
        <v>26.735466241836551</v>
      </c>
      <c r="AJ9">
        <v>205</v>
      </c>
      <c r="AK9" s="2"/>
      <c r="AL9">
        <f t="shared" si="6"/>
        <v>37</v>
      </c>
      <c r="AM9" t="s">
        <v>2133</v>
      </c>
      <c r="AN9" t="s">
        <v>2134</v>
      </c>
      <c r="AO9">
        <v>20.548056364059448</v>
      </c>
      <c r="AP9">
        <v>265</v>
      </c>
      <c r="AQ9" s="1"/>
      <c r="AR9">
        <f t="shared" si="7"/>
        <v>16</v>
      </c>
      <c r="AS9" t="s">
        <v>1437</v>
      </c>
      <c r="AT9" t="s">
        <v>2135</v>
      </c>
      <c r="AU9">
        <v>318.36070418357849</v>
      </c>
      <c r="AV9">
        <v>390</v>
      </c>
      <c r="AW9" s="2"/>
      <c r="AX9">
        <f t="shared" si="8"/>
        <v>29</v>
      </c>
      <c r="AY9" t="s">
        <v>486</v>
      </c>
      <c r="AZ9" t="s">
        <v>2136</v>
      </c>
      <c r="BA9">
        <v>11.06315994262695</v>
      </c>
      <c r="BB9">
        <v>219</v>
      </c>
      <c r="BC9" s="1"/>
      <c r="BD9">
        <f t="shared" si="9"/>
        <v>22</v>
      </c>
      <c r="BE9" t="s">
        <v>2137</v>
      </c>
      <c r="BF9" t="s">
        <v>2138</v>
      </c>
      <c r="BG9">
        <v>51.94799542427063</v>
      </c>
      <c r="BH9">
        <v>149</v>
      </c>
      <c r="BI9" s="2"/>
      <c r="BJ9">
        <f t="shared" si="10"/>
        <v>27</v>
      </c>
      <c r="BK9" t="s">
        <v>2139</v>
      </c>
      <c r="BL9" t="s">
        <v>2140</v>
      </c>
      <c r="BM9">
        <v>19.992112874984741</v>
      </c>
      <c r="BN9">
        <v>209</v>
      </c>
      <c r="BO9" s="1"/>
      <c r="BP9">
        <f t="shared" si="11"/>
        <v>20</v>
      </c>
      <c r="BQ9" t="s">
        <v>2141</v>
      </c>
      <c r="BR9" t="s">
        <v>2142</v>
      </c>
      <c r="BS9">
        <v>32.713740348815918</v>
      </c>
      <c r="BT9">
        <v>264</v>
      </c>
      <c r="BU9" s="2"/>
      <c r="BV9">
        <f t="shared" si="12"/>
        <v>25</v>
      </c>
      <c r="BW9" t="s">
        <v>2143</v>
      </c>
      <c r="BX9" t="s">
        <v>2144</v>
      </c>
      <c r="BY9">
        <v>5.0009424686431876</v>
      </c>
      <c r="BZ9">
        <v>469</v>
      </c>
      <c r="CA9" s="1"/>
      <c r="CB9">
        <f t="shared" si="13"/>
        <v>48</v>
      </c>
      <c r="CC9" t="s">
        <v>2145</v>
      </c>
      <c r="CD9" t="s">
        <v>2146</v>
      </c>
      <c r="CE9">
        <v>29.223646640777591</v>
      </c>
      <c r="CF9">
        <v>315</v>
      </c>
      <c r="CG9" s="2"/>
      <c r="CH9">
        <f t="shared" si="14"/>
        <v>46</v>
      </c>
      <c r="CI9" t="s">
        <v>2147</v>
      </c>
      <c r="CJ9" t="s">
        <v>2148</v>
      </c>
      <c r="CK9">
        <v>32.233650684356689</v>
      </c>
      <c r="CL9">
        <v>291</v>
      </c>
      <c r="CM9" s="1"/>
      <c r="CN9">
        <f t="shared" si="15"/>
        <v>22</v>
      </c>
      <c r="CO9" t="s">
        <v>2149</v>
      </c>
      <c r="CP9" t="s">
        <v>2150</v>
      </c>
      <c r="CQ9">
        <v>13.057777643203741</v>
      </c>
      <c r="CR9">
        <v>314</v>
      </c>
      <c r="CS9" s="2"/>
      <c r="CT9">
        <f t="shared" si="16"/>
        <v>52</v>
      </c>
      <c r="CU9" t="s">
        <v>2151</v>
      </c>
      <c r="CV9" t="s">
        <v>2152</v>
      </c>
      <c r="CW9">
        <v>14.61271023750305</v>
      </c>
      <c r="CX9">
        <v>248</v>
      </c>
      <c r="CY9" s="1"/>
      <c r="CZ9">
        <f t="shared" si="17"/>
        <v>28</v>
      </c>
      <c r="DA9" t="s">
        <v>2153</v>
      </c>
      <c r="DB9" t="s">
        <v>2154</v>
      </c>
      <c r="DC9">
        <v>44.740111112594597</v>
      </c>
      <c r="DD9">
        <v>309</v>
      </c>
      <c r="DE9" s="2"/>
      <c r="DF9">
        <f t="shared" si="18"/>
        <v>89</v>
      </c>
      <c r="DG9" t="s">
        <v>2155</v>
      </c>
      <c r="DH9" t="s">
        <v>2156</v>
      </c>
      <c r="DI9">
        <v>134.73804640769961</v>
      </c>
      <c r="DJ9">
        <v>273</v>
      </c>
      <c r="DK9" s="1"/>
      <c r="DL9">
        <f t="shared" si="19"/>
        <v>36</v>
      </c>
      <c r="DM9" t="s">
        <v>2157</v>
      </c>
      <c r="DN9" t="s">
        <v>2158</v>
      </c>
      <c r="DO9">
        <v>22.159512042999271</v>
      </c>
      <c r="DP9">
        <v>257</v>
      </c>
      <c r="DQ9" s="2"/>
      <c r="DR9">
        <f t="shared" si="20"/>
        <v>26</v>
      </c>
      <c r="DS9" t="s">
        <v>2159</v>
      </c>
      <c r="DT9" t="s">
        <v>2160</v>
      </c>
      <c r="DU9">
        <v>10.69621801376343</v>
      </c>
      <c r="DV9">
        <v>323</v>
      </c>
      <c r="DW9" s="1"/>
      <c r="DX9">
        <f t="shared" si="21"/>
        <v>11</v>
      </c>
      <c r="DY9" t="s">
        <v>2161</v>
      </c>
      <c r="DZ9" t="s">
        <v>2162</v>
      </c>
      <c r="EA9">
        <v>12.13952732086182</v>
      </c>
      <c r="EB9">
        <v>253</v>
      </c>
      <c r="EC9" s="2"/>
      <c r="ED9">
        <f t="shared" si="22"/>
        <v>25</v>
      </c>
      <c r="EE9" t="s">
        <v>2163</v>
      </c>
      <c r="EF9" t="s">
        <v>2164</v>
      </c>
      <c r="EG9">
        <v>23.320378065109249</v>
      </c>
      <c r="EH9">
        <v>180</v>
      </c>
      <c r="EI9" s="1"/>
      <c r="EJ9">
        <f t="shared" si="23"/>
        <v>40</v>
      </c>
      <c r="EK9" t="s">
        <v>2165</v>
      </c>
      <c r="EL9" t="s">
        <v>2166</v>
      </c>
      <c r="EM9">
        <v>28.68015623092651</v>
      </c>
      <c r="EN9">
        <v>292</v>
      </c>
      <c r="EO9" s="2"/>
      <c r="EP9">
        <f t="shared" si="24"/>
        <v>38</v>
      </c>
      <c r="EQ9" t="s">
        <v>2167</v>
      </c>
      <c r="ER9" t="s">
        <v>2168</v>
      </c>
      <c r="ES9">
        <v>27.021198511123661</v>
      </c>
      <c r="ET9">
        <v>212</v>
      </c>
      <c r="EU9" s="1"/>
      <c r="EV9">
        <f t="shared" si="25"/>
        <v>49</v>
      </c>
      <c r="EW9" t="s">
        <v>2169</v>
      </c>
      <c r="EX9" t="s">
        <v>2170</v>
      </c>
      <c r="EY9">
        <v>184.19690990448001</v>
      </c>
      <c r="EZ9">
        <v>257</v>
      </c>
      <c r="FA9" s="2"/>
      <c r="FB9">
        <f t="shared" si="26"/>
        <v>36</v>
      </c>
      <c r="FC9" t="s">
        <v>2171</v>
      </c>
      <c r="FD9" t="s">
        <v>2172</v>
      </c>
      <c r="FE9">
        <v>30.59069466590881</v>
      </c>
      <c r="FF9">
        <v>295</v>
      </c>
      <c r="FG9" s="1"/>
      <c r="FH9">
        <f t="shared" si="27"/>
        <v>36</v>
      </c>
      <c r="FI9" t="s">
        <v>2173</v>
      </c>
      <c r="FJ9" t="s">
        <v>2174</v>
      </c>
      <c r="FK9">
        <v>28.139485359191891</v>
      </c>
      <c r="FL9">
        <v>245</v>
      </c>
      <c r="FM9" s="2"/>
      <c r="FN9">
        <f t="shared" si="28"/>
        <v>32</v>
      </c>
      <c r="FO9" t="s">
        <v>2175</v>
      </c>
      <c r="FP9" t="s">
        <v>2176</v>
      </c>
      <c r="FQ9">
        <v>27.53856897354126</v>
      </c>
      <c r="FR9">
        <v>360</v>
      </c>
      <c r="FS9" s="1"/>
      <c r="FT9">
        <f t="shared" si="29"/>
        <v>22</v>
      </c>
      <c r="FU9" t="s">
        <v>2177</v>
      </c>
      <c r="FV9" t="s">
        <v>2178</v>
      </c>
      <c r="FW9">
        <v>19.25306057929993</v>
      </c>
      <c r="FX9">
        <v>357</v>
      </c>
      <c r="FY9" s="2"/>
      <c r="FZ9">
        <f t="shared" si="30"/>
        <v>28</v>
      </c>
      <c r="GA9" t="s">
        <v>2179</v>
      </c>
      <c r="GB9" t="s">
        <v>2180</v>
      </c>
      <c r="GC9">
        <v>18.227995157241821</v>
      </c>
      <c r="GD9">
        <v>283</v>
      </c>
      <c r="GE9" s="1"/>
      <c r="GF9">
        <f t="shared" si="31"/>
        <v>32</v>
      </c>
      <c r="GG9" t="s">
        <v>2181</v>
      </c>
      <c r="GH9" t="s">
        <v>2182</v>
      </c>
      <c r="GI9">
        <v>13.951306104660031</v>
      </c>
      <c r="GJ9">
        <v>343</v>
      </c>
      <c r="GK9" s="2"/>
      <c r="GL9">
        <f t="shared" si="32"/>
        <v>72</v>
      </c>
      <c r="GM9" t="s">
        <v>2183</v>
      </c>
      <c r="GN9" t="s">
        <v>2184</v>
      </c>
      <c r="GO9">
        <v>19.816361904144291</v>
      </c>
      <c r="GP9">
        <v>276</v>
      </c>
      <c r="GQ9" s="1"/>
      <c r="GR9">
        <f t="shared" si="33"/>
        <v>38</v>
      </c>
      <c r="GS9" t="s">
        <v>2185</v>
      </c>
      <c r="GT9" t="s">
        <v>2186</v>
      </c>
      <c r="GU9">
        <v>35.826950073242188</v>
      </c>
      <c r="GV9">
        <v>271</v>
      </c>
      <c r="GW9" s="2"/>
      <c r="GX9">
        <f t="shared" si="34"/>
        <v>36</v>
      </c>
      <c r="GY9" t="s">
        <v>2187</v>
      </c>
      <c r="GZ9" t="s">
        <v>2188</v>
      </c>
      <c r="HA9">
        <v>8.8347561359405518</v>
      </c>
      <c r="HB9">
        <v>196</v>
      </c>
      <c r="HC9" s="1"/>
      <c r="HD9">
        <f t="shared" si="35"/>
        <v>36</v>
      </c>
      <c r="HE9" t="s">
        <v>2189</v>
      </c>
      <c r="HF9" t="s">
        <v>2190</v>
      </c>
      <c r="HG9">
        <v>42.795631885528557</v>
      </c>
      <c r="HH9">
        <v>288</v>
      </c>
      <c r="HI9" s="2"/>
      <c r="HJ9">
        <f t="shared" si="36"/>
        <v>42</v>
      </c>
      <c r="HK9" t="s">
        <v>2191</v>
      </c>
      <c r="HL9" t="s">
        <v>2192</v>
      </c>
      <c r="HM9">
        <v>29.654205322265621</v>
      </c>
      <c r="HN9">
        <v>236</v>
      </c>
      <c r="HO9" s="1"/>
      <c r="HP9">
        <f t="shared" si="37"/>
        <v>32</v>
      </c>
      <c r="HQ9" t="s">
        <v>2193</v>
      </c>
      <c r="HR9" t="s">
        <v>2194</v>
      </c>
      <c r="HS9">
        <v>28.99762320518494</v>
      </c>
      <c r="HT9">
        <v>386</v>
      </c>
      <c r="HU9" s="2"/>
      <c r="HV9">
        <f t="shared" si="38"/>
        <v>44</v>
      </c>
      <c r="HW9" t="s">
        <v>910</v>
      </c>
      <c r="HX9" t="s">
        <v>2195</v>
      </c>
      <c r="HY9">
        <v>13.514250993728639</v>
      </c>
      <c r="HZ9">
        <v>205</v>
      </c>
      <c r="IA9" s="1"/>
      <c r="IB9">
        <f t="shared" si="39"/>
        <v>35</v>
      </c>
      <c r="IC9" t="s">
        <v>2196</v>
      </c>
      <c r="ID9" t="s">
        <v>2197</v>
      </c>
      <c r="IE9">
        <v>154.70765590667719</v>
      </c>
      <c r="IF9">
        <v>219</v>
      </c>
      <c r="IG9" s="2"/>
      <c r="IH9">
        <f t="shared" si="40"/>
        <v>24</v>
      </c>
      <c r="II9" t="s">
        <v>2198</v>
      </c>
      <c r="IJ9" t="s">
        <v>2199</v>
      </c>
      <c r="IK9">
        <v>8.5292127132415771</v>
      </c>
      <c r="IL9">
        <v>233</v>
      </c>
      <c r="IM9" s="1"/>
      <c r="IN9">
        <f t="shared" si="41"/>
        <v>81</v>
      </c>
      <c r="IO9" t="s">
        <v>2200</v>
      </c>
      <c r="IP9" t="s">
        <v>2201</v>
      </c>
      <c r="IQ9">
        <v>48.897132396697998</v>
      </c>
      <c r="IR9">
        <v>422</v>
      </c>
      <c r="IS9" s="2"/>
      <c r="IT9">
        <f t="shared" si="42"/>
        <v>49</v>
      </c>
      <c r="IU9" t="s">
        <v>2202</v>
      </c>
      <c r="IV9" t="s">
        <v>2203</v>
      </c>
      <c r="IW9">
        <v>144.18736147880551</v>
      </c>
      <c r="IX9">
        <v>330</v>
      </c>
      <c r="IY9" s="1"/>
      <c r="IZ9">
        <f t="shared" si="43"/>
        <v>31</v>
      </c>
      <c r="JA9" t="s">
        <v>2204</v>
      </c>
      <c r="JB9" t="s">
        <v>2205</v>
      </c>
      <c r="JC9">
        <v>17.887655735015869</v>
      </c>
      <c r="JD9">
        <v>254</v>
      </c>
      <c r="JE9" s="2"/>
      <c r="JF9">
        <f t="shared" si="44"/>
        <v>26</v>
      </c>
      <c r="JG9" t="s">
        <v>2206</v>
      </c>
      <c r="JH9" t="s">
        <v>2207</v>
      </c>
      <c r="JI9">
        <v>22.522678375244141</v>
      </c>
      <c r="JJ9">
        <v>163</v>
      </c>
      <c r="JK9" s="1"/>
      <c r="JL9">
        <f t="shared" si="45"/>
        <v>13</v>
      </c>
      <c r="JM9" t="s">
        <v>2208</v>
      </c>
      <c r="JN9" t="s">
        <v>2209</v>
      </c>
      <c r="JO9">
        <v>26.07610559463501</v>
      </c>
      <c r="JP9">
        <v>190</v>
      </c>
      <c r="JQ9" s="2"/>
      <c r="JR9">
        <f t="shared" si="46"/>
        <v>28</v>
      </c>
      <c r="JS9" t="s">
        <v>2210</v>
      </c>
      <c r="JT9" t="s">
        <v>2211</v>
      </c>
      <c r="JU9">
        <v>12.56126379966736</v>
      </c>
      <c r="JV9">
        <v>163</v>
      </c>
      <c r="JW9" s="1"/>
      <c r="JX9">
        <f t="shared" si="47"/>
        <v>30</v>
      </c>
      <c r="JY9" t="s">
        <v>2212</v>
      </c>
      <c r="JZ9" t="s">
        <v>2213</v>
      </c>
      <c r="KA9">
        <v>32.601035833358758</v>
      </c>
      <c r="KB9">
        <v>288</v>
      </c>
      <c r="KC9" s="2"/>
      <c r="KD9">
        <f t="shared" si="48"/>
        <v>37</v>
      </c>
      <c r="KE9" t="s">
        <v>2214</v>
      </c>
      <c r="KF9" t="s">
        <v>2215</v>
      </c>
      <c r="KG9">
        <v>12.451921701431271</v>
      </c>
      <c r="KH9">
        <v>304</v>
      </c>
      <c r="KI9" s="1"/>
      <c r="KJ9">
        <f t="shared" si="49"/>
        <v>42</v>
      </c>
      <c r="KK9" t="s">
        <v>2216</v>
      </c>
      <c r="KL9" t="s">
        <v>2217</v>
      </c>
      <c r="KM9">
        <v>20.382745027542111</v>
      </c>
      <c r="KN9">
        <v>338</v>
      </c>
      <c r="KO9" s="2"/>
      <c r="KP9">
        <f t="shared" si="50"/>
        <v>23</v>
      </c>
      <c r="KQ9" t="s">
        <v>2218</v>
      </c>
      <c r="KR9" t="s">
        <v>2219</v>
      </c>
      <c r="KS9">
        <v>5.5394058227539063</v>
      </c>
      <c r="KT9">
        <v>244</v>
      </c>
      <c r="KU9" s="1"/>
      <c r="KV9">
        <f t="shared" si="51"/>
        <v>36</v>
      </c>
      <c r="KW9" t="s">
        <v>2220</v>
      </c>
      <c r="KX9" t="s">
        <v>2221</v>
      </c>
      <c r="KY9">
        <v>14.178078174591059</v>
      </c>
      <c r="KZ9">
        <v>242</v>
      </c>
      <c r="LA9" s="2"/>
      <c r="LB9">
        <f t="shared" si="52"/>
        <v>30</v>
      </c>
      <c r="LC9" t="s">
        <v>2222</v>
      </c>
      <c r="LD9" t="s">
        <v>2223</v>
      </c>
      <c r="LE9">
        <v>22.509485721588131</v>
      </c>
      <c r="LF9">
        <v>356</v>
      </c>
      <c r="LG9" s="1"/>
      <c r="LH9">
        <f t="shared" si="53"/>
        <v>20</v>
      </c>
      <c r="LI9" t="s">
        <v>2224</v>
      </c>
      <c r="LJ9" t="s">
        <v>2225</v>
      </c>
      <c r="LK9">
        <v>105.951206445694</v>
      </c>
      <c r="LL9">
        <v>324</v>
      </c>
      <c r="LM9" s="2"/>
      <c r="LN9">
        <f t="shared" si="54"/>
        <v>30</v>
      </c>
      <c r="LO9" t="s">
        <v>2226</v>
      </c>
      <c r="LP9" t="s">
        <v>2227</v>
      </c>
      <c r="LQ9">
        <v>23.365770101547241</v>
      </c>
      <c r="LR9">
        <v>189</v>
      </c>
      <c r="LS9" s="1"/>
      <c r="LT9">
        <f t="shared" si="55"/>
        <v>71</v>
      </c>
      <c r="LU9" t="s">
        <v>2228</v>
      </c>
      <c r="LV9" t="s">
        <v>2229</v>
      </c>
      <c r="LW9">
        <v>212.03332018852231</v>
      </c>
      <c r="LX9">
        <v>275</v>
      </c>
      <c r="LY9" s="2"/>
      <c r="LZ9">
        <f t="shared" si="56"/>
        <v>26</v>
      </c>
      <c r="MA9" t="s">
        <v>1802</v>
      </c>
      <c r="MB9" t="s">
        <v>2230</v>
      </c>
      <c r="MC9">
        <v>3.2066559791564941</v>
      </c>
      <c r="MD9">
        <v>170</v>
      </c>
      <c r="ME9" s="1"/>
      <c r="MF9">
        <f t="shared" si="57"/>
        <v>22</v>
      </c>
      <c r="MG9" t="s">
        <v>2231</v>
      </c>
      <c r="MH9" t="s">
        <v>2232</v>
      </c>
      <c r="MI9">
        <v>15.8337287902832</v>
      </c>
      <c r="MJ9">
        <v>208</v>
      </c>
      <c r="MK9" s="2"/>
      <c r="ML9">
        <f t="shared" si="58"/>
        <v>42</v>
      </c>
      <c r="MM9" t="s">
        <v>2233</v>
      </c>
      <c r="MN9" t="s">
        <v>2234</v>
      </c>
      <c r="MO9">
        <v>16.18900299072266</v>
      </c>
      <c r="MP9">
        <v>295</v>
      </c>
      <c r="MQ9" s="1"/>
      <c r="MR9">
        <f t="shared" si="59"/>
        <v>21</v>
      </c>
      <c r="MS9" t="s">
        <v>1352</v>
      </c>
      <c r="MT9" t="s">
        <v>2235</v>
      </c>
      <c r="MU9">
        <v>279.00450897216803</v>
      </c>
      <c r="MV9">
        <v>249</v>
      </c>
      <c r="MW9" s="2"/>
      <c r="MX9">
        <f t="shared" si="60"/>
        <v>30</v>
      </c>
      <c r="MY9" t="s">
        <v>2236</v>
      </c>
      <c r="MZ9" t="s">
        <v>2237</v>
      </c>
      <c r="NA9">
        <v>9.0837833881378174</v>
      </c>
      <c r="NB9">
        <v>225</v>
      </c>
      <c r="NC9" s="1"/>
      <c r="ND9">
        <f t="shared" si="61"/>
        <v>44</v>
      </c>
      <c r="NE9" t="s">
        <v>2238</v>
      </c>
      <c r="NF9" t="s">
        <v>2239</v>
      </c>
      <c r="NG9">
        <v>37.777875185012817</v>
      </c>
      <c r="NH9">
        <v>242</v>
      </c>
      <c r="NI9" s="2"/>
      <c r="NJ9">
        <f t="shared" si="62"/>
        <v>35</v>
      </c>
      <c r="NK9" t="s">
        <v>2240</v>
      </c>
      <c r="NL9" t="s">
        <v>2241</v>
      </c>
      <c r="NM9">
        <v>20.107578039169312</v>
      </c>
      <c r="NN9">
        <v>178</v>
      </c>
      <c r="NO9" s="1"/>
      <c r="NP9">
        <f t="shared" si="63"/>
        <v>73</v>
      </c>
      <c r="NQ9" t="s">
        <v>2242</v>
      </c>
      <c r="NR9" t="s">
        <v>2243</v>
      </c>
      <c r="NS9">
        <v>38.67622184753418</v>
      </c>
      <c r="NT9">
        <v>297</v>
      </c>
      <c r="NU9" s="2"/>
      <c r="NV9">
        <f t="shared" si="64"/>
        <v>88</v>
      </c>
      <c r="NW9" t="s">
        <v>2244</v>
      </c>
      <c r="NX9" t="s">
        <v>2245</v>
      </c>
      <c r="NY9">
        <v>199.14069390296939</v>
      </c>
      <c r="NZ9">
        <v>325</v>
      </c>
      <c r="OA9" s="1"/>
      <c r="OB9">
        <f t="shared" si="65"/>
        <v>85</v>
      </c>
      <c r="OC9" t="s">
        <v>2246</v>
      </c>
      <c r="OD9" t="s">
        <v>2247</v>
      </c>
      <c r="OE9">
        <v>64.869870662689209</v>
      </c>
      <c r="OF9">
        <v>279</v>
      </c>
      <c r="OG9" s="2"/>
      <c r="OH9">
        <f t="shared" si="66"/>
        <v>68</v>
      </c>
      <c r="OI9" t="s">
        <v>2248</v>
      </c>
      <c r="OJ9" t="s">
        <v>2249</v>
      </c>
      <c r="OK9">
        <v>46.363482236862183</v>
      </c>
      <c r="OL9">
        <v>335</v>
      </c>
      <c r="OM9" s="1"/>
      <c r="ON9">
        <f t="shared" si="67"/>
        <v>61</v>
      </c>
      <c r="OO9" t="s">
        <v>2250</v>
      </c>
      <c r="OP9" t="s">
        <v>2251</v>
      </c>
      <c r="OQ9">
        <v>84.082653522491455</v>
      </c>
      <c r="OR9">
        <v>274</v>
      </c>
      <c r="OS9" s="2"/>
      <c r="OT9">
        <f t="shared" si="68"/>
        <v>34</v>
      </c>
      <c r="OU9" t="s">
        <v>2252</v>
      </c>
      <c r="OV9" t="s">
        <v>2253</v>
      </c>
      <c r="OW9">
        <v>43.719394683837891</v>
      </c>
      <c r="OX9">
        <v>249</v>
      </c>
      <c r="OY9" s="1"/>
      <c r="OZ9">
        <f t="shared" si="69"/>
        <v>0</v>
      </c>
      <c r="PB9" t="s">
        <v>2254</v>
      </c>
      <c r="PC9">
        <v>24.131666898727421</v>
      </c>
      <c r="PD9">
        <v>224</v>
      </c>
      <c r="PE9" s="2"/>
      <c r="PF9">
        <f t="shared" si="70"/>
        <v>28</v>
      </c>
      <c r="PG9" t="s">
        <v>2255</v>
      </c>
      <c r="PH9" t="s">
        <v>2256</v>
      </c>
      <c r="PI9">
        <v>74.055712938308716</v>
      </c>
      <c r="PJ9">
        <v>260</v>
      </c>
      <c r="PK9" s="1"/>
      <c r="PL9">
        <f t="shared" si="71"/>
        <v>54</v>
      </c>
      <c r="PM9" t="s">
        <v>2257</v>
      </c>
      <c r="PN9" t="s">
        <v>2258</v>
      </c>
      <c r="PO9">
        <v>28.858424186706539</v>
      </c>
      <c r="PP9">
        <v>265</v>
      </c>
      <c r="PQ9" s="2"/>
      <c r="PR9">
        <f t="shared" si="72"/>
        <v>32</v>
      </c>
      <c r="PS9" t="s">
        <v>12</v>
      </c>
      <c r="PT9" t="s">
        <v>2259</v>
      </c>
      <c r="PU9">
        <v>18.264771938323971</v>
      </c>
      <c r="PV9">
        <v>281</v>
      </c>
      <c r="PW9" s="1"/>
      <c r="PX9">
        <f t="shared" si="73"/>
        <v>33</v>
      </c>
      <c r="PY9" t="s">
        <v>2260</v>
      </c>
      <c r="PZ9" t="s">
        <v>2261</v>
      </c>
      <c r="QA9">
        <v>26.244371652603149</v>
      </c>
      <c r="QB9">
        <v>264</v>
      </c>
      <c r="QC9" s="2"/>
      <c r="QD9">
        <f t="shared" si="74"/>
        <v>36</v>
      </c>
      <c r="QE9" t="s">
        <v>2262</v>
      </c>
      <c r="QF9" t="s">
        <v>2263</v>
      </c>
      <c r="QG9">
        <v>9.5616378784179688</v>
      </c>
      <c r="QH9">
        <v>271</v>
      </c>
      <c r="QI9" s="1"/>
      <c r="QJ9">
        <f t="shared" si="75"/>
        <v>12</v>
      </c>
      <c r="QK9" t="s">
        <v>2264</v>
      </c>
      <c r="QL9" t="s">
        <v>2265</v>
      </c>
      <c r="QM9">
        <v>37.431348085403442</v>
      </c>
      <c r="QN9">
        <v>194</v>
      </c>
      <c r="QO9" s="2"/>
      <c r="QP9">
        <f t="shared" si="76"/>
        <v>20</v>
      </c>
      <c r="QQ9" t="s">
        <v>2266</v>
      </c>
      <c r="QR9" t="s">
        <v>2267</v>
      </c>
      <c r="QS9">
        <v>3.285974502563477</v>
      </c>
      <c r="QT9">
        <v>181</v>
      </c>
      <c r="QU9" s="1"/>
      <c r="QV9">
        <f t="shared" si="77"/>
        <v>30</v>
      </c>
      <c r="QW9" t="s">
        <v>2268</v>
      </c>
      <c r="QX9" t="s">
        <v>2269</v>
      </c>
      <c r="QY9">
        <v>16.79096603393555</v>
      </c>
      <c r="QZ9">
        <v>264</v>
      </c>
      <c r="RA9" s="2"/>
      <c r="RB9">
        <f t="shared" si="78"/>
        <v>38</v>
      </c>
      <c r="RC9" t="s">
        <v>2270</v>
      </c>
      <c r="RD9" t="s">
        <v>2271</v>
      </c>
      <c r="RE9">
        <v>14.74665141105652</v>
      </c>
      <c r="RF9">
        <v>279</v>
      </c>
      <c r="RG9" s="1"/>
      <c r="RH9">
        <f t="shared" si="79"/>
        <v>40</v>
      </c>
      <c r="RI9" t="s">
        <v>843</v>
      </c>
      <c r="RJ9" t="s">
        <v>2272</v>
      </c>
      <c r="RK9">
        <v>21.969869375228878</v>
      </c>
      <c r="RL9">
        <v>279</v>
      </c>
      <c r="RM9" s="2"/>
      <c r="RN9">
        <f t="shared" si="80"/>
        <v>30</v>
      </c>
      <c r="RO9" t="s">
        <v>2273</v>
      </c>
      <c r="RP9" t="s">
        <v>2274</v>
      </c>
      <c r="RQ9">
        <v>13.06109309196472</v>
      </c>
      <c r="RR9">
        <v>405</v>
      </c>
      <c r="RS9" s="1"/>
      <c r="RT9">
        <f t="shared" si="81"/>
        <v>32</v>
      </c>
      <c r="RU9" t="s">
        <v>764</v>
      </c>
      <c r="RV9" t="s">
        <v>2275</v>
      </c>
      <c r="RW9">
        <v>283.22709274291992</v>
      </c>
      <c r="RX9">
        <v>282</v>
      </c>
      <c r="RY9" s="2"/>
      <c r="RZ9">
        <f t="shared" si="82"/>
        <v>30</v>
      </c>
      <c r="SA9" t="s">
        <v>869</v>
      </c>
      <c r="SB9" t="s">
        <v>2276</v>
      </c>
      <c r="SC9">
        <v>13.52674221992493</v>
      </c>
      <c r="SD9">
        <v>292</v>
      </c>
      <c r="SE9" s="1"/>
      <c r="SF9">
        <f t="shared" si="83"/>
        <v>5</v>
      </c>
      <c r="SG9" t="s">
        <v>232</v>
      </c>
      <c r="SH9" t="s">
        <v>2277</v>
      </c>
      <c r="SI9">
        <v>37.192086696624763</v>
      </c>
      <c r="SJ9">
        <v>217</v>
      </c>
      <c r="SK9" s="2"/>
      <c r="SL9">
        <f t="shared" si="84"/>
        <v>28</v>
      </c>
      <c r="SM9" t="s">
        <v>2278</v>
      </c>
      <c r="SN9" t="s">
        <v>2279</v>
      </c>
      <c r="SO9">
        <v>20.187180280685421</v>
      </c>
      <c r="SP9">
        <v>236</v>
      </c>
      <c r="SQ9" s="1"/>
      <c r="SR9">
        <f t="shared" si="85"/>
        <v>40</v>
      </c>
      <c r="SS9" t="s">
        <v>2280</v>
      </c>
      <c r="ST9" t="s">
        <v>2281</v>
      </c>
      <c r="SU9">
        <v>27.802208662033081</v>
      </c>
      <c r="SV9">
        <v>351</v>
      </c>
      <c r="SW9" s="2"/>
      <c r="SX9">
        <f t="shared" si="86"/>
        <v>29</v>
      </c>
      <c r="SY9" t="s">
        <v>2282</v>
      </c>
      <c r="SZ9" t="s">
        <v>2283</v>
      </c>
      <c r="TA9">
        <v>10.642107009887701</v>
      </c>
      <c r="TB9">
        <v>178</v>
      </c>
      <c r="TC9" s="1"/>
      <c r="TD9">
        <f t="shared" si="87"/>
        <v>30</v>
      </c>
      <c r="TE9" t="s">
        <v>2284</v>
      </c>
      <c r="TF9" t="s">
        <v>2285</v>
      </c>
      <c r="TG9">
        <v>23.36456394195557</v>
      </c>
      <c r="TH9">
        <v>314</v>
      </c>
      <c r="TI9" s="2"/>
      <c r="TJ9">
        <f t="shared" si="88"/>
        <v>47</v>
      </c>
      <c r="TK9" t="s">
        <v>2286</v>
      </c>
      <c r="TL9" t="s">
        <v>2287</v>
      </c>
      <c r="TM9">
        <v>28.972014427185059</v>
      </c>
      <c r="TN9">
        <v>365</v>
      </c>
      <c r="TO9" s="1"/>
      <c r="TP9">
        <f t="shared" si="89"/>
        <v>33</v>
      </c>
      <c r="TQ9" t="s">
        <v>2288</v>
      </c>
      <c r="TR9" t="s">
        <v>2289</v>
      </c>
      <c r="TS9">
        <v>26.19327187538147</v>
      </c>
      <c r="TT9">
        <v>220</v>
      </c>
      <c r="TU9" s="2"/>
      <c r="TV9">
        <f t="shared" si="90"/>
        <v>33</v>
      </c>
      <c r="TW9" t="s">
        <v>254</v>
      </c>
      <c r="TX9" t="s">
        <v>2290</v>
      </c>
      <c r="TY9">
        <v>6.6917574405670166</v>
      </c>
      <c r="TZ9">
        <v>247</v>
      </c>
      <c r="UA9" s="1"/>
      <c r="UB9">
        <f t="shared" si="91"/>
        <v>34</v>
      </c>
      <c r="UC9" t="s">
        <v>2291</v>
      </c>
      <c r="UD9" t="s">
        <v>2292</v>
      </c>
      <c r="UE9">
        <v>37.007404804229743</v>
      </c>
      <c r="UF9">
        <v>330</v>
      </c>
      <c r="UG9" s="2"/>
      <c r="UH9">
        <f t="shared" si="92"/>
        <v>15</v>
      </c>
      <c r="UI9" t="s">
        <v>2293</v>
      </c>
      <c r="UJ9" t="s">
        <v>2294</v>
      </c>
      <c r="UK9">
        <v>5.5684871673583984</v>
      </c>
      <c r="UL9">
        <v>135</v>
      </c>
      <c r="UM9" s="1"/>
      <c r="UN9">
        <f t="shared" si="93"/>
        <v>16</v>
      </c>
      <c r="UO9" t="s">
        <v>2295</v>
      </c>
      <c r="UP9" t="s">
        <v>2296</v>
      </c>
      <c r="UQ9">
        <v>143.79873728752139</v>
      </c>
      <c r="UR9">
        <v>298</v>
      </c>
      <c r="US9" s="2"/>
      <c r="UT9">
        <f t="shared" si="94"/>
        <v>50</v>
      </c>
      <c r="UU9" t="s">
        <v>2297</v>
      </c>
      <c r="UV9" t="s">
        <v>2298</v>
      </c>
      <c r="UW9">
        <v>15.070619106292719</v>
      </c>
      <c r="UX9">
        <v>243</v>
      </c>
      <c r="UY9" s="1"/>
      <c r="UZ9">
        <f t="shared" si="95"/>
        <v>42</v>
      </c>
      <c r="VA9" t="s">
        <v>2299</v>
      </c>
      <c r="VB9" t="s">
        <v>2300</v>
      </c>
      <c r="VC9">
        <v>27.582363367080688</v>
      </c>
      <c r="VD9">
        <v>261</v>
      </c>
      <c r="VE9" s="2"/>
      <c r="VF9">
        <f t="shared" si="96"/>
        <v>33</v>
      </c>
      <c r="VG9" t="s">
        <v>2301</v>
      </c>
      <c r="VH9" t="s">
        <v>2302</v>
      </c>
      <c r="VI9">
        <v>5.162078857421875</v>
      </c>
      <c r="VJ9">
        <v>241</v>
      </c>
      <c r="VK9" s="1"/>
      <c r="VL9">
        <f t="shared" si="97"/>
        <v>20</v>
      </c>
      <c r="VM9" t="s">
        <v>2303</v>
      </c>
      <c r="VN9" t="s">
        <v>2304</v>
      </c>
      <c r="VO9">
        <v>11.942990779876711</v>
      </c>
      <c r="VP9">
        <v>299</v>
      </c>
      <c r="VQ9" s="2"/>
      <c r="VR9">
        <f t="shared" si="98"/>
        <v>24</v>
      </c>
      <c r="VS9" t="s">
        <v>2305</v>
      </c>
      <c r="VT9" t="s">
        <v>2306</v>
      </c>
      <c r="VU9">
        <v>12.757338762283331</v>
      </c>
      <c r="VV9">
        <v>162</v>
      </c>
      <c r="VW9" s="1"/>
      <c r="VX9">
        <f t="shared" si="99"/>
        <v>36</v>
      </c>
      <c r="VY9" t="s">
        <v>1413</v>
      </c>
      <c r="VZ9" t="s">
        <v>2307</v>
      </c>
      <c r="WA9">
        <v>19.1123993396759</v>
      </c>
      <c r="WB9">
        <v>310</v>
      </c>
      <c r="WC9" s="2"/>
      <c r="WD9">
        <f t="shared" si="100"/>
        <v>42</v>
      </c>
      <c r="WE9" t="s">
        <v>2308</v>
      </c>
      <c r="WF9" t="s">
        <v>2309</v>
      </c>
      <c r="WG9">
        <v>178.90652561187741</v>
      </c>
      <c r="WH9">
        <v>375</v>
      </c>
      <c r="WI9" s="1"/>
      <c r="WJ9">
        <f t="shared" si="101"/>
        <v>34</v>
      </c>
      <c r="WK9" t="s">
        <v>2310</v>
      </c>
      <c r="WL9" t="s">
        <v>2311</v>
      </c>
      <c r="WM9">
        <v>17.608233213424679</v>
      </c>
      <c r="WN9">
        <v>335</v>
      </c>
      <c r="WO9" s="4"/>
      <c r="WP9">
        <f t="shared" si="102"/>
        <v>25</v>
      </c>
      <c r="WQ9" t="s">
        <v>2312</v>
      </c>
      <c r="WR9" t="s">
        <v>2313</v>
      </c>
      <c r="WS9">
        <v>25.431997299194339</v>
      </c>
      <c r="WT9">
        <v>335</v>
      </c>
      <c r="WU9" s="3"/>
      <c r="WV9">
        <f t="shared" si="103"/>
        <v>41</v>
      </c>
      <c r="WW9" t="s">
        <v>2314</v>
      </c>
      <c r="WX9" t="s">
        <v>2315</v>
      </c>
      <c r="WY9">
        <v>8.0812089443206787</v>
      </c>
      <c r="WZ9">
        <v>351</v>
      </c>
      <c r="XA9" s="2"/>
      <c r="XB9">
        <f t="shared" si="104"/>
        <v>29</v>
      </c>
      <c r="XC9" t="s">
        <v>2316</v>
      </c>
      <c r="XD9" t="s">
        <v>2317</v>
      </c>
      <c r="XE9">
        <v>30.71047139167786</v>
      </c>
      <c r="XF9">
        <v>280</v>
      </c>
      <c r="XG9" s="5"/>
      <c r="XH9">
        <f t="shared" si="105"/>
        <v>53</v>
      </c>
      <c r="XI9" t="s">
        <v>264</v>
      </c>
      <c r="XJ9" t="s">
        <v>2318</v>
      </c>
      <c r="XK9">
        <v>29.62191820144653</v>
      </c>
      <c r="XL9">
        <v>291</v>
      </c>
      <c r="XM9" s="2"/>
      <c r="XN9">
        <f t="shared" si="106"/>
        <v>42</v>
      </c>
      <c r="XO9" t="s">
        <v>2319</v>
      </c>
      <c r="XP9" t="s">
        <v>2320</v>
      </c>
      <c r="XQ9">
        <v>26.692234754562381</v>
      </c>
      <c r="XR9">
        <v>347</v>
      </c>
      <c r="XS9" s="5"/>
      <c r="XT9">
        <f t="shared" si="107"/>
        <v>39</v>
      </c>
      <c r="XU9" t="s">
        <v>2321</v>
      </c>
      <c r="XV9" t="s">
        <v>2322</v>
      </c>
      <c r="XW9">
        <v>12.677447080612181</v>
      </c>
      <c r="XX9">
        <v>266</v>
      </c>
      <c r="XY9" s="2"/>
      <c r="XZ9">
        <f t="shared" si="108"/>
        <v>0</v>
      </c>
      <c r="YB9" t="s">
        <v>2323</v>
      </c>
      <c r="YC9">
        <v>68.530107975006104</v>
      </c>
      <c r="YD9">
        <v>226</v>
      </c>
      <c r="YE9" s="5"/>
      <c r="YF9">
        <f t="shared" si="109"/>
        <v>24</v>
      </c>
      <c r="YG9" t="s">
        <v>2324</v>
      </c>
      <c r="YH9" t="s">
        <v>2325</v>
      </c>
      <c r="YI9">
        <v>9.95896315574646</v>
      </c>
      <c r="YJ9">
        <v>208</v>
      </c>
      <c r="YK9" s="2"/>
      <c r="YL9">
        <f t="shared" si="110"/>
        <v>31</v>
      </c>
      <c r="YM9" t="s">
        <v>2326</v>
      </c>
      <c r="YN9" t="s">
        <v>2327</v>
      </c>
      <c r="YO9">
        <v>18.962895154952999</v>
      </c>
      <c r="YP9">
        <v>209</v>
      </c>
      <c r="YQ9" s="5"/>
      <c r="YR9">
        <f t="shared" si="111"/>
        <v>37</v>
      </c>
      <c r="YS9" t="s">
        <v>2328</v>
      </c>
      <c r="YT9" t="s">
        <v>2329</v>
      </c>
      <c r="YU9">
        <v>17.44049167633057</v>
      </c>
      <c r="YV9">
        <v>294</v>
      </c>
      <c r="YW9" s="2"/>
      <c r="YX9">
        <f t="shared" si="112"/>
        <v>30</v>
      </c>
      <c r="YY9" t="s">
        <v>2330</v>
      </c>
      <c r="YZ9" t="s">
        <v>2331</v>
      </c>
      <c r="ZA9">
        <v>18.133724212646481</v>
      </c>
      <c r="ZB9">
        <v>191</v>
      </c>
      <c r="ZC9" s="5"/>
      <c r="ZD9">
        <f t="shared" si="113"/>
        <v>40</v>
      </c>
      <c r="ZE9" t="s">
        <v>2332</v>
      </c>
      <c r="ZF9" t="s">
        <v>2333</v>
      </c>
      <c r="ZG9">
        <v>10.32210850715637</v>
      </c>
      <c r="ZH9">
        <v>236</v>
      </c>
      <c r="ZI9" s="2"/>
      <c r="ZJ9">
        <f t="shared" si="114"/>
        <v>27</v>
      </c>
      <c r="ZK9" t="s">
        <v>2334</v>
      </c>
      <c r="ZL9" t="s">
        <v>2335</v>
      </c>
      <c r="ZM9">
        <v>17.98438286781311</v>
      </c>
      <c r="ZN9">
        <v>242</v>
      </c>
      <c r="ZO9" s="5"/>
      <c r="ZP9">
        <f t="shared" si="115"/>
        <v>34</v>
      </c>
      <c r="ZQ9" t="s">
        <v>2336</v>
      </c>
      <c r="ZR9" t="s">
        <v>2337</v>
      </c>
      <c r="ZS9">
        <v>13.55158710479736</v>
      </c>
      <c r="ZT9">
        <v>329</v>
      </c>
      <c r="ZU9" s="2"/>
      <c r="ZV9">
        <f t="shared" si="116"/>
        <v>7</v>
      </c>
      <c r="ZW9" t="s">
        <v>1759</v>
      </c>
      <c r="ZX9" t="s">
        <v>2338</v>
      </c>
      <c r="ZY9">
        <v>43.151706457138062</v>
      </c>
      <c r="ZZ9">
        <v>123</v>
      </c>
      <c r="AAA9" s="5"/>
      <c r="AAB9">
        <f t="shared" si="117"/>
        <v>24</v>
      </c>
      <c r="AAC9" t="s">
        <v>177</v>
      </c>
      <c r="AAD9" t="s">
        <v>2339</v>
      </c>
      <c r="AAE9">
        <v>13.19600033760071</v>
      </c>
      <c r="AAF9">
        <v>275</v>
      </c>
      <c r="AAG9" s="2"/>
      <c r="AAH9">
        <f t="shared" si="118"/>
        <v>39</v>
      </c>
      <c r="AAI9" t="s">
        <v>2340</v>
      </c>
      <c r="AAJ9" t="s">
        <v>2341</v>
      </c>
      <c r="AAK9">
        <v>16.807162761688229</v>
      </c>
      <c r="AAL9">
        <v>316</v>
      </c>
      <c r="AAM9" s="5"/>
      <c r="AAN9">
        <f t="shared" si="119"/>
        <v>20</v>
      </c>
      <c r="AAO9" t="s">
        <v>2342</v>
      </c>
      <c r="AAP9" t="s">
        <v>2343</v>
      </c>
      <c r="AAQ9">
        <v>3.6070137023925781</v>
      </c>
      <c r="AAR9">
        <v>199</v>
      </c>
      <c r="AAS9" s="2"/>
      <c r="AAT9">
        <f t="shared" si="120"/>
        <v>28</v>
      </c>
      <c r="AAU9" t="s">
        <v>2344</v>
      </c>
      <c r="AAV9" t="s">
        <v>2345</v>
      </c>
      <c r="AAW9">
        <v>18.359007358551029</v>
      </c>
      <c r="AAX9">
        <v>252</v>
      </c>
      <c r="AAY9" s="5"/>
      <c r="AAZ9">
        <f t="shared" si="121"/>
        <v>32</v>
      </c>
      <c r="ABA9" t="s">
        <v>2346</v>
      </c>
      <c r="ABB9" t="s">
        <v>2347</v>
      </c>
      <c r="ABC9">
        <v>15.83941698074341</v>
      </c>
      <c r="ABD9">
        <v>250</v>
      </c>
      <c r="ABE9" s="2"/>
      <c r="ABF9">
        <f t="shared" si="122"/>
        <v>33</v>
      </c>
      <c r="ABG9" t="s">
        <v>254</v>
      </c>
      <c r="ABH9" t="s">
        <v>2348</v>
      </c>
      <c r="ABI9">
        <v>33.210405349731452</v>
      </c>
      <c r="ABJ9">
        <v>180</v>
      </c>
      <c r="ABK9" s="5"/>
      <c r="ABL9">
        <f t="shared" si="123"/>
        <v>32</v>
      </c>
      <c r="ABM9" t="s">
        <v>2349</v>
      </c>
      <c r="ABN9" t="s">
        <v>2350</v>
      </c>
      <c r="ABO9">
        <v>25.796845197677609</v>
      </c>
      <c r="ABP9">
        <v>426</v>
      </c>
      <c r="ABQ9" s="2"/>
      <c r="ABR9">
        <f t="shared" si="124"/>
        <v>35</v>
      </c>
      <c r="ABS9" t="s">
        <v>2351</v>
      </c>
      <c r="ABT9" t="s">
        <v>2352</v>
      </c>
      <c r="ABU9">
        <v>37.944316148757927</v>
      </c>
      <c r="ABV9">
        <v>348</v>
      </c>
      <c r="ABW9" s="5"/>
      <c r="ABX9">
        <f t="shared" si="125"/>
        <v>22</v>
      </c>
      <c r="ABY9" t="s">
        <v>717</v>
      </c>
      <c r="ABZ9" t="s">
        <v>2353</v>
      </c>
      <c r="ACA9">
        <v>7.7380096912384033</v>
      </c>
      <c r="ACB9">
        <v>180</v>
      </c>
      <c r="ACC9" s="2"/>
      <c r="ACD9">
        <f t="shared" si="126"/>
        <v>28</v>
      </c>
      <c r="ACE9" t="s">
        <v>2354</v>
      </c>
      <c r="ACF9" t="s">
        <v>2355</v>
      </c>
      <c r="ACG9">
        <v>18.92059588432312</v>
      </c>
      <c r="ACH9">
        <v>191</v>
      </c>
      <c r="ACI9" s="5"/>
      <c r="ACJ9">
        <f t="shared" si="127"/>
        <v>27</v>
      </c>
      <c r="ACK9" t="s">
        <v>2356</v>
      </c>
      <c r="ACL9" t="s">
        <v>2357</v>
      </c>
      <c r="ACM9">
        <v>7.9099533557891846</v>
      </c>
      <c r="ACN9">
        <v>335</v>
      </c>
      <c r="ACO9" s="2"/>
      <c r="ACP9">
        <f t="shared" si="128"/>
        <v>26</v>
      </c>
      <c r="ACQ9" t="s">
        <v>1052</v>
      </c>
      <c r="ACR9" t="s">
        <v>2358</v>
      </c>
      <c r="ACS9">
        <v>24.0126359462738</v>
      </c>
      <c r="ACT9">
        <v>323</v>
      </c>
      <c r="ACU9" s="5"/>
      <c r="ACV9">
        <f t="shared" si="129"/>
        <v>24</v>
      </c>
      <c r="ACW9" t="s">
        <v>2359</v>
      </c>
      <c r="ACX9" t="s">
        <v>2360</v>
      </c>
      <c r="ACY9">
        <v>5.5175783634185791</v>
      </c>
      <c r="ACZ9">
        <v>308</v>
      </c>
      <c r="ADA9" s="2"/>
      <c r="ADB9">
        <f t="shared" si="130"/>
        <v>63</v>
      </c>
      <c r="ADC9" t="s">
        <v>2361</v>
      </c>
      <c r="ADD9" t="s">
        <v>2362</v>
      </c>
      <c r="ADE9">
        <v>36.093267202377319</v>
      </c>
      <c r="ADF9">
        <v>288</v>
      </c>
      <c r="ADG9" s="5"/>
      <c r="ADH9">
        <f t="shared" si="131"/>
        <v>43</v>
      </c>
      <c r="ADI9" t="s">
        <v>2363</v>
      </c>
      <c r="ADJ9" t="s">
        <v>2364</v>
      </c>
      <c r="ADK9">
        <v>10.45518207550049</v>
      </c>
      <c r="ADL9">
        <v>265</v>
      </c>
      <c r="ADM9" s="2"/>
      <c r="ADN9">
        <f t="shared" si="132"/>
        <v>33</v>
      </c>
      <c r="ADO9" t="s">
        <v>2365</v>
      </c>
      <c r="ADP9" t="s">
        <v>2366</v>
      </c>
      <c r="ADQ9">
        <v>30.22458648681641</v>
      </c>
      <c r="ADR9">
        <v>266</v>
      </c>
      <c r="ADS9" s="5"/>
      <c r="ADT9">
        <f t="shared" si="133"/>
        <v>35</v>
      </c>
      <c r="ADU9" t="s">
        <v>2367</v>
      </c>
      <c r="ADV9" t="s">
        <v>2368</v>
      </c>
      <c r="ADW9">
        <v>9.9325008392333984</v>
      </c>
      <c r="ADX9">
        <v>229</v>
      </c>
      <c r="ADY9" s="2"/>
      <c r="ADZ9">
        <f t="shared" si="134"/>
        <v>24</v>
      </c>
      <c r="AEA9" t="s">
        <v>2369</v>
      </c>
      <c r="AEB9" t="s">
        <v>2370</v>
      </c>
      <c r="AEC9">
        <v>16.669380187988281</v>
      </c>
      <c r="AED9">
        <v>228</v>
      </c>
      <c r="AEE9" s="5"/>
      <c r="AEF9">
        <f t="shared" si="135"/>
        <v>21</v>
      </c>
      <c r="AEG9" t="s">
        <v>2371</v>
      </c>
      <c r="AEH9" t="s">
        <v>2372</v>
      </c>
      <c r="AEI9">
        <v>50.286107063293457</v>
      </c>
      <c r="AEJ9">
        <v>221</v>
      </c>
      <c r="AEK9" s="2"/>
      <c r="AEL9">
        <f t="shared" si="136"/>
        <v>30</v>
      </c>
      <c r="AEM9" t="s">
        <v>2373</v>
      </c>
      <c r="AEN9" t="s">
        <v>2374</v>
      </c>
      <c r="AEO9">
        <v>24.12637376785278</v>
      </c>
      <c r="AEP9">
        <v>310</v>
      </c>
      <c r="AEQ9" s="5"/>
      <c r="AER9">
        <f t="shared" si="137"/>
        <v>28</v>
      </c>
      <c r="AES9" t="s">
        <v>2375</v>
      </c>
      <c r="AET9" t="s">
        <v>2376</v>
      </c>
      <c r="AEU9">
        <v>39.803999662399292</v>
      </c>
      <c r="AEV9">
        <v>267</v>
      </c>
      <c r="AEW9" s="2"/>
      <c r="AEX9">
        <f t="shared" si="138"/>
        <v>28</v>
      </c>
      <c r="AEY9" t="s">
        <v>1413</v>
      </c>
      <c r="AEZ9" t="s">
        <v>2377</v>
      </c>
      <c r="AFA9">
        <v>10.65585064888</v>
      </c>
      <c r="AFB9">
        <v>168</v>
      </c>
      <c r="AFC9" s="5"/>
      <c r="AFD9">
        <f t="shared" si="139"/>
        <v>35</v>
      </c>
      <c r="AFE9" t="s">
        <v>2378</v>
      </c>
      <c r="AFF9" t="s">
        <v>2379</v>
      </c>
      <c r="AFG9">
        <v>28.36433219909668</v>
      </c>
      <c r="AFH9">
        <v>195</v>
      </c>
      <c r="AFI9" s="2"/>
      <c r="AFJ9">
        <f t="shared" si="140"/>
        <v>38</v>
      </c>
      <c r="AFK9" t="s">
        <v>2380</v>
      </c>
      <c r="AFL9" t="s">
        <v>2381</v>
      </c>
      <c r="AFM9">
        <v>12.2765645980835</v>
      </c>
      <c r="AFN9">
        <v>322</v>
      </c>
      <c r="AFO9" s="5"/>
      <c r="AFP9">
        <f t="shared" si="141"/>
        <v>54</v>
      </c>
      <c r="AFQ9" t="s">
        <v>2382</v>
      </c>
      <c r="AFR9" t="s">
        <v>2383</v>
      </c>
      <c r="AFS9">
        <v>16.158232450485229</v>
      </c>
      <c r="AFT9">
        <v>332</v>
      </c>
      <c r="AFU9" s="2"/>
      <c r="AFV9">
        <f t="shared" si="142"/>
        <v>34</v>
      </c>
      <c r="AFW9" t="s">
        <v>728</v>
      </c>
      <c r="AFX9" t="s">
        <v>2384</v>
      </c>
      <c r="AFY9">
        <v>32.36029052734375</v>
      </c>
      <c r="AFZ9">
        <v>309</v>
      </c>
      <c r="AGA9" s="5"/>
      <c r="AGB9">
        <f t="shared" si="143"/>
        <v>39</v>
      </c>
      <c r="AGC9" t="s">
        <v>2385</v>
      </c>
      <c r="AGD9" t="s">
        <v>2386</v>
      </c>
      <c r="AGE9">
        <v>155.82987284660339</v>
      </c>
      <c r="AGF9">
        <v>272</v>
      </c>
      <c r="AGG9" s="2"/>
      <c r="AGH9">
        <f t="shared" si="144"/>
        <v>31</v>
      </c>
      <c r="AGI9" t="s">
        <v>2387</v>
      </c>
      <c r="AGJ9" t="s">
        <v>2388</v>
      </c>
      <c r="AGK9">
        <v>18.888924360275269</v>
      </c>
      <c r="AGL9">
        <v>208</v>
      </c>
      <c r="AGM9" s="5"/>
      <c r="AGN9">
        <f t="shared" si="145"/>
        <v>25</v>
      </c>
      <c r="AGO9" t="s">
        <v>1294</v>
      </c>
      <c r="AGP9" t="s">
        <v>2389</v>
      </c>
      <c r="AGQ9">
        <v>14.85137891769409</v>
      </c>
      <c r="AGR9">
        <v>295</v>
      </c>
      <c r="AGS9" s="2"/>
      <c r="AGT9">
        <f t="shared" si="146"/>
        <v>26</v>
      </c>
      <c r="AGU9" t="s">
        <v>2390</v>
      </c>
      <c r="AGV9" t="s">
        <v>2391</v>
      </c>
      <c r="AGW9">
        <v>51.656956195831299</v>
      </c>
      <c r="AGX9">
        <v>265</v>
      </c>
      <c r="AGY9" s="5"/>
      <c r="AGZ9">
        <f t="shared" si="147"/>
        <v>25</v>
      </c>
      <c r="AHA9" t="s">
        <v>2392</v>
      </c>
      <c r="AHB9" t="s">
        <v>2393</v>
      </c>
      <c r="AHC9">
        <v>13.388526201248171</v>
      </c>
      <c r="AHD9">
        <v>244</v>
      </c>
      <c r="AHE9" s="2"/>
      <c r="AHF9">
        <f t="shared" si="148"/>
        <v>27</v>
      </c>
      <c r="AHG9" t="s">
        <v>2394</v>
      </c>
      <c r="AHH9" t="s">
        <v>2395</v>
      </c>
      <c r="AHI9">
        <v>21.661711931228641</v>
      </c>
      <c r="AHJ9">
        <v>200</v>
      </c>
      <c r="AHK9" s="5"/>
      <c r="AHL9">
        <f t="shared" si="149"/>
        <v>37</v>
      </c>
      <c r="AHM9" t="s">
        <v>2396</v>
      </c>
      <c r="AHN9" t="s">
        <v>2397</v>
      </c>
      <c r="AHO9">
        <v>7.8212625980377197</v>
      </c>
      <c r="AHP9">
        <v>300</v>
      </c>
      <c r="AHQ9" s="2"/>
      <c r="AHR9">
        <f t="shared" si="150"/>
        <v>31</v>
      </c>
      <c r="AHS9" t="s">
        <v>2398</v>
      </c>
      <c r="AHT9" t="s">
        <v>2399</v>
      </c>
      <c r="AHU9">
        <v>20.493334531784061</v>
      </c>
      <c r="AHV9">
        <v>219</v>
      </c>
      <c r="AHW9" s="5"/>
      <c r="AHX9">
        <f t="shared" si="151"/>
        <v>15</v>
      </c>
      <c r="AHY9" t="s">
        <v>97</v>
      </c>
      <c r="AHZ9" t="s">
        <v>2400</v>
      </c>
      <c r="AIA9">
        <v>3.5991871356964111</v>
      </c>
      <c r="AIB9">
        <v>201</v>
      </c>
      <c r="AIC9" s="2"/>
      <c r="AID9">
        <f t="shared" si="152"/>
        <v>20</v>
      </c>
      <c r="AIE9" t="s">
        <v>2401</v>
      </c>
      <c r="AIF9" t="s">
        <v>2402</v>
      </c>
      <c r="AIG9">
        <v>241.7357196807861</v>
      </c>
      <c r="AIH9">
        <v>297</v>
      </c>
      <c r="AII9" s="5"/>
      <c r="AIJ9">
        <f t="shared" si="153"/>
        <v>48</v>
      </c>
      <c r="AIK9" t="s">
        <v>2403</v>
      </c>
      <c r="AIL9" t="s">
        <v>2404</v>
      </c>
      <c r="AIM9">
        <v>24.040672779083248</v>
      </c>
      <c r="AIN9">
        <v>247</v>
      </c>
      <c r="AIO9" s="2"/>
      <c r="AIP9">
        <f t="shared" si="154"/>
        <v>32</v>
      </c>
      <c r="AIQ9" t="s">
        <v>2405</v>
      </c>
      <c r="AIR9" t="s">
        <v>2406</v>
      </c>
      <c r="AIS9">
        <v>366.15287017822271</v>
      </c>
      <c r="AIT9">
        <v>307</v>
      </c>
      <c r="AIU9" s="5"/>
      <c r="AIV9">
        <f t="shared" si="155"/>
        <v>20</v>
      </c>
      <c r="AIW9" t="s">
        <v>1802</v>
      </c>
      <c r="AIX9" t="s">
        <v>2407</v>
      </c>
      <c r="AIY9">
        <v>5.1857948303222656</v>
      </c>
      <c r="AIZ9">
        <v>239</v>
      </c>
      <c r="AJA9" s="2"/>
      <c r="AJB9">
        <f t="shared" si="156"/>
        <v>22</v>
      </c>
      <c r="AJC9" t="s">
        <v>2408</v>
      </c>
      <c r="AJD9" t="s">
        <v>2409</v>
      </c>
      <c r="AJE9">
        <v>16.80679726600647</v>
      </c>
      <c r="AJF9">
        <v>214</v>
      </c>
      <c r="AJG9" s="5"/>
      <c r="AJH9">
        <f t="shared" si="157"/>
        <v>40</v>
      </c>
      <c r="AJI9" t="s">
        <v>2410</v>
      </c>
      <c r="AJJ9" t="s">
        <v>2411</v>
      </c>
      <c r="AJK9">
        <v>8.2382524013519287</v>
      </c>
      <c r="AJL9">
        <v>197</v>
      </c>
      <c r="AJM9" s="2"/>
      <c r="AJN9">
        <f t="shared" si="158"/>
        <v>35</v>
      </c>
      <c r="AJO9" t="s">
        <v>2412</v>
      </c>
      <c r="AJP9" t="s">
        <v>2413</v>
      </c>
      <c r="AJQ9">
        <v>26.6096305847168</v>
      </c>
      <c r="AJR9">
        <v>391</v>
      </c>
      <c r="AJS9" s="5"/>
      <c r="AJT9">
        <f t="shared" si="159"/>
        <v>25</v>
      </c>
      <c r="AJU9" t="s">
        <v>2414</v>
      </c>
      <c r="AJV9" t="s">
        <v>2415</v>
      </c>
      <c r="AJW9">
        <v>8.2697074413299561</v>
      </c>
      <c r="AJX9">
        <v>354</v>
      </c>
      <c r="AJY9" s="2"/>
      <c r="AJZ9">
        <f t="shared" si="160"/>
        <v>39</v>
      </c>
      <c r="AKA9" t="s">
        <v>2416</v>
      </c>
      <c r="AKB9" t="s">
        <v>2417</v>
      </c>
      <c r="AKC9">
        <v>21.921163558959961</v>
      </c>
      <c r="AKD9">
        <v>344</v>
      </c>
      <c r="AKE9" s="5"/>
      <c r="AKF9">
        <f t="shared" si="161"/>
        <v>77</v>
      </c>
      <c r="AKG9" t="s">
        <v>2418</v>
      </c>
      <c r="AKH9" t="s">
        <v>2419</v>
      </c>
      <c r="AKI9">
        <v>141.09964299201971</v>
      </c>
      <c r="AKJ9">
        <v>349</v>
      </c>
      <c r="AKK9" s="2"/>
      <c r="AKL9">
        <f t="shared" si="162"/>
        <v>19</v>
      </c>
      <c r="AKM9" t="s">
        <v>2147</v>
      </c>
      <c r="AKN9" t="s">
        <v>2420</v>
      </c>
      <c r="AKO9">
        <v>36.962687969207757</v>
      </c>
      <c r="AKP9">
        <v>263</v>
      </c>
      <c r="AKQ9" s="5"/>
      <c r="AKR9">
        <f t="shared" si="163"/>
        <v>29</v>
      </c>
      <c r="AKS9" t="s">
        <v>2421</v>
      </c>
      <c r="AKT9" t="s">
        <v>2422</v>
      </c>
      <c r="AKU9">
        <v>13.52481698989868</v>
      </c>
      <c r="AKV9">
        <v>245</v>
      </c>
      <c r="AKW9" s="2"/>
      <c r="AKX9">
        <f t="shared" si="164"/>
        <v>84</v>
      </c>
      <c r="AKY9" t="s">
        <v>2423</v>
      </c>
      <c r="AKZ9" t="s">
        <v>2424</v>
      </c>
      <c r="ALA9">
        <v>32.962570905685418</v>
      </c>
      <c r="ALB9">
        <v>368</v>
      </c>
      <c r="ALC9" s="5"/>
      <c r="ALD9">
        <f t="shared" si="165"/>
        <v>33</v>
      </c>
      <c r="ALE9" t="s">
        <v>466</v>
      </c>
      <c r="ALF9" t="s">
        <v>2425</v>
      </c>
      <c r="ALG9">
        <v>10.141410827636721</v>
      </c>
      <c r="ALH9">
        <v>274</v>
      </c>
      <c r="ALI9" s="2"/>
      <c r="ALJ9">
        <f t="shared" si="166"/>
        <v>38</v>
      </c>
      <c r="ALK9" t="s">
        <v>2426</v>
      </c>
      <c r="ALL9" t="s">
        <v>2427</v>
      </c>
      <c r="ALM9">
        <v>15.154693365097049</v>
      </c>
      <c r="ALN9">
        <v>261</v>
      </c>
      <c r="ALO9" s="5"/>
      <c r="ALP9">
        <f t="shared" si="167"/>
        <v>34</v>
      </c>
      <c r="ALQ9" t="s">
        <v>2260</v>
      </c>
      <c r="ALR9" t="s">
        <v>2428</v>
      </c>
      <c r="ALS9">
        <v>6.583646297454834</v>
      </c>
      <c r="ALT9">
        <v>167</v>
      </c>
      <c r="ALU9" s="2"/>
      <c r="ALV9">
        <f t="shared" si="168"/>
        <v>24</v>
      </c>
      <c r="ALW9" t="s">
        <v>2236</v>
      </c>
      <c r="ALX9" t="s">
        <v>2429</v>
      </c>
      <c r="ALY9">
        <v>17.20176458358765</v>
      </c>
      <c r="ALZ9">
        <v>264</v>
      </c>
      <c r="AMA9" s="5"/>
      <c r="AMB9">
        <f t="shared" si="169"/>
        <v>23</v>
      </c>
      <c r="AMC9" t="s">
        <v>2430</v>
      </c>
      <c r="AMD9" t="s">
        <v>2431</v>
      </c>
      <c r="AME9">
        <v>9.445457935333252</v>
      </c>
      <c r="AMF9">
        <v>235</v>
      </c>
      <c r="AMG9" s="2"/>
      <c r="AMH9">
        <f t="shared" si="170"/>
        <v>36</v>
      </c>
      <c r="AMI9" t="s">
        <v>2432</v>
      </c>
      <c r="AMJ9" t="s">
        <v>2433</v>
      </c>
      <c r="AMK9">
        <v>26.715007781982418</v>
      </c>
      <c r="AML9">
        <v>426</v>
      </c>
      <c r="AMM9" s="5"/>
      <c r="AMN9">
        <f t="shared" si="171"/>
        <v>33</v>
      </c>
      <c r="AMO9" t="s">
        <v>2434</v>
      </c>
      <c r="AMP9" t="s">
        <v>2435</v>
      </c>
      <c r="AMQ9">
        <v>14.82503771781921</v>
      </c>
      <c r="AMR9">
        <v>320</v>
      </c>
      <c r="AMS9" s="2"/>
      <c r="AMT9">
        <f t="shared" si="172"/>
        <v>60</v>
      </c>
      <c r="AMU9" t="s">
        <v>2436</v>
      </c>
      <c r="AMV9" t="s">
        <v>2437</v>
      </c>
      <c r="AMW9">
        <v>29.451973915100101</v>
      </c>
      <c r="AMX9">
        <v>360</v>
      </c>
      <c r="AMY9" s="5"/>
      <c r="AMZ9">
        <f t="shared" si="173"/>
        <v>52</v>
      </c>
      <c r="ANA9" t="s">
        <v>2438</v>
      </c>
      <c r="ANB9" t="s">
        <v>2439</v>
      </c>
      <c r="ANC9">
        <v>11.887413740158079</v>
      </c>
      <c r="AND9">
        <v>254</v>
      </c>
      <c r="ANE9" s="2"/>
      <c r="ANF9">
        <f t="shared" si="174"/>
        <v>87</v>
      </c>
      <c r="ANG9" t="s">
        <v>2440</v>
      </c>
      <c r="ANH9" t="s">
        <v>2441</v>
      </c>
      <c r="ANI9">
        <v>37.510878324508667</v>
      </c>
      <c r="ANJ9">
        <v>351</v>
      </c>
      <c r="ANK9" s="5"/>
      <c r="ANL9">
        <f t="shared" si="175"/>
        <v>32</v>
      </c>
      <c r="ANM9" t="s">
        <v>2442</v>
      </c>
      <c r="ANN9" t="s">
        <v>2443</v>
      </c>
      <c r="ANO9">
        <v>22.795576810836788</v>
      </c>
      <c r="ANP9">
        <v>230</v>
      </c>
      <c r="ANQ9" s="2"/>
      <c r="ANR9">
        <f t="shared" si="176"/>
        <v>55</v>
      </c>
      <c r="ANS9" t="s">
        <v>2444</v>
      </c>
      <c r="ANT9" t="s">
        <v>2445</v>
      </c>
      <c r="ANU9">
        <v>35.341603755950928</v>
      </c>
      <c r="ANV9">
        <v>284</v>
      </c>
      <c r="ANW9" s="5"/>
      <c r="ANX9">
        <f t="shared" si="177"/>
        <v>32</v>
      </c>
      <c r="ANY9" t="s">
        <v>13</v>
      </c>
      <c r="ANZ9" t="s">
        <v>2446</v>
      </c>
      <c r="AOA9">
        <v>6.7522006034851074</v>
      </c>
      <c r="AOB9">
        <v>261</v>
      </c>
      <c r="AOC9" s="2"/>
      <c r="AOD9">
        <f t="shared" si="178"/>
        <v>48</v>
      </c>
      <c r="AOE9" t="s">
        <v>2447</v>
      </c>
      <c r="AOF9" t="s">
        <v>2448</v>
      </c>
      <c r="AOG9">
        <v>45.92838716506958</v>
      </c>
      <c r="AOH9">
        <v>288</v>
      </c>
      <c r="AOI9" s="5"/>
      <c r="AOJ9">
        <f t="shared" si="179"/>
        <v>38</v>
      </c>
      <c r="AOK9" t="s">
        <v>2449</v>
      </c>
      <c r="AOL9" t="s">
        <v>2450</v>
      </c>
      <c r="AOM9">
        <v>6.6193609237670898</v>
      </c>
      <c r="AON9">
        <v>319</v>
      </c>
      <c r="AOO9" s="2"/>
      <c r="AOP9">
        <f t="shared" si="180"/>
        <v>27</v>
      </c>
      <c r="AOQ9" t="s">
        <v>2451</v>
      </c>
      <c r="AOR9" t="s">
        <v>2452</v>
      </c>
      <c r="AOS9">
        <v>21.12618517875671</v>
      </c>
      <c r="AOT9">
        <v>398</v>
      </c>
      <c r="AOU9" s="5"/>
      <c r="AOV9">
        <f t="shared" si="181"/>
        <v>24</v>
      </c>
      <c r="AOW9" t="s">
        <v>2453</v>
      </c>
      <c r="AOX9" t="s">
        <v>2454</v>
      </c>
      <c r="AOY9">
        <v>5.0043158531188956</v>
      </c>
      <c r="AOZ9">
        <v>249</v>
      </c>
      <c r="APA9" s="2"/>
      <c r="APB9">
        <f t="shared" si="182"/>
        <v>51</v>
      </c>
      <c r="APC9" t="s">
        <v>2455</v>
      </c>
      <c r="APD9" t="s">
        <v>2456</v>
      </c>
      <c r="APE9">
        <v>13.720492839813231</v>
      </c>
      <c r="APF9">
        <v>275</v>
      </c>
      <c r="APG9" s="5"/>
      <c r="APH9">
        <f t="shared" si="183"/>
        <v>32</v>
      </c>
      <c r="API9" t="s">
        <v>559</v>
      </c>
      <c r="APJ9" t="s">
        <v>2457</v>
      </c>
      <c r="APK9">
        <v>10.21273183822632</v>
      </c>
      <c r="APL9">
        <v>332</v>
      </c>
      <c r="APM9" s="2"/>
      <c r="APN9">
        <f t="shared" si="184"/>
        <v>28</v>
      </c>
      <c r="APO9" t="s">
        <v>2458</v>
      </c>
      <c r="APP9" t="s">
        <v>2459</v>
      </c>
      <c r="APQ9">
        <v>20.024104118347172</v>
      </c>
      <c r="APR9">
        <v>258</v>
      </c>
      <c r="APS9" s="5"/>
      <c r="APT9">
        <f t="shared" si="185"/>
        <v>37</v>
      </c>
      <c r="APU9" t="s">
        <v>692</v>
      </c>
      <c r="APV9" t="s">
        <v>2460</v>
      </c>
      <c r="APW9">
        <v>11.021108627319339</v>
      </c>
      <c r="APX9">
        <v>366</v>
      </c>
      <c r="APY9" s="2"/>
      <c r="APZ9">
        <f t="shared" si="186"/>
        <v>74</v>
      </c>
      <c r="AQA9" t="s">
        <v>2461</v>
      </c>
      <c r="AQB9" t="s">
        <v>2462</v>
      </c>
      <c r="AQC9">
        <v>79.812058925628662</v>
      </c>
      <c r="AQD9">
        <v>295</v>
      </c>
      <c r="AQE9" s="5"/>
      <c r="AQF9">
        <f t="shared" si="187"/>
        <v>61</v>
      </c>
      <c r="AQG9" t="s">
        <v>2463</v>
      </c>
      <c r="AQH9" t="s">
        <v>2464</v>
      </c>
      <c r="AQI9">
        <v>47.145051240921021</v>
      </c>
      <c r="AQJ9">
        <v>315</v>
      </c>
      <c r="AQK9" s="2"/>
      <c r="AQL9">
        <f t="shared" si="188"/>
        <v>72</v>
      </c>
      <c r="AQM9" t="s">
        <v>2465</v>
      </c>
      <c r="AQN9" t="s">
        <v>2466</v>
      </c>
      <c r="AQO9">
        <v>63.505600214004517</v>
      </c>
      <c r="AQP9">
        <v>320</v>
      </c>
      <c r="AQQ9" s="5"/>
      <c r="AQR9">
        <f t="shared" si="189"/>
        <v>38</v>
      </c>
      <c r="AQS9" t="s">
        <v>2467</v>
      </c>
      <c r="AQT9" t="s">
        <v>2468</v>
      </c>
      <c r="AQU9">
        <v>19.353281497955319</v>
      </c>
      <c r="AQV9">
        <v>282</v>
      </c>
      <c r="AQW9" s="2"/>
      <c r="AQX9">
        <f t="shared" si="190"/>
        <v>60</v>
      </c>
      <c r="AQY9" t="s">
        <v>2469</v>
      </c>
      <c r="AQZ9" t="s">
        <v>2470</v>
      </c>
      <c r="ARA9">
        <v>56.266888856887817</v>
      </c>
      <c r="ARB9">
        <v>251</v>
      </c>
      <c r="ARC9" s="5"/>
      <c r="ARD9">
        <f t="shared" si="191"/>
        <v>58</v>
      </c>
      <c r="ARE9" t="s">
        <v>2471</v>
      </c>
      <c r="ARF9" t="s">
        <v>2472</v>
      </c>
      <c r="ARG9">
        <v>20.853105545043949</v>
      </c>
      <c r="ARH9">
        <v>307</v>
      </c>
      <c r="ARI9" s="2"/>
      <c r="ARJ9">
        <f t="shared" si="192"/>
        <v>24</v>
      </c>
      <c r="ARK9" t="s">
        <v>2114</v>
      </c>
      <c r="ARL9" t="s">
        <v>2473</v>
      </c>
      <c r="ARM9">
        <v>26.896768808364872</v>
      </c>
      <c r="ARN9">
        <v>162</v>
      </c>
      <c r="ARO9" s="5"/>
      <c r="ARP9">
        <f t="shared" si="193"/>
        <v>18</v>
      </c>
      <c r="ARQ9" t="s">
        <v>2474</v>
      </c>
      <c r="ARR9" t="s">
        <v>2475</v>
      </c>
      <c r="ARS9">
        <v>11.59182906150818</v>
      </c>
      <c r="ART9">
        <v>243</v>
      </c>
      <c r="ARU9" s="2"/>
      <c r="ARV9">
        <f t="shared" si="194"/>
        <v>68</v>
      </c>
      <c r="ARW9" t="s">
        <v>2476</v>
      </c>
      <c r="ARX9" t="s">
        <v>2477</v>
      </c>
      <c r="ARY9">
        <v>52.034904479980469</v>
      </c>
      <c r="ARZ9">
        <v>353</v>
      </c>
      <c r="ASA9" s="5"/>
      <c r="ASB9">
        <f t="shared" si="195"/>
        <v>42</v>
      </c>
      <c r="ASC9" t="s">
        <v>2478</v>
      </c>
      <c r="ASD9" t="s">
        <v>2479</v>
      </c>
      <c r="ASE9">
        <v>23.775213241577148</v>
      </c>
      <c r="ASF9">
        <v>274</v>
      </c>
      <c r="ASG9" s="2"/>
      <c r="ASH9">
        <f t="shared" si="196"/>
        <v>35</v>
      </c>
      <c r="ASI9" t="s">
        <v>1458</v>
      </c>
      <c r="ASJ9" t="s">
        <v>2480</v>
      </c>
      <c r="ASK9">
        <v>26.210420370101929</v>
      </c>
      <c r="ASL9">
        <v>319</v>
      </c>
      <c r="ASM9" s="5"/>
      <c r="ASN9">
        <f t="shared" si="197"/>
        <v>30</v>
      </c>
      <c r="ASO9" t="s">
        <v>692</v>
      </c>
      <c r="ASP9" t="s">
        <v>2481</v>
      </c>
      <c r="ASQ9">
        <v>11.914469242095951</v>
      </c>
      <c r="ASR9">
        <v>247</v>
      </c>
      <c r="ASS9" s="2"/>
      <c r="AST9">
        <f t="shared" si="198"/>
        <v>34</v>
      </c>
      <c r="ASU9" t="s">
        <v>2482</v>
      </c>
      <c r="ASV9" t="s">
        <v>2483</v>
      </c>
      <c r="ASW9">
        <v>31.71366906166077</v>
      </c>
      <c r="ASX9">
        <v>206</v>
      </c>
      <c r="ASY9" s="5"/>
      <c r="ASZ9">
        <f t="shared" si="199"/>
        <v>12</v>
      </c>
      <c r="ATA9" t="s">
        <v>1782</v>
      </c>
      <c r="ATB9" t="s">
        <v>2484</v>
      </c>
      <c r="ATC9">
        <v>3.560915470123291</v>
      </c>
      <c r="ATD9">
        <v>161</v>
      </c>
      <c r="ATE9" s="2"/>
      <c r="ATF9">
        <f t="shared" si="200"/>
        <v>43</v>
      </c>
      <c r="ATG9" t="s">
        <v>2485</v>
      </c>
      <c r="ATH9" t="s">
        <v>2486</v>
      </c>
      <c r="ATI9">
        <v>28.872665166854858</v>
      </c>
      <c r="ATJ9">
        <v>340</v>
      </c>
      <c r="ATK9" s="5"/>
      <c r="ATL9">
        <f t="shared" si="201"/>
        <v>60</v>
      </c>
      <c r="ATM9" t="s">
        <v>2487</v>
      </c>
      <c r="ATN9" t="s">
        <v>2488</v>
      </c>
      <c r="ATO9">
        <v>22.40252947807312</v>
      </c>
      <c r="ATP9">
        <v>347</v>
      </c>
      <c r="ATQ9" s="2"/>
      <c r="ATR9">
        <f t="shared" si="202"/>
        <v>44</v>
      </c>
      <c r="ATS9" t="s">
        <v>2489</v>
      </c>
      <c r="ATT9" t="s">
        <v>2490</v>
      </c>
      <c r="ATU9">
        <v>30.050244569778439</v>
      </c>
      <c r="ATV9">
        <v>275</v>
      </c>
      <c r="ATW9" s="5"/>
      <c r="ATX9">
        <f t="shared" si="203"/>
        <v>45</v>
      </c>
      <c r="ATY9" t="s">
        <v>2491</v>
      </c>
      <c r="ATZ9" t="s">
        <v>2492</v>
      </c>
      <c r="AUA9">
        <v>34.183818340301507</v>
      </c>
      <c r="AUB9">
        <v>401</v>
      </c>
      <c r="AUC9" s="2"/>
    </row>
    <row r="10" spans="2:1225" x14ac:dyDescent="0.25">
      <c r="B10">
        <f t="shared" si="0"/>
        <v>14</v>
      </c>
      <c r="C10" t="s">
        <v>2493</v>
      </c>
      <c r="D10" t="s">
        <v>2494</v>
      </c>
      <c r="E10">
        <v>3.597119808197021</v>
      </c>
      <c r="F10">
        <v>190</v>
      </c>
      <c r="G10" s="1"/>
      <c r="H10">
        <f t="shared" si="1"/>
        <v>30</v>
      </c>
      <c r="I10" t="s">
        <v>2495</v>
      </c>
      <c r="J10" t="s">
        <v>2496</v>
      </c>
      <c r="K10">
        <v>17.613130331039429</v>
      </c>
      <c r="L10">
        <v>407</v>
      </c>
      <c r="M10" s="2"/>
      <c r="N10">
        <f t="shared" si="2"/>
        <v>55</v>
      </c>
      <c r="O10" t="s">
        <v>2497</v>
      </c>
      <c r="P10" t="s">
        <v>2498</v>
      </c>
      <c r="Q10">
        <v>21.150811910629269</v>
      </c>
      <c r="R10">
        <v>283</v>
      </c>
      <c r="S10" s="1"/>
      <c r="T10">
        <f t="shared" si="3"/>
        <v>66</v>
      </c>
      <c r="U10" t="s">
        <v>2499</v>
      </c>
      <c r="V10" t="s">
        <v>2500</v>
      </c>
      <c r="W10">
        <v>156.3790967464447</v>
      </c>
      <c r="X10">
        <v>431</v>
      </c>
      <c r="Y10" s="2"/>
      <c r="Z10">
        <f t="shared" si="4"/>
        <v>36</v>
      </c>
      <c r="AA10" t="s">
        <v>764</v>
      </c>
      <c r="AB10" t="s">
        <v>2501</v>
      </c>
      <c r="AC10">
        <v>15.389930486679081</v>
      </c>
      <c r="AD10">
        <v>194</v>
      </c>
      <c r="AE10" s="1"/>
      <c r="AF10">
        <f t="shared" si="5"/>
        <v>70</v>
      </c>
      <c r="AG10" t="s">
        <v>2497</v>
      </c>
      <c r="AH10" t="s">
        <v>2502</v>
      </c>
      <c r="AI10">
        <v>43.959758043289177</v>
      </c>
      <c r="AJ10">
        <v>275</v>
      </c>
      <c r="AK10" s="2"/>
      <c r="AL10">
        <f t="shared" si="6"/>
        <v>43</v>
      </c>
      <c r="AM10" t="s">
        <v>2503</v>
      </c>
      <c r="AN10" t="s">
        <v>2504</v>
      </c>
      <c r="AO10">
        <v>15.40090537071228</v>
      </c>
      <c r="AP10">
        <v>308</v>
      </c>
      <c r="AQ10" s="1"/>
      <c r="AR10">
        <f t="shared" si="7"/>
        <v>70</v>
      </c>
      <c r="AS10" t="s">
        <v>2505</v>
      </c>
      <c r="AT10" t="s">
        <v>2506</v>
      </c>
      <c r="AU10">
        <v>445.3027720451355</v>
      </c>
      <c r="AV10">
        <v>460</v>
      </c>
      <c r="AW10" s="2"/>
      <c r="AX10">
        <f t="shared" si="8"/>
        <v>33</v>
      </c>
      <c r="AY10" t="s">
        <v>2507</v>
      </c>
      <c r="AZ10" t="s">
        <v>2508</v>
      </c>
      <c r="BA10">
        <v>58.537824630737298</v>
      </c>
      <c r="BB10">
        <v>252</v>
      </c>
      <c r="BC10" s="1"/>
      <c r="BD10">
        <f t="shared" si="9"/>
        <v>181</v>
      </c>
      <c r="BE10" t="s">
        <v>2509</v>
      </c>
      <c r="BF10" t="s">
        <v>2510</v>
      </c>
      <c r="BG10">
        <v>32.2341628074646</v>
      </c>
      <c r="BH10">
        <v>330</v>
      </c>
      <c r="BI10" s="2"/>
      <c r="BJ10">
        <f t="shared" si="10"/>
        <v>25</v>
      </c>
      <c r="BK10" t="s">
        <v>1409</v>
      </c>
      <c r="BL10" t="s">
        <v>2511</v>
      </c>
      <c r="BM10">
        <v>8.1964969635009766</v>
      </c>
      <c r="BN10">
        <v>234</v>
      </c>
      <c r="BO10" s="1"/>
      <c r="BP10">
        <f t="shared" si="11"/>
        <v>76</v>
      </c>
      <c r="BQ10" t="s">
        <v>2512</v>
      </c>
      <c r="BR10" t="s">
        <v>2513</v>
      </c>
      <c r="BS10">
        <v>25.606823444366459</v>
      </c>
      <c r="BT10">
        <v>340</v>
      </c>
      <c r="BU10" s="2"/>
      <c r="BV10">
        <f t="shared" si="12"/>
        <v>42</v>
      </c>
      <c r="BW10" t="s">
        <v>399</v>
      </c>
      <c r="BX10" t="s">
        <v>2514</v>
      </c>
      <c r="BY10">
        <v>11.849484920501711</v>
      </c>
      <c r="BZ10">
        <v>511</v>
      </c>
      <c r="CA10" s="1"/>
      <c r="CB10">
        <f t="shared" si="13"/>
        <v>33</v>
      </c>
      <c r="CC10" t="s">
        <v>2515</v>
      </c>
      <c r="CD10" t="s">
        <v>2516</v>
      </c>
      <c r="CE10">
        <v>27.352944374084469</v>
      </c>
      <c r="CF10">
        <v>348</v>
      </c>
      <c r="CG10" s="2"/>
      <c r="CH10">
        <f t="shared" si="14"/>
        <v>46</v>
      </c>
      <c r="CI10" t="s">
        <v>2517</v>
      </c>
      <c r="CJ10" t="s">
        <v>2518</v>
      </c>
      <c r="CK10">
        <v>31.032530546188351</v>
      </c>
      <c r="CL10">
        <v>337</v>
      </c>
      <c r="CM10" s="1"/>
      <c r="CN10">
        <f t="shared" si="15"/>
        <v>28</v>
      </c>
      <c r="CO10" t="s">
        <v>2519</v>
      </c>
      <c r="CP10" t="s">
        <v>2520</v>
      </c>
      <c r="CQ10">
        <v>24.555347681045529</v>
      </c>
      <c r="CR10">
        <v>342</v>
      </c>
      <c r="CS10" s="2"/>
      <c r="CT10">
        <f t="shared" si="16"/>
        <v>32</v>
      </c>
      <c r="CU10" t="s">
        <v>2521</v>
      </c>
      <c r="CV10" t="s">
        <v>2522</v>
      </c>
      <c r="CW10">
        <v>12.457740068435671</v>
      </c>
      <c r="CX10">
        <v>280</v>
      </c>
      <c r="CY10" s="1"/>
      <c r="CZ10">
        <f t="shared" si="17"/>
        <v>59</v>
      </c>
      <c r="DA10" t="s">
        <v>2523</v>
      </c>
      <c r="DB10" t="s">
        <v>2524</v>
      </c>
      <c r="DC10">
        <v>26.011428356170651</v>
      </c>
      <c r="DD10">
        <v>368</v>
      </c>
      <c r="DE10" s="2"/>
      <c r="DF10">
        <f t="shared" si="18"/>
        <v>87</v>
      </c>
      <c r="DG10" t="s">
        <v>2525</v>
      </c>
      <c r="DH10" t="s">
        <v>2526</v>
      </c>
      <c r="DI10">
        <v>32.516565322875977</v>
      </c>
      <c r="DJ10">
        <v>360</v>
      </c>
      <c r="DK10" s="1"/>
      <c r="DL10">
        <f t="shared" si="19"/>
        <v>47</v>
      </c>
      <c r="DM10" t="s">
        <v>614</v>
      </c>
      <c r="DN10" t="s">
        <v>2527</v>
      </c>
      <c r="DO10">
        <v>40.791529893875122</v>
      </c>
      <c r="DP10">
        <v>304</v>
      </c>
      <c r="DQ10" s="2"/>
      <c r="DR10">
        <f t="shared" si="20"/>
        <v>23</v>
      </c>
      <c r="DS10" t="s">
        <v>625</v>
      </c>
      <c r="DT10" t="s">
        <v>2528</v>
      </c>
      <c r="DU10">
        <v>5.6250081062316886</v>
      </c>
      <c r="DV10">
        <v>346</v>
      </c>
      <c r="DW10" s="1"/>
      <c r="DX10">
        <f t="shared" si="21"/>
        <v>36</v>
      </c>
      <c r="DY10" t="s">
        <v>2529</v>
      </c>
      <c r="DZ10" t="s">
        <v>2530</v>
      </c>
      <c r="EA10">
        <v>47.937615633010857</v>
      </c>
      <c r="EB10">
        <v>289</v>
      </c>
      <c r="EC10" s="2"/>
      <c r="ED10">
        <f t="shared" si="22"/>
        <v>45</v>
      </c>
      <c r="EE10" t="s">
        <v>2531</v>
      </c>
      <c r="EF10" t="s">
        <v>2532</v>
      </c>
      <c r="EG10">
        <v>29.525559186935421</v>
      </c>
      <c r="EH10">
        <v>225</v>
      </c>
      <c r="EI10" s="1"/>
      <c r="EJ10">
        <f t="shared" si="23"/>
        <v>22</v>
      </c>
      <c r="EK10" t="s">
        <v>2533</v>
      </c>
      <c r="EL10" t="s">
        <v>2534</v>
      </c>
      <c r="EM10">
        <v>128.10103249549871</v>
      </c>
      <c r="EN10">
        <v>314</v>
      </c>
      <c r="EO10" s="2"/>
      <c r="EP10">
        <f t="shared" si="24"/>
        <v>29</v>
      </c>
      <c r="EQ10" t="s">
        <v>2535</v>
      </c>
      <c r="ER10" t="s">
        <v>2536</v>
      </c>
      <c r="ES10">
        <v>21.472778797149662</v>
      </c>
      <c r="ET10">
        <v>241</v>
      </c>
      <c r="EU10" s="1"/>
      <c r="EV10">
        <f t="shared" si="25"/>
        <v>37</v>
      </c>
      <c r="EW10" t="s">
        <v>2537</v>
      </c>
      <c r="EX10" t="s">
        <v>2538</v>
      </c>
      <c r="EY10">
        <v>21.177167892456051</v>
      </c>
      <c r="EZ10">
        <v>294</v>
      </c>
      <c r="FA10" s="2"/>
      <c r="FB10">
        <f t="shared" si="26"/>
        <v>48</v>
      </c>
      <c r="FC10" t="s">
        <v>2539</v>
      </c>
      <c r="FD10" t="s">
        <v>2540</v>
      </c>
      <c r="FE10">
        <v>40.651086091995239</v>
      </c>
      <c r="FF10">
        <v>343</v>
      </c>
      <c r="FG10" s="1"/>
      <c r="FH10">
        <f t="shared" si="27"/>
        <v>56</v>
      </c>
      <c r="FI10" t="s">
        <v>2541</v>
      </c>
      <c r="FJ10" t="s">
        <v>2542</v>
      </c>
      <c r="FK10">
        <v>66.065258264541626</v>
      </c>
      <c r="FL10">
        <v>301</v>
      </c>
      <c r="FM10" s="2"/>
      <c r="FN10">
        <f t="shared" si="28"/>
        <v>48</v>
      </c>
      <c r="FO10" t="s">
        <v>2543</v>
      </c>
      <c r="FP10" t="s">
        <v>2544</v>
      </c>
      <c r="FQ10">
        <v>11.105365037918091</v>
      </c>
      <c r="FR10">
        <v>408</v>
      </c>
      <c r="FS10" s="1"/>
      <c r="FT10">
        <f t="shared" si="29"/>
        <v>16</v>
      </c>
      <c r="FU10" t="s">
        <v>2545</v>
      </c>
      <c r="FV10" t="s">
        <v>2546</v>
      </c>
      <c r="FW10">
        <v>15.441463470458981</v>
      </c>
      <c r="FX10">
        <v>373</v>
      </c>
      <c r="FY10" s="2"/>
      <c r="FZ10">
        <f t="shared" si="30"/>
        <v>24</v>
      </c>
      <c r="GA10" t="s">
        <v>2547</v>
      </c>
      <c r="GB10" t="s">
        <v>2548</v>
      </c>
      <c r="GC10">
        <v>14.170776128768919</v>
      </c>
      <c r="GD10">
        <v>307</v>
      </c>
      <c r="GE10" s="1"/>
      <c r="GF10">
        <f t="shared" si="31"/>
        <v>14</v>
      </c>
      <c r="GG10" t="s">
        <v>2549</v>
      </c>
      <c r="GH10" t="s">
        <v>2550</v>
      </c>
      <c r="GI10">
        <v>13.36507415771484</v>
      </c>
      <c r="GJ10">
        <v>357</v>
      </c>
      <c r="GK10" s="2"/>
      <c r="GL10">
        <f t="shared" si="32"/>
        <v>42</v>
      </c>
      <c r="GM10" t="s">
        <v>2551</v>
      </c>
      <c r="GN10" t="s">
        <v>2552</v>
      </c>
      <c r="GO10">
        <v>28.220412731170651</v>
      </c>
      <c r="GP10">
        <v>318</v>
      </c>
      <c r="GQ10" s="1"/>
      <c r="GR10">
        <f t="shared" si="33"/>
        <v>32</v>
      </c>
      <c r="GS10" t="s">
        <v>2553</v>
      </c>
      <c r="GT10" t="s">
        <v>2554</v>
      </c>
      <c r="GU10">
        <v>26.400905132293701</v>
      </c>
      <c r="GV10">
        <v>303</v>
      </c>
      <c r="GW10" s="2"/>
      <c r="GX10">
        <f t="shared" si="34"/>
        <v>34</v>
      </c>
      <c r="GY10" t="s">
        <v>2555</v>
      </c>
      <c r="GZ10" t="s">
        <v>2556</v>
      </c>
      <c r="HA10">
        <v>43.020647048950202</v>
      </c>
      <c r="HB10">
        <v>230</v>
      </c>
      <c r="HC10" s="1"/>
      <c r="HD10">
        <f t="shared" si="35"/>
        <v>60</v>
      </c>
      <c r="HE10" t="s">
        <v>2557</v>
      </c>
      <c r="HF10" t="s">
        <v>2558</v>
      </c>
      <c r="HG10">
        <v>36.256416082382202</v>
      </c>
      <c r="HH10">
        <v>348</v>
      </c>
      <c r="HI10" s="2"/>
      <c r="HJ10">
        <f t="shared" si="36"/>
        <v>37</v>
      </c>
      <c r="HK10" t="s">
        <v>2559</v>
      </c>
      <c r="HL10" t="s">
        <v>2560</v>
      </c>
      <c r="HM10">
        <v>18.521510124206539</v>
      </c>
      <c r="HN10">
        <v>273</v>
      </c>
      <c r="HO10" s="1"/>
      <c r="HP10">
        <f t="shared" si="37"/>
        <v>34</v>
      </c>
      <c r="HQ10" t="s">
        <v>2561</v>
      </c>
      <c r="HR10" t="s">
        <v>2562</v>
      </c>
      <c r="HS10">
        <v>35.371931791305542</v>
      </c>
      <c r="HT10">
        <v>420</v>
      </c>
      <c r="HU10" s="2"/>
      <c r="HV10">
        <f t="shared" si="38"/>
        <v>60</v>
      </c>
      <c r="HW10" t="s">
        <v>2563</v>
      </c>
      <c r="HX10" t="s">
        <v>2564</v>
      </c>
      <c r="HY10">
        <v>30.520809888839722</v>
      </c>
      <c r="HZ10">
        <v>265</v>
      </c>
      <c r="IA10" s="1"/>
      <c r="IB10">
        <f t="shared" si="39"/>
        <v>40</v>
      </c>
      <c r="IC10" t="s">
        <v>2565</v>
      </c>
      <c r="ID10" t="s">
        <v>2566</v>
      </c>
      <c r="IE10">
        <v>107.9563417434692</v>
      </c>
      <c r="IF10">
        <v>259</v>
      </c>
      <c r="IG10" s="2"/>
      <c r="IH10">
        <f t="shared" si="40"/>
        <v>37</v>
      </c>
      <c r="II10" t="s">
        <v>2567</v>
      </c>
      <c r="IJ10" t="s">
        <v>2568</v>
      </c>
      <c r="IK10">
        <v>15.60943078994751</v>
      </c>
      <c r="IL10">
        <v>270</v>
      </c>
      <c r="IM10" s="1"/>
      <c r="IN10">
        <f t="shared" si="41"/>
        <v>30</v>
      </c>
      <c r="IO10" t="s">
        <v>2236</v>
      </c>
      <c r="IP10" t="s">
        <v>2569</v>
      </c>
      <c r="IQ10">
        <v>15.718368053436279</v>
      </c>
      <c r="IR10">
        <v>452</v>
      </c>
      <c r="IS10" s="2"/>
      <c r="IT10">
        <f t="shared" si="42"/>
        <v>29</v>
      </c>
      <c r="IU10" t="s">
        <v>2570</v>
      </c>
      <c r="IV10" t="s">
        <v>2571</v>
      </c>
      <c r="IW10">
        <v>388.9507794380188</v>
      </c>
      <c r="IX10">
        <v>359</v>
      </c>
      <c r="IY10" s="1"/>
      <c r="IZ10">
        <f t="shared" si="43"/>
        <v>22</v>
      </c>
      <c r="JA10" t="s">
        <v>2572</v>
      </c>
      <c r="JB10" t="s">
        <v>2573</v>
      </c>
      <c r="JC10">
        <v>20.06317758560181</v>
      </c>
      <c r="JD10">
        <v>276</v>
      </c>
      <c r="JE10" s="2"/>
      <c r="JF10">
        <f t="shared" si="44"/>
        <v>51</v>
      </c>
      <c r="JG10" t="s">
        <v>2574</v>
      </c>
      <c r="JH10" t="s">
        <v>2575</v>
      </c>
      <c r="JI10">
        <v>41.536981105804443</v>
      </c>
      <c r="JJ10">
        <v>214</v>
      </c>
      <c r="JK10" s="1"/>
      <c r="JL10">
        <f t="shared" si="45"/>
        <v>108</v>
      </c>
      <c r="JM10" t="s">
        <v>2576</v>
      </c>
      <c r="JN10" t="s">
        <v>2577</v>
      </c>
      <c r="JO10">
        <v>57.475295543670647</v>
      </c>
      <c r="JP10">
        <v>298</v>
      </c>
      <c r="JQ10" s="2"/>
      <c r="JR10">
        <f t="shared" si="46"/>
        <v>45</v>
      </c>
      <c r="JS10" t="s">
        <v>2578</v>
      </c>
      <c r="JT10" t="s">
        <v>2579</v>
      </c>
      <c r="JU10">
        <v>14.945059299468991</v>
      </c>
      <c r="JV10">
        <v>208</v>
      </c>
      <c r="JW10" s="1"/>
      <c r="JX10">
        <f t="shared" si="47"/>
        <v>42</v>
      </c>
      <c r="JY10" t="s">
        <v>2580</v>
      </c>
      <c r="JZ10" t="s">
        <v>2581</v>
      </c>
      <c r="KA10">
        <v>39.379771709442139</v>
      </c>
      <c r="KB10">
        <v>330</v>
      </c>
      <c r="KC10" s="2"/>
      <c r="KD10">
        <f t="shared" si="48"/>
        <v>39</v>
      </c>
      <c r="KE10" t="s">
        <v>2582</v>
      </c>
      <c r="KF10" t="s">
        <v>2583</v>
      </c>
      <c r="KG10">
        <v>43.549768447875977</v>
      </c>
      <c r="KH10">
        <v>343</v>
      </c>
      <c r="KI10" s="1"/>
      <c r="KJ10">
        <f t="shared" si="49"/>
        <v>33</v>
      </c>
      <c r="KK10" t="s">
        <v>2584</v>
      </c>
      <c r="KL10" t="s">
        <v>2585</v>
      </c>
      <c r="KM10">
        <v>21.414955377578739</v>
      </c>
      <c r="KN10">
        <v>371</v>
      </c>
      <c r="KO10" s="2"/>
      <c r="KP10">
        <f t="shared" si="50"/>
        <v>34</v>
      </c>
      <c r="KQ10" t="s">
        <v>1104</v>
      </c>
      <c r="KR10" t="s">
        <v>2586</v>
      </c>
      <c r="KS10">
        <v>12.06111478805542</v>
      </c>
      <c r="KT10">
        <v>278</v>
      </c>
      <c r="KU10" s="1"/>
      <c r="KV10">
        <f t="shared" si="51"/>
        <v>20</v>
      </c>
      <c r="KW10" t="s">
        <v>2587</v>
      </c>
      <c r="KX10" t="s">
        <v>2588</v>
      </c>
      <c r="KY10">
        <v>12.432525396347049</v>
      </c>
      <c r="KZ10">
        <v>262</v>
      </c>
      <c r="LA10" s="2"/>
      <c r="LB10">
        <f t="shared" si="52"/>
        <v>39</v>
      </c>
      <c r="LC10" t="s">
        <v>2589</v>
      </c>
      <c r="LD10" t="s">
        <v>2590</v>
      </c>
      <c r="LE10">
        <v>26.93558931350708</v>
      </c>
      <c r="LF10">
        <v>395</v>
      </c>
      <c r="LG10" s="1"/>
      <c r="LH10">
        <f t="shared" si="53"/>
        <v>17</v>
      </c>
      <c r="LI10" t="s">
        <v>2591</v>
      </c>
      <c r="LJ10" t="s">
        <v>2592</v>
      </c>
      <c r="LK10">
        <v>68.055502414703369</v>
      </c>
      <c r="LL10">
        <v>341</v>
      </c>
      <c r="LM10" s="2"/>
      <c r="LN10">
        <f t="shared" si="54"/>
        <v>72</v>
      </c>
      <c r="LO10" t="s">
        <v>2593</v>
      </c>
      <c r="LP10" t="s">
        <v>2594</v>
      </c>
      <c r="LQ10">
        <v>44.958687543869019</v>
      </c>
      <c r="LR10">
        <v>261</v>
      </c>
      <c r="LS10" s="1"/>
      <c r="LT10">
        <f t="shared" si="55"/>
        <v>36</v>
      </c>
      <c r="LU10" t="s">
        <v>2595</v>
      </c>
      <c r="LV10" t="s">
        <v>2596</v>
      </c>
      <c r="LW10">
        <v>35.278005599975593</v>
      </c>
      <c r="LX10">
        <v>311</v>
      </c>
      <c r="LY10" s="2"/>
      <c r="LZ10">
        <f t="shared" si="56"/>
        <v>39</v>
      </c>
      <c r="MA10" t="s">
        <v>320</v>
      </c>
      <c r="MB10" t="s">
        <v>2597</v>
      </c>
      <c r="MC10">
        <v>3.9316964149475102</v>
      </c>
      <c r="MD10">
        <v>209</v>
      </c>
      <c r="ME10" s="1"/>
      <c r="MF10">
        <f t="shared" si="57"/>
        <v>18</v>
      </c>
      <c r="MG10" t="s">
        <v>2598</v>
      </c>
      <c r="MH10" t="s">
        <v>2599</v>
      </c>
      <c r="MI10">
        <v>14.47906541824341</v>
      </c>
      <c r="MJ10">
        <v>226</v>
      </c>
      <c r="MK10" s="2"/>
      <c r="ML10">
        <f t="shared" si="58"/>
        <v>26</v>
      </c>
      <c r="MM10" t="s">
        <v>1782</v>
      </c>
      <c r="MN10" t="s">
        <v>2600</v>
      </c>
      <c r="MO10">
        <v>8.2517855167388916</v>
      </c>
      <c r="MP10">
        <v>321</v>
      </c>
      <c r="MQ10" s="1"/>
      <c r="MR10">
        <f t="shared" si="59"/>
        <v>117</v>
      </c>
      <c r="MS10" t="s">
        <v>2601</v>
      </c>
      <c r="MT10" t="s">
        <v>2602</v>
      </c>
      <c r="MU10">
        <v>330.73826384544373</v>
      </c>
      <c r="MV10">
        <v>366</v>
      </c>
      <c r="MW10" s="2"/>
      <c r="MX10">
        <f t="shared" si="60"/>
        <v>13</v>
      </c>
      <c r="MY10" t="s">
        <v>1722</v>
      </c>
      <c r="MZ10" t="s">
        <v>2603</v>
      </c>
      <c r="NA10">
        <v>3.7141604423522949</v>
      </c>
      <c r="NB10">
        <v>238</v>
      </c>
      <c r="NC10" s="1"/>
      <c r="ND10">
        <f t="shared" si="61"/>
        <v>25</v>
      </c>
      <c r="NE10" t="s">
        <v>843</v>
      </c>
      <c r="NF10" t="s">
        <v>2604</v>
      </c>
      <c r="NG10">
        <v>14.07664728164673</v>
      </c>
      <c r="NH10">
        <v>267</v>
      </c>
      <c r="NI10" s="2"/>
      <c r="NJ10">
        <f t="shared" si="62"/>
        <v>32</v>
      </c>
      <c r="NK10" t="s">
        <v>2605</v>
      </c>
      <c r="NL10" t="s">
        <v>2606</v>
      </c>
      <c r="NM10">
        <v>8.3033437728881836</v>
      </c>
      <c r="NN10">
        <v>210</v>
      </c>
      <c r="NO10" s="1"/>
      <c r="NP10">
        <f t="shared" si="63"/>
        <v>24</v>
      </c>
      <c r="NQ10" t="s">
        <v>125</v>
      </c>
      <c r="NR10" t="s">
        <v>2607</v>
      </c>
      <c r="NS10">
        <v>21.413182735443119</v>
      </c>
      <c r="NT10">
        <v>321</v>
      </c>
      <c r="NU10" s="2"/>
      <c r="NV10">
        <f t="shared" si="64"/>
        <v>30</v>
      </c>
      <c r="NW10" t="s">
        <v>2608</v>
      </c>
      <c r="NX10" t="s">
        <v>2609</v>
      </c>
      <c r="NY10">
        <v>16.462589979171749</v>
      </c>
      <c r="NZ10">
        <v>355</v>
      </c>
      <c r="OA10" s="1"/>
      <c r="OB10">
        <f t="shared" si="65"/>
        <v>22</v>
      </c>
      <c r="OC10" t="s">
        <v>1185</v>
      </c>
      <c r="OD10" t="s">
        <v>2610</v>
      </c>
      <c r="OE10">
        <v>22.59192323684692</v>
      </c>
      <c r="OF10">
        <v>301</v>
      </c>
      <c r="OG10" s="2"/>
      <c r="OH10">
        <f t="shared" si="66"/>
        <v>33</v>
      </c>
      <c r="OI10" t="s">
        <v>2611</v>
      </c>
      <c r="OJ10" t="s">
        <v>2612</v>
      </c>
      <c r="OK10">
        <v>12.45109939575195</v>
      </c>
      <c r="OL10">
        <v>368</v>
      </c>
      <c r="OM10" s="1"/>
      <c r="ON10">
        <f t="shared" si="67"/>
        <v>22</v>
      </c>
      <c r="OO10" t="s">
        <v>2613</v>
      </c>
      <c r="OP10" t="s">
        <v>2614</v>
      </c>
      <c r="OQ10">
        <v>18.00233793258667</v>
      </c>
      <c r="OR10">
        <v>296</v>
      </c>
      <c r="OS10" s="2"/>
      <c r="OT10">
        <f t="shared" si="68"/>
        <v>27</v>
      </c>
      <c r="OU10" t="s">
        <v>2615</v>
      </c>
      <c r="OV10" t="s">
        <v>2616</v>
      </c>
      <c r="OW10">
        <v>30.209551572799679</v>
      </c>
      <c r="OX10">
        <v>276</v>
      </c>
      <c r="OY10" s="1"/>
      <c r="OZ10">
        <f t="shared" si="69"/>
        <v>31</v>
      </c>
      <c r="PA10" t="s">
        <v>2617</v>
      </c>
      <c r="PB10" t="s">
        <v>2618</v>
      </c>
      <c r="PC10">
        <v>24.28828763961792</v>
      </c>
      <c r="PD10">
        <v>255</v>
      </c>
      <c r="PE10" s="2"/>
      <c r="PF10">
        <f t="shared" si="70"/>
        <v>29</v>
      </c>
      <c r="PG10" t="s">
        <v>2619</v>
      </c>
      <c r="PH10" t="s">
        <v>2620</v>
      </c>
      <c r="PI10">
        <v>21.73327112197876</v>
      </c>
      <c r="PJ10">
        <v>289</v>
      </c>
      <c r="PK10" s="1"/>
      <c r="PL10">
        <f t="shared" si="71"/>
        <v>51</v>
      </c>
      <c r="PM10" t="s">
        <v>2621</v>
      </c>
      <c r="PN10" t="s">
        <v>2622</v>
      </c>
      <c r="PO10">
        <v>66.21094012260437</v>
      </c>
      <c r="PP10">
        <v>316</v>
      </c>
      <c r="PQ10" s="2"/>
      <c r="PR10">
        <f t="shared" si="72"/>
        <v>40</v>
      </c>
      <c r="PS10" t="s">
        <v>2623</v>
      </c>
      <c r="PT10" t="s">
        <v>2624</v>
      </c>
      <c r="PU10">
        <v>22.314132213592529</v>
      </c>
      <c r="PV10">
        <v>321</v>
      </c>
      <c r="PW10" s="1"/>
      <c r="PX10">
        <f t="shared" si="73"/>
        <v>81</v>
      </c>
      <c r="PY10" t="s">
        <v>2625</v>
      </c>
      <c r="PZ10" t="s">
        <v>2626</v>
      </c>
      <c r="QA10">
        <v>23.493865966796879</v>
      </c>
      <c r="QB10">
        <v>345</v>
      </c>
      <c r="QC10" s="2"/>
      <c r="QD10">
        <f t="shared" si="74"/>
        <v>51</v>
      </c>
      <c r="QE10" t="s">
        <v>2627</v>
      </c>
      <c r="QF10" t="s">
        <v>2628</v>
      </c>
      <c r="QG10">
        <v>29.017499208450321</v>
      </c>
      <c r="QH10">
        <v>322</v>
      </c>
      <c r="QI10" s="1"/>
      <c r="QJ10">
        <f t="shared" si="75"/>
        <v>71</v>
      </c>
      <c r="QK10" t="s">
        <v>2629</v>
      </c>
      <c r="QL10" t="s">
        <v>2630</v>
      </c>
      <c r="QM10">
        <v>40.484530210495002</v>
      </c>
      <c r="QN10">
        <v>265</v>
      </c>
      <c r="QO10" s="2"/>
      <c r="QP10">
        <f t="shared" si="76"/>
        <v>36</v>
      </c>
      <c r="QQ10" t="s">
        <v>2631</v>
      </c>
      <c r="QR10" t="s">
        <v>2632</v>
      </c>
      <c r="QS10">
        <v>4.0434978008270264</v>
      </c>
      <c r="QT10">
        <v>217</v>
      </c>
      <c r="QU10" s="1"/>
      <c r="QV10">
        <f t="shared" si="77"/>
        <v>28</v>
      </c>
      <c r="QW10" t="s">
        <v>2633</v>
      </c>
      <c r="QX10" t="s">
        <v>2634</v>
      </c>
      <c r="QY10">
        <v>20.640320539474491</v>
      </c>
      <c r="QZ10">
        <v>292</v>
      </c>
      <c r="RA10" s="2"/>
      <c r="RB10">
        <f t="shared" si="78"/>
        <v>85</v>
      </c>
      <c r="RC10" t="s">
        <v>2635</v>
      </c>
      <c r="RD10" t="s">
        <v>2636</v>
      </c>
      <c r="RE10">
        <v>43.166257619857788</v>
      </c>
      <c r="RF10">
        <v>364</v>
      </c>
      <c r="RG10" s="1"/>
      <c r="RH10">
        <f t="shared" si="79"/>
        <v>66</v>
      </c>
      <c r="RI10" t="s">
        <v>2637</v>
      </c>
      <c r="RJ10" t="s">
        <v>2638</v>
      </c>
      <c r="RK10">
        <v>38.779714345932007</v>
      </c>
      <c r="RL10">
        <v>345</v>
      </c>
      <c r="RM10" s="2"/>
      <c r="RN10">
        <f t="shared" si="80"/>
        <v>33</v>
      </c>
      <c r="RO10" t="s">
        <v>2639</v>
      </c>
      <c r="RP10" t="s">
        <v>2640</v>
      </c>
      <c r="RQ10">
        <v>43.979122161865227</v>
      </c>
      <c r="RR10">
        <v>438</v>
      </c>
      <c r="RS10" s="1"/>
      <c r="RT10">
        <f t="shared" si="81"/>
        <v>59</v>
      </c>
      <c r="RU10" t="s">
        <v>2641</v>
      </c>
      <c r="RV10" t="s">
        <v>2642</v>
      </c>
      <c r="RW10">
        <v>459.3180878162384</v>
      </c>
      <c r="RX10">
        <v>341</v>
      </c>
      <c r="RY10" s="2"/>
      <c r="RZ10">
        <f t="shared" si="82"/>
        <v>32</v>
      </c>
      <c r="SA10" t="s">
        <v>873</v>
      </c>
      <c r="SB10" t="s">
        <v>2643</v>
      </c>
      <c r="SC10">
        <v>13.04549980163574</v>
      </c>
      <c r="SD10">
        <v>324</v>
      </c>
      <c r="SE10" s="1"/>
      <c r="SF10">
        <f t="shared" si="83"/>
        <v>54</v>
      </c>
      <c r="SG10" t="s">
        <v>2644</v>
      </c>
      <c r="SH10" t="s">
        <v>2645</v>
      </c>
      <c r="SI10">
        <v>61.943987131118767</v>
      </c>
      <c r="SJ10">
        <v>271</v>
      </c>
      <c r="SK10" s="2"/>
      <c r="SL10">
        <f t="shared" si="84"/>
        <v>38</v>
      </c>
      <c r="SM10" t="s">
        <v>2646</v>
      </c>
      <c r="SN10" t="s">
        <v>2647</v>
      </c>
      <c r="SO10">
        <v>30.93022608757019</v>
      </c>
      <c r="SP10">
        <v>274</v>
      </c>
      <c r="SQ10" s="1"/>
      <c r="SR10">
        <f t="shared" si="85"/>
        <v>34</v>
      </c>
      <c r="SS10" t="s">
        <v>1921</v>
      </c>
      <c r="ST10" t="s">
        <v>2648</v>
      </c>
      <c r="SU10">
        <v>24.397476434707642</v>
      </c>
      <c r="SV10">
        <v>385</v>
      </c>
      <c r="SW10" s="2"/>
      <c r="SX10">
        <f t="shared" si="86"/>
        <v>27</v>
      </c>
      <c r="SY10" t="s">
        <v>2649</v>
      </c>
      <c r="SZ10" t="s">
        <v>2650</v>
      </c>
      <c r="TA10">
        <v>13.894444942474371</v>
      </c>
      <c r="TB10">
        <v>205</v>
      </c>
      <c r="TC10" s="1"/>
      <c r="TD10">
        <f t="shared" si="87"/>
        <v>38</v>
      </c>
      <c r="TE10" t="s">
        <v>2651</v>
      </c>
      <c r="TF10" t="s">
        <v>2652</v>
      </c>
      <c r="TG10">
        <v>22.637160778045651</v>
      </c>
      <c r="TH10">
        <v>352</v>
      </c>
      <c r="TI10" s="2"/>
      <c r="TJ10">
        <f t="shared" si="88"/>
        <v>36</v>
      </c>
      <c r="TK10" t="s">
        <v>2653</v>
      </c>
      <c r="TL10" t="s">
        <v>2654</v>
      </c>
      <c r="TM10">
        <v>76.450654983520508</v>
      </c>
      <c r="TN10">
        <v>401</v>
      </c>
      <c r="TO10" s="1"/>
      <c r="TP10">
        <f t="shared" si="89"/>
        <v>42</v>
      </c>
      <c r="TQ10" t="s">
        <v>2655</v>
      </c>
      <c r="TR10" t="s">
        <v>2656</v>
      </c>
      <c r="TS10">
        <v>16.430609464645389</v>
      </c>
      <c r="TT10">
        <v>262</v>
      </c>
      <c r="TU10" s="2"/>
      <c r="TV10">
        <f t="shared" si="90"/>
        <v>22</v>
      </c>
      <c r="TW10" t="s">
        <v>2657</v>
      </c>
      <c r="TX10" t="s">
        <v>2658</v>
      </c>
      <c r="TY10">
        <v>12.70080733299255</v>
      </c>
      <c r="TZ10">
        <v>269</v>
      </c>
      <c r="UA10" s="1"/>
      <c r="UB10">
        <f t="shared" si="91"/>
        <v>102</v>
      </c>
      <c r="UC10" t="s">
        <v>2659</v>
      </c>
      <c r="UD10" t="s">
        <v>2660</v>
      </c>
      <c r="UE10">
        <v>40.369736194610603</v>
      </c>
      <c r="UF10">
        <v>432</v>
      </c>
      <c r="UG10" s="2"/>
      <c r="UH10">
        <f t="shared" si="92"/>
        <v>15</v>
      </c>
      <c r="UI10" t="s">
        <v>2661</v>
      </c>
      <c r="UJ10" t="s">
        <v>2662</v>
      </c>
      <c r="UK10">
        <v>3.264801025390625</v>
      </c>
      <c r="UL10">
        <v>150</v>
      </c>
      <c r="UM10" s="1"/>
      <c r="UN10">
        <f t="shared" si="93"/>
        <v>119</v>
      </c>
      <c r="UO10" t="s">
        <v>2663</v>
      </c>
      <c r="UP10" t="s">
        <v>2664</v>
      </c>
      <c r="UQ10">
        <v>217.86856389045721</v>
      </c>
      <c r="UR10">
        <v>417</v>
      </c>
      <c r="US10" s="2"/>
      <c r="UT10">
        <f t="shared" si="94"/>
        <v>34</v>
      </c>
      <c r="UU10" t="s">
        <v>891</v>
      </c>
      <c r="UV10" t="s">
        <v>2665</v>
      </c>
      <c r="UW10">
        <v>23.552726030349731</v>
      </c>
      <c r="UX10">
        <v>277</v>
      </c>
      <c r="UY10" s="1"/>
      <c r="UZ10">
        <f t="shared" si="95"/>
        <v>30</v>
      </c>
      <c r="VA10" t="s">
        <v>1437</v>
      </c>
      <c r="VB10" t="s">
        <v>2666</v>
      </c>
      <c r="VC10">
        <v>18.57184910774231</v>
      </c>
      <c r="VD10">
        <v>291</v>
      </c>
      <c r="VE10" s="2"/>
      <c r="VF10">
        <f t="shared" si="96"/>
        <v>29</v>
      </c>
      <c r="VG10" t="s">
        <v>2667</v>
      </c>
      <c r="VH10" t="s">
        <v>2668</v>
      </c>
      <c r="VI10">
        <v>11.98406934738159</v>
      </c>
      <c r="VJ10">
        <v>270</v>
      </c>
      <c r="VK10" s="1"/>
      <c r="VL10">
        <f t="shared" si="97"/>
        <v>24</v>
      </c>
      <c r="VM10" t="s">
        <v>2669</v>
      </c>
      <c r="VN10" t="s">
        <v>2670</v>
      </c>
      <c r="VO10">
        <v>13.53179264068604</v>
      </c>
      <c r="VP10">
        <v>323</v>
      </c>
      <c r="VQ10" s="2"/>
      <c r="VR10">
        <f t="shared" si="98"/>
        <v>22</v>
      </c>
      <c r="VS10" t="s">
        <v>2671</v>
      </c>
      <c r="VT10" t="s">
        <v>2672</v>
      </c>
      <c r="VU10">
        <v>7.6767880916595459</v>
      </c>
      <c r="VV10">
        <v>184</v>
      </c>
      <c r="VW10" s="1"/>
      <c r="VX10">
        <f t="shared" si="99"/>
        <v>40</v>
      </c>
      <c r="VY10" t="s">
        <v>2673</v>
      </c>
      <c r="VZ10" t="s">
        <v>2674</v>
      </c>
      <c r="WA10">
        <v>18.288158893585209</v>
      </c>
      <c r="WB10">
        <v>350</v>
      </c>
      <c r="WC10" s="2"/>
      <c r="WD10">
        <f t="shared" si="100"/>
        <v>37</v>
      </c>
      <c r="WE10" t="s">
        <v>2675</v>
      </c>
      <c r="WF10" t="s">
        <v>2676</v>
      </c>
      <c r="WG10">
        <v>14.87471556663513</v>
      </c>
      <c r="WH10">
        <v>412</v>
      </c>
      <c r="WI10" s="1"/>
      <c r="WJ10">
        <f t="shared" si="101"/>
        <v>60</v>
      </c>
      <c r="WK10" t="s">
        <v>2677</v>
      </c>
      <c r="WL10" t="s">
        <v>2678</v>
      </c>
      <c r="WM10">
        <v>24.985609531402591</v>
      </c>
      <c r="WN10">
        <v>395</v>
      </c>
      <c r="WO10" s="4"/>
      <c r="WP10">
        <f t="shared" si="102"/>
        <v>45</v>
      </c>
      <c r="WQ10" t="s">
        <v>2679</v>
      </c>
      <c r="WR10" t="s">
        <v>2680</v>
      </c>
      <c r="WS10">
        <v>31.64990925788879</v>
      </c>
      <c r="WT10">
        <v>380</v>
      </c>
      <c r="WU10" s="3"/>
      <c r="WV10">
        <f t="shared" si="103"/>
        <v>22</v>
      </c>
      <c r="WW10" t="s">
        <v>1802</v>
      </c>
      <c r="WX10" t="s">
        <v>2681</v>
      </c>
      <c r="WY10">
        <v>3.8825235366821289</v>
      </c>
      <c r="WZ10">
        <v>373</v>
      </c>
      <c r="XA10" s="2"/>
      <c r="XB10">
        <f t="shared" si="104"/>
        <v>28</v>
      </c>
      <c r="XC10" t="s">
        <v>2682</v>
      </c>
      <c r="XD10" t="s">
        <v>2683</v>
      </c>
      <c r="XE10">
        <v>31.219351291656491</v>
      </c>
      <c r="XF10">
        <v>308</v>
      </c>
      <c r="XG10" s="5"/>
      <c r="XH10">
        <f t="shared" si="105"/>
        <v>40</v>
      </c>
      <c r="XI10" t="s">
        <v>2684</v>
      </c>
      <c r="XJ10" t="s">
        <v>2685</v>
      </c>
      <c r="XK10">
        <v>40.832642793655403</v>
      </c>
      <c r="XL10">
        <v>331</v>
      </c>
      <c r="XM10" s="2"/>
      <c r="XN10">
        <f t="shared" si="106"/>
        <v>36</v>
      </c>
      <c r="XO10" t="s">
        <v>2686</v>
      </c>
      <c r="XP10" t="s">
        <v>2687</v>
      </c>
      <c r="XQ10">
        <v>36.707520484924324</v>
      </c>
      <c r="XR10">
        <v>383</v>
      </c>
      <c r="XS10" s="5"/>
      <c r="XT10">
        <f t="shared" si="107"/>
        <v>51</v>
      </c>
      <c r="XU10" t="s">
        <v>2688</v>
      </c>
      <c r="XV10" t="s">
        <v>2689</v>
      </c>
      <c r="XW10">
        <v>107.5017874240875</v>
      </c>
      <c r="XX10">
        <v>317</v>
      </c>
      <c r="XY10" s="2"/>
      <c r="XZ10">
        <f t="shared" si="108"/>
        <v>71</v>
      </c>
      <c r="YA10" t="s">
        <v>2690</v>
      </c>
      <c r="YB10" t="s">
        <v>2691</v>
      </c>
      <c r="YC10">
        <v>142.92975306510931</v>
      </c>
      <c r="YD10">
        <v>297</v>
      </c>
      <c r="YE10" s="5"/>
      <c r="YF10">
        <f t="shared" si="109"/>
        <v>34</v>
      </c>
      <c r="YG10" t="s">
        <v>2692</v>
      </c>
      <c r="YH10" t="s">
        <v>2693</v>
      </c>
      <c r="YI10">
        <v>36.543361186981201</v>
      </c>
      <c r="YJ10">
        <v>242</v>
      </c>
      <c r="YK10" s="2"/>
      <c r="YL10">
        <f t="shared" si="110"/>
        <v>46</v>
      </c>
      <c r="YM10" t="s">
        <v>2694</v>
      </c>
      <c r="YN10" t="s">
        <v>2695</v>
      </c>
      <c r="YO10">
        <v>22.766795873641971</v>
      </c>
      <c r="YP10">
        <v>255</v>
      </c>
      <c r="YQ10" s="5"/>
      <c r="YR10">
        <f t="shared" si="111"/>
        <v>22</v>
      </c>
      <c r="YS10" t="s">
        <v>2696</v>
      </c>
      <c r="YT10" t="s">
        <v>2697</v>
      </c>
      <c r="YU10">
        <v>6.4576597213745117</v>
      </c>
      <c r="YV10">
        <v>316</v>
      </c>
      <c r="YW10" s="2"/>
      <c r="YX10">
        <f t="shared" si="112"/>
        <v>32</v>
      </c>
      <c r="YY10" t="s">
        <v>2698</v>
      </c>
      <c r="YZ10" t="s">
        <v>2699</v>
      </c>
      <c r="ZA10">
        <v>12.213717460632321</v>
      </c>
      <c r="ZB10">
        <v>223</v>
      </c>
      <c r="ZC10" s="5"/>
      <c r="ZD10">
        <f t="shared" si="113"/>
        <v>29</v>
      </c>
      <c r="ZE10" t="s">
        <v>2700</v>
      </c>
      <c r="ZF10" t="s">
        <v>2701</v>
      </c>
      <c r="ZG10">
        <v>9.8743345737457275</v>
      </c>
      <c r="ZH10">
        <v>265</v>
      </c>
      <c r="ZI10" s="2"/>
      <c r="ZJ10">
        <f t="shared" si="114"/>
        <v>14</v>
      </c>
      <c r="ZK10" t="s">
        <v>673</v>
      </c>
      <c r="ZL10" t="s">
        <v>2702</v>
      </c>
      <c r="ZM10">
        <v>278.36111068725592</v>
      </c>
      <c r="ZN10">
        <v>256</v>
      </c>
      <c r="ZO10" s="5"/>
      <c r="ZP10">
        <f t="shared" si="115"/>
        <v>39</v>
      </c>
      <c r="ZQ10" t="s">
        <v>2703</v>
      </c>
      <c r="ZR10" t="s">
        <v>2704</v>
      </c>
      <c r="ZS10">
        <v>11.39621424674988</v>
      </c>
      <c r="ZT10">
        <v>368</v>
      </c>
      <c r="ZU10" s="2"/>
      <c r="ZV10">
        <f t="shared" si="116"/>
        <v>48</v>
      </c>
      <c r="ZW10" t="s">
        <v>2705</v>
      </c>
      <c r="ZX10" t="s">
        <v>2706</v>
      </c>
      <c r="ZY10">
        <v>36.777543306350708</v>
      </c>
      <c r="ZZ10">
        <v>171</v>
      </c>
      <c r="AAA10" s="5"/>
      <c r="AAB10">
        <f t="shared" si="117"/>
        <v>36</v>
      </c>
      <c r="AAC10" t="s">
        <v>2707</v>
      </c>
      <c r="AAD10" t="s">
        <v>2708</v>
      </c>
      <c r="AAE10">
        <v>8.1134498119354248</v>
      </c>
      <c r="AAF10">
        <v>311</v>
      </c>
      <c r="AAG10" s="2"/>
      <c r="AAH10">
        <f t="shared" si="118"/>
        <v>51</v>
      </c>
      <c r="AAI10" t="s">
        <v>2709</v>
      </c>
      <c r="AAJ10" t="s">
        <v>2710</v>
      </c>
      <c r="AAK10">
        <v>34.483315229415886</v>
      </c>
      <c r="AAL10">
        <v>367</v>
      </c>
      <c r="AAM10" s="5"/>
      <c r="AAN10">
        <f t="shared" si="119"/>
        <v>21</v>
      </c>
      <c r="AAO10" t="s">
        <v>2711</v>
      </c>
      <c r="AAP10" t="s">
        <v>2712</v>
      </c>
      <c r="AAQ10">
        <v>9.3465425968170166</v>
      </c>
      <c r="AAR10">
        <v>220</v>
      </c>
      <c r="AAS10" s="2"/>
      <c r="AAT10">
        <f t="shared" si="120"/>
        <v>28</v>
      </c>
      <c r="AAU10" t="s">
        <v>2713</v>
      </c>
      <c r="AAV10" t="s">
        <v>2714</v>
      </c>
      <c r="AAW10">
        <v>14.79903721809387</v>
      </c>
      <c r="AAX10">
        <v>280</v>
      </c>
      <c r="AAY10" s="5"/>
      <c r="AAZ10">
        <f t="shared" si="121"/>
        <v>59</v>
      </c>
      <c r="ABA10" t="s">
        <v>2715</v>
      </c>
      <c r="ABB10" t="s">
        <v>2716</v>
      </c>
      <c r="ABC10">
        <v>151.62070679664609</v>
      </c>
      <c r="ABD10">
        <v>309</v>
      </c>
      <c r="ABE10" s="2"/>
      <c r="ABF10">
        <f t="shared" si="122"/>
        <v>38</v>
      </c>
      <c r="ABG10" t="s">
        <v>843</v>
      </c>
      <c r="ABH10" t="s">
        <v>2717</v>
      </c>
      <c r="ABI10">
        <v>29.770437240600589</v>
      </c>
      <c r="ABJ10">
        <v>218</v>
      </c>
      <c r="ABK10" s="5"/>
      <c r="ABL10">
        <f t="shared" si="123"/>
        <v>38</v>
      </c>
      <c r="ABM10" t="s">
        <v>2718</v>
      </c>
      <c r="ABN10" t="s">
        <v>2719</v>
      </c>
      <c r="ABO10">
        <v>6.0410964488983154</v>
      </c>
      <c r="ABP10">
        <v>464</v>
      </c>
      <c r="ABQ10" s="2"/>
      <c r="ABR10">
        <f t="shared" si="124"/>
        <v>40</v>
      </c>
      <c r="ABS10" t="s">
        <v>2720</v>
      </c>
      <c r="ABT10" t="s">
        <v>2721</v>
      </c>
      <c r="ABU10">
        <v>43.062485218048103</v>
      </c>
      <c r="ABV10">
        <v>388</v>
      </c>
      <c r="ABW10" s="5"/>
      <c r="ABX10">
        <f t="shared" si="125"/>
        <v>25</v>
      </c>
      <c r="ABY10" t="s">
        <v>2722</v>
      </c>
      <c r="ABZ10" t="s">
        <v>2723</v>
      </c>
      <c r="ACA10">
        <v>9.3544940948486328</v>
      </c>
      <c r="ACB10">
        <v>205</v>
      </c>
      <c r="ACC10" s="2"/>
      <c r="ACD10">
        <f t="shared" si="126"/>
        <v>40</v>
      </c>
      <c r="ACE10" t="s">
        <v>2724</v>
      </c>
      <c r="ACF10" t="s">
        <v>2725</v>
      </c>
      <c r="ACG10">
        <v>22.759486436843869</v>
      </c>
      <c r="ACH10">
        <v>231</v>
      </c>
      <c r="ACI10" s="5"/>
      <c r="ACJ10">
        <f t="shared" si="127"/>
        <v>39</v>
      </c>
      <c r="ACK10" t="s">
        <v>2726</v>
      </c>
      <c r="ACL10" t="s">
        <v>2727</v>
      </c>
      <c r="ACM10">
        <v>33.30520224571228</v>
      </c>
      <c r="ACN10">
        <v>374</v>
      </c>
      <c r="ACO10" s="2"/>
      <c r="ACP10">
        <f t="shared" si="128"/>
        <v>30</v>
      </c>
      <c r="ACQ10" t="s">
        <v>2282</v>
      </c>
      <c r="ACR10" t="s">
        <v>2728</v>
      </c>
      <c r="ACS10">
        <v>18.216065883636471</v>
      </c>
      <c r="ACT10">
        <v>353</v>
      </c>
      <c r="ACU10" s="5"/>
      <c r="ACV10">
        <f t="shared" si="129"/>
        <v>23</v>
      </c>
      <c r="ACW10" t="s">
        <v>332</v>
      </c>
      <c r="ACX10" t="s">
        <v>2729</v>
      </c>
      <c r="ACY10">
        <v>4.4843378067016602</v>
      </c>
      <c r="ACZ10">
        <v>331</v>
      </c>
      <c r="ADA10" s="2"/>
      <c r="ADB10">
        <f t="shared" si="130"/>
        <v>60</v>
      </c>
      <c r="ADC10" t="s">
        <v>2730</v>
      </c>
      <c r="ADD10" t="s">
        <v>2731</v>
      </c>
      <c r="ADE10">
        <v>26.575739145278931</v>
      </c>
      <c r="ADF10">
        <v>348</v>
      </c>
      <c r="ADG10" s="5"/>
      <c r="ADH10">
        <f t="shared" si="131"/>
        <v>38</v>
      </c>
      <c r="ADI10" t="s">
        <v>2732</v>
      </c>
      <c r="ADJ10" t="s">
        <v>2733</v>
      </c>
      <c r="ADK10">
        <v>9.2285900115966797</v>
      </c>
      <c r="ADL10">
        <v>303</v>
      </c>
      <c r="ADM10" s="2"/>
      <c r="ADN10">
        <f t="shared" si="132"/>
        <v>54</v>
      </c>
      <c r="ADO10" t="s">
        <v>2734</v>
      </c>
      <c r="ADP10" t="s">
        <v>2735</v>
      </c>
      <c r="ADQ10">
        <v>40.955660343170173</v>
      </c>
      <c r="ADR10">
        <v>320</v>
      </c>
      <c r="ADS10" s="5"/>
      <c r="ADT10">
        <f t="shared" si="133"/>
        <v>26</v>
      </c>
      <c r="ADU10" t="s">
        <v>2736</v>
      </c>
      <c r="ADV10" t="s">
        <v>2737</v>
      </c>
      <c r="ADW10">
        <v>8.5966150760650635</v>
      </c>
      <c r="ADX10">
        <v>255</v>
      </c>
      <c r="ADY10" s="2"/>
      <c r="ADZ10">
        <f t="shared" si="134"/>
        <v>20</v>
      </c>
      <c r="AEA10" t="s">
        <v>2738</v>
      </c>
      <c r="AEB10" t="s">
        <v>2739</v>
      </c>
      <c r="AEC10">
        <v>19.095596551895142</v>
      </c>
      <c r="AED10">
        <v>248</v>
      </c>
      <c r="AEE10" s="5"/>
      <c r="AEF10">
        <f t="shared" si="135"/>
        <v>69</v>
      </c>
      <c r="AEG10" t="s">
        <v>2740</v>
      </c>
      <c r="AEH10" t="s">
        <v>2741</v>
      </c>
      <c r="AEI10">
        <v>209.35525727272031</v>
      </c>
      <c r="AEJ10">
        <v>290</v>
      </c>
      <c r="AEK10" s="2"/>
      <c r="AEL10">
        <f t="shared" si="136"/>
        <v>83</v>
      </c>
      <c r="AEM10" t="s">
        <v>2742</v>
      </c>
      <c r="AEN10" t="s">
        <v>2743</v>
      </c>
      <c r="AEO10">
        <v>47.89811897277832</v>
      </c>
      <c r="AEP10">
        <v>393</v>
      </c>
      <c r="AEQ10" s="5"/>
      <c r="AER10">
        <f t="shared" si="137"/>
        <v>35</v>
      </c>
      <c r="AES10" t="s">
        <v>2744</v>
      </c>
      <c r="AET10" t="s">
        <v>2745</v>
      </c>
      <c r="AEU10">
        <v>14.38006544113159</v>
      </c>
      <c r="AEV10">
        <v>302</v>
      </c>
      <c r="AEW10" s="2"/>
      <c r="AEX10">
        <f t="shared" si="138"/>
        <v>63</v>
      </c>
      <c r="AEY10" t="s">
        <v>2746</v>
      </c>
      <c r="AEZ10" t="s">
        <v>2747</v>
      </c>
      <c r="AFA10">
        <v>20.40043044090271</v>
      </c>
      <c r="AFB10">
        <v>231</v>
      </c>
      <c r="AFC10" s="5"/>
      <c r="AFD10">
        <f t="shared" si="139"/>
        <v>60</v>
      </c>
      <c r="AFE10" t="s">
        <v>2748</v>
      </c>
      <c r="AFF10" t="s">
        <v>2749</v>
      </c>
      <c r="AFG10">
        <v>16.918664693832401</v>
      </c>
      <c r="AFH10">
        <v>255</v>
      </c>
      <c r="AFI10" s="2"/>
      <c r="AFJ10">
        <f t="shared" si="140"/>
        <v>34</v>
      </c>
      <c r="AFK10" t="s">
        <v>1802</v>
      </c>
      <c r="AFL10" t="s">
        <v>2750</v>
      </c>
      <c r="AFM10">
        <v>11.28650379180908</v>
      </c>
      <c r="AFN10">
        <v>356</v>
      </c>
      <c r="AFO10" s="5"/>
      <c r="AFP10">
        <f t="shared" si="141"/>
        <v>48</v>
      </c>
      <c r="AFQ10" t="s">
        <v>2751</v>
      </c>
      <c r="AFR10" t="s">
        <v>2752</v>
      </c>
      <c r="AFS10">
        <v>52.254300832748413</v>
      </c>
      <c r="AFT10">
        <v>380</v>
      </c>
      <c r="AFU10" s="2"/>
      <c r="AFV10">
        <f t="shared" si="142"/>
        <v>28</v>
      </c>
      <c r="AFW10" t="s">
        <v>2753</v>
      </c>
      <c r="AFX10" t="s">
        <v>2754</v>
      </c>
      <c r="AFY10">
        <v>17.916974306106571</v>
      </c>
      <c r="AFZ10">
        <v>337</v>
      </c>
      <c r="AGA10" s="5"/>
      <c r="AGB10">
        <f t="shared" si="143"/>
        <v>63</v>
      </c>
      <c r="AGC10" t="s">
        <v>2755</v>
      </c>
      <c r="AGD10" t="s">
        <v>2756</v>
      </c>
      <c r="AGE10">
        <v>44.673714399337769</v>
      </c>
      <c r="AGF10">
        <v>335</v>
      </c>
      <c r="AGG10" s="2"/>
      <c r="AGH10">
        <f t="shared" si="144"/>
        <v>36</v>
      </c>
      <c r="AGI10" t="s">
        <v>2072</v>
      </c>
      <c r="AGJ10" t="s">
        <v>2757</v>
      </c>
      <c r="AGK10">
        <v>18.553062915801998</v>
      </c>
      <c r="AGL10">
        <v>244</v>
      </c>
      <c r="AGM10" s="5"/>
      <c r="AGN10">
        <f t="shared" si="145"/>
        <v>25</v>
      </c>
      <c r="AGO10" t="s">
        <v>2758</v>
      </c>
      <c r="AGP10" t="s">
        <v>2759</v>
      </c>
      <c r="AGQ10">
        <v>47.830100536346443</v>
      </c>
      <c r="AGR10">
        <v>320</v>
      </c>
      <c r="AGS10" s="2"/>
      <c r="AGT10">
        <f t="shared" si="146"/>
        <v>24</v>
      </c>
      <c r="AGU10" t="s">
        <v>2760</v>
      </c>
      <c r="AGV10" t="s">
        <v>2761</v>
      </c>
      <c r="AGW10">
        <v>49.415039300918579</v>
      </c>
      <c r="AGX10">
        <v>289</v>
      </c>
      <c r="AGY10" s="5"/>
      <c r="AGZ10">
        <f t="shared" si="147"/>
        <v>34</v>
      </c>
      <c r="AHA10" t="s">
        <v>2762</v>
      </c>
      <c r="AHB10" t="s">
        <v>2763</v>
      </c>
      <c r="AHC10">
        <v>14.4954240322113</v>
      </c>
      <c r="AHD10">
        <v>278</v>
      </c>
      <c r="AHE10" s="2"/>
      <c r="AHF10">
        <f t="shared" si="148"/>
        <v>24</v>
      </c>
      <c r="AHG10" t="s">
        <v>2764</v>
      </c>
      <c r="AHH10" t="s">
        <v>2765</v>
      </c>
      <c r="AHI10">
        <v>15.99537110328674</v>
      </c>
      <c r="AHJ10">
        <v>224</v>
      </c>
      <c r="AHK10" s="5"/>
      <c r="AHL10">
        <f t="shared" si="149"/>
        <v>18</v>
      </c>
      <c r="AHM10" t="s">
        <v>692</v>
      </c>
      <c r="AHN10" t="s">
        <v>2766</v>
      </c>
      <c r="AHO10">
        <v>4.6130154132843018</v>
      </c>
      <c r="AHP10">
        <v>318</v>
      </c>
      <c r="AHQ10" s="2"/>
      <c r="AHR10">
        <f t="shared" si="150"/>
        <v>72</v>
      </c>
      <c r="AHS10" t="s">
        <v>2767</v>
      </c>
      <c r="AHT10" t="s">
        <v>2768</v>
      </c>
      <c r="AHU10">
        <v>27.040857791900631</v>
      </c>
      <c r="AHV10">
        <v>291</v>
      </c>
      <c r="AHW10" s="5"/>
      <c r="AHX10">
        <f t="shared" si="151"/>
        <v>18</v>
      </c>
      <c r="AHY10" t="s">
        <v>1124</v>
      </c>
      <c r="AHZ10" t="s">
        <v>2769</v>
      </c>
      <c r="AIA10">
        <v>4.2654545307159424</v>
      </c>
      <c r="AIB10">
        <v>219</v>
      </c>
      <c r="AIC10" s="2"/>
      <c r="AID10">
        <f t="shared" si="152"/>
        <v>78</v>
      </c>
      <c r="AIE10" t="s">
        <v>2770</v>
      </c>
      <c r="AIF10" t="s">
        <v>2771</v>
      </c>
      <c r="AIG10">
        <v>456.94888758659363</v>
      </c>
      <c r="AIH10">
        <v>375</v>
      </c>
      <c r="AII10" s="5"/>
      <c r="AIJ10">
        <f t="shared" si="153"/>
        <v>36</v>
      </c>
      <c r="AIK10" t="s">
        <v>2772</v>
      </c>
      <c r="AIL10" t="s">
        <v>2773</v>
      </c>
      <c r="AIM10">
        <v>20.058693170547489</v>
      </c>
      <c r="AIN10">
        <v>283</v>
      </c>
      <c r="AIO10" s="2"/>
      <c r="AIP10">
        <f t="shared" si="154"/>
        <v>85</v>
      </c>
      <c r="AIQ10" t="s">
        <v>2774</v>
      </c>
      <c r="AIR10" t="s">
        <v>2775</v>
      </c>
      <c r="AIS10">
        <v>225.65464210510251</v>
      </c>
      <c r="AIT10">
        <v>392</v>
      </c>
      <c r="AIU10" s="5"/>
      <c r="AIV10">
        <f t="shared" si="155"/>
        <v>22</v>
      </c>
      <c r="AIW10" t="s">
        <v>2776</v>
      </c>
      <c r="AIX10" t="s">
        <v>2777</v>
      </c>
      <c r="AIY10">
        <v>6.5264718532562256</v>
      </c>
      <c r="AIZ10">
        <v>261</v>
      </c>
      <c r="AJA10" s="2"/>
      <c r="AJB10">
        <f t="shared" si="156"/>
        <v>22</v>
      </c>
      <c r="AJC10" t="s">
        <v>2778</v>
      </c>
      <c r="AJD10" t="s">
        <v>2779</v>
      </c>
      <c r="AJE10">
        <v>18.732058763504028</v>
      </c>
      <c r="AJF10">
        <v>236</v>
      </c>
      <c r="AJG10" s="5"/>
      <c r="AJH10">
        <f t="shared" si="157"/>
        <v>35</v>
      </c>
      <c r="AJI10" t="s">
        <v>1413</v>
      </c>
      <c r="AJJ10" t="s">
        <v>2780</v>
      </c>
      <c r="AJK10">
        <v>37.217966318130493</v>
      </c>
      <c r="AJL10">
        <v>232</v>
      </c>
      <c r="AJM10" s="2"/>
      <c r="AJN10">
        <f t="shared" si="158"/>
        <v>34</v>
      </c>
      <c r="AJO10" t="s">
        <v>2781</v>
      </c>
      <c r="AJP10" t="s">
        <v>2782</v>
      </c>
      <c r="AJQ10">
        <v>19.791418790817261</v>
      </c>
      <c r="AJR10">
        <v>425</v>
      </c>
      <c r="AJS10" s="5"/>
      <c r="AJT10">
        <f t="shared" si="159"/>
        <v>21</v>
      </c>
      <c r="AJU10" t="s">
        <v>2783</v>
      </c>
      <c r="AJV10" t="s">
        <v>2784</v>
      </c>
      <c r="AJW10">
        <v>17.870981693267819</v>
      </c>
      <c r="AJX10">
        <v>375</v>
      </c>
      <c r="AJY10" s="2"/>
      <c r="AJZ10">
        <f t="shared" si="160"/>
        <v>31</v>
      </c>
      <c r="AKA10" t="s">
        <v>2785</v>
      </c>
      <c r="AKB10" t="s">
        <v>2786</v>
      </c>
      <c r="AKC10">
        <v>23.895019769668579</v>
      </c>
      <c r="AKD10">
        <v>375</v>
      </c>
      <c r="AKE10" s="5"/>
      <c r="AKF10">
        <f t="shared" si="161"/>
        <v>55</v>
      </c>
      <c r="AKG10" t="s">
        <v>2787</v>
      </c>
      <c r="AKH10" t="s">
        <v>2788</v>
      </c>
      <c r="AKI10">
        <v>23.920831441879269</v>
      </c>
      <c r="AKJ10">
        <v>404</v>
      </c>
      <c r="AKK10" s="2"/>
      <c r="AKL10">
        <f t="shared" si="162"/>
        <v>40</v>
      </c>
      <c r="AKM10" t="s">
        <v>2789</v>
      </c>
      <c r="AKN10" t="s">
        <v>2790</v>
      </c>
      <c r="AKO10">
        <v>44.170310735702508</v>
      </c>
      <c r="AKP10">
        <v>303</v>
      </c>
      <c r="AKQ10" s="5"/>
      <c r="AKR10">
        <f t="shared" si="163"/>
        <v>46</v>
      </c>
      <c r="AKS10" t="s">
        <v>2791</v>
      </c>
      <c r="AKT10" t="s">
        <v>2792</v>
      </c>
      <c r="AKU10">
        <v>20.01168584823608</v>
      </c>
      <c r="AKV10">
        <v>291</v>
      </c>
      <c r="AKW10" s="2"/>
      <c r="AKX10">
        <f t="shared" si="164"/>
        <v>33</v>
      </c>
      <c r="AKY10" t="s">
        <v>2793</v>
      </c>
      <c r="AKZ10" t="s">
        <v>2794</v>
      </c>
      <c r="ALA10">
        <v>29.694123983383179</v>
      </c>
      <c r="ALB10">
        <v>401</v>
      </c>
      <c r="ALC10" s="5"/>
      <c r="ALD10">
        <f t="shared" si="165"/>
        <v>30</v>
      </c>
      <c r="ALE10" t="s">
        <v>2795</v>
      </c>
      <c r="ALF10" t="s">
        <v>2796</v>
      </c>
      <c r="ALG10">
        <v>14.59444522857666</v>
      </c>
      <c r="ALH10">
        <v>304</v>
      </c>
      <c r="ALI10" s="2"/>
      <c r="ALJ10">
        <f t="shared" si="166"/>
        <v>22</v>
      </c>
      <c r="ALK10" t="s">
        <v>2797</v>
      </c>
      <c r="ALL10" t="s">
        <v>2798</v>
      </c>
      <c r="ALM10">
        <v>15.92871928215027</v>
      </c>
      <c r="ALN10">
        <v>283</v>
      </c>
      <c r="ALO10" s="5"/>
      <c r="ALP10">
        <f t="shared" si="167"/>
        <v>25</v>
      </c>
      <c r="ALQ10" t="s">
        <v>2799</v>
      </c>
      <c r="ALR10" t="s">
        <v>2800</v>
      </c>
      <c r="ALS10">
        <v>8.9350481033325195</v>
      </c>
      <c r="ALT10">
        <v>192</v>
      </c>
      <c r="ALU10" s="2"/>
      <c r="ALV10">
        <f t="shared" si="168"/>
        <v>26</v>
      </c>
      <c r="ALW10" t="s">
        <v>2801</v>
      </c>
      <c r="ALX10" t="s">
        <v>2802</v>
      </c>
      <c r="ALY10">
        <v>16.126465320587162</v>
      </c>
      <c r="ALZ10">
        <v>290</v>
      </c>
      <c r="AMA10" s="5"/>
      <c r="AMB10">
        <f t="shared" si="169"/>
        <v>44</v>
      </c>
      <c r="AMC10" t="s">
        <v>2803</v>
      </c>
      <c r="AMD10" t="s">
        <v>2804</v>
      </c>
      <c r="AME10">
        <v>29.924408674240109</v>
      </c>
      <c r="AMF10">
        <v>279</v>
      </c>
      <c r="AMG10" s="2"/>
      <c r="AMH10">
        <f t="shared" si="170"/>
        <v>31</v>
      </c>
      <c r="AMI10" t="s">
        <v>873</v>
      </c>
      <c r="AMJ10" t="s">
        <v>2805</v>
      </c>
      <c r="AMK10">
        <v>19.997025012969971</v>
      </c>
      <c r="AML10">
        <v>457</v>
      </c>
      <c r="AMM10" s="5"/>
      <c r="AMN10">
        <f t="shared" si="171"/>
        <v>37</v>
      </c>
      <c r="AMO10" t="s">
        <v>2762</v>
      </c>
      <c r="AMP10" t="s">
        <v>2806</v>
      </c>
      <c r="AMQ10">
        <v>19.189701080322269</v>
      </c>
      <c r="AMR10">
        <v>357</v>
      </c>
      <c r="AMS10" s="2"/>
      <c r="AMT10">
        <f t="shared" si="172"/>
        <v>70</v>
      </c>
      <c r="AMU10" t="s">
        <v>2807</v>
      </c>
      <c r="AMV10" t="s">
        <v>2808</v>
      </c>
      <c r="AMW10">
        <v>49.671463966369629</v>
      </c>
      <c r="AMX10">
        <v>430</v>
      </c>
      <c r="AMY10" s="5"/>
      <c r="AMZ10">
        <f t="shared" si="173"/>
        <v>57</v>
      </c>
      <c r="ANA10" t="s">
        <v>2809</v>
      </c>
      <c r="ANB10" t="s">
        <v>2810</v>
      </c>
      <c r="ANC10">
        <v>24.554728507995609</v>
      </c>
      <c r="AND10">
        <v>311</v>
      </c>
      <c r="ANE10" s="2"/>
      <c r="ANF10">
        <f t="shared" si="174"/>
        <v>39</v>
      </c>
      <c r="ANG10" t="s">
        <v>2811</v>
      </c>
      <c r="ANH10" t="s">
        <v>2812</v>
      </c>
      <c r="ANI10">
        <v>16.427535057067871</v>
      </c>
      <c r="ANJ10">
        <v>390</v>
      </c>
      <c r="ANK10" s="5"/>
      <c r="ANL10">
        <f t="shared" si="175"/>
        <v>32</v>
      </c>
      <c r="ANM10" t="s">
        <v>2813</v>
      </c>
      <c r="ANN10" t="s">
        <v>2814</v>
      </c>
      <c r="ANO10">
        <v>30.390677690505981</v>
      </c>
      <c r="ANP10">
        <v>262</v>
      </c>
      <c r="ANQ10" s="2"/>
      <c r="ANR10">
        <f t="shared" si="176"/>
        <v>28</v>
      </c>
      <c r="ANS10" t="s">
        <v>131</v>
      </c>
      <c r="ANT10" t="s">
        <v>2815</v>
      </c>
      <c r="ANU10">
        <v>23.135118007659909</v>
      </c>
      <c r="ANV10">
        <v>312</v>
      </c>
      <c r="ANW10" s="5"/>
      <c r="ANX10">
        <f t="shared" si="177"/>
        <v>35</v>
      </c>
      <c r="ANY10" t="s">
        <v>2816</v>
      </c>
      <c r="ANZ10" t="s">
        <v>2817</v>
      </c>
      <c r="AOA10">
        <v>16.599801778793331</v>
      </c>
      <c r="AOB10">
        <v>296</v>
      </c>
      <c r="AOC10" s="2"/>
      <c r="AOD10">
        <f t="shared" si="178"/>
        <v>88</v>
      </c>
      <c r="AOE10" t="s">
        <v>2818</v>
      </c>
      <c r="AOF10" t="s">
        <v>2819</v>
      </c>
      <c r="AOG10">
        <v>164.8153102397919</v>
      </c>
      <c r="AOH10">
        <v>376</v>
      </c>
      <c r="AOI10" s="5"/>
      <c r="AOJ10">
        <f t="shared" si="179"/>
        <v>31</v>
      </c>
      <c r="AOK10" t="s">
        <v>2820</v>
      </c>
      <c r="AOL10" t="s">
        <v>2821</v>
      </c>
      <c r="AOM10">
        <v>8.3299438953399658</v>
      </c>
      <c r="AON10">
        <v>350</v>
      </c>
      <c r="AOO10" s="2"/>
      <c r="AOP10">
        <f t="shared" si="180"/>
        <v>113</v>
      </c>
      <c r="AOQ10" t="s">
        <v>2822</v>
      </c>
      <c r="AOR10" t="s">
        <v>2823</v>
      </c>
      <c r="AOS10">
        <v>22.149892091751099</v>
      </c>
      <c r="AOT10">
        <v>511</v>
      </c>
      <c r="AOU10" s="5"/>
      <c r="AOV10">
        <f t="shared" si="181"/>
        <v>34</v>
      </c>
      <c r="AOW10" t="s">
        <v>2824</v>
      </c>
      <c r="AOX10" t="s">
        <v>2825</v>
      </c>
      <c r="AOY10">
        <v>11.515970230102541</v>
      </c>
      <c r="AOZ10">
        <v>283</v>
      </c>
      <c r="APA10" s="2"/>
      <c r="APB10">
        <f t="shared" si="182"/>
        <v>93</v>
      </c>
      <c r="APC10" t="s">
        <v>2826</v>
      </c>
      <c r="APD10" t="s">
        <v>2827</v>
      </c>
      <c r="APE10">
        <v>132.6930787563324</v>
      </c>
      <c r="APF10">
        <v>368</v>
      </c>
      <c r="APG10" s="5"/>
      <c r="APH10">
        <f t="shared" si="183"/>
        <v>34</v>
      </c>
      <c r="API10" t="s">
        <v>2828</v>
      </c>
      <c r="APJ10" t="s">
        <v>2829</v>
      </c>
      <c r="APK10">
        <v>20.02548623085022</v>
      </c>
      <c r="APL10">
        <v>366</v>
      </c>
      <c r="APM10" s="2"/>
      <c r="APN10">
        <f t="shared" si="184"/>
        <v>36</v>
      </c>
      <c r="APO10" t="s">
        <v>1806</v>
      </c>
      <c r="APP10" t="s">
        <v>2830</v>
      </c>
      <c r="APQ10">
        <v>18.709352970123291</v>
      </c>
      <c r="APR10">
        <v>294</v>
      </c>
      <c r="APS10" s="5"/>
      <c r="APT10">
        <f t="shared" si="185"/>
        <v>33</v>
      </c>
      <c r="APU10" t="s">
        <v>2831</v>
      </c>
      <c r="APV10" t="s">
        <v>2832</v>
      </c>
      <c r="APW10">
        <v>16.985362768173221</v>
      </c>
      <c r="APX10">
        <v>399</v>
      </c>
      <c r="APY10" s="2"/>
      <c r="APZ10">
        <f t="shared" si="186"/>
        <v>94</v>
      </c>
      <c r="AQA10" t="s">
        <v>2833</v>
      </c>
      <c r="AQB10" t="s">
        <v>2834</v>
      </c>
      <c r="AQC10">
        <v>43.608136177062988</v>
      </c>
      <c r="AQD10">
        <v>389</v>
      </c>
      <c r="AQE10" s="5"/>
      <c r="AQF10">
        <f t="shared" si="187"/>
        <v>84</v>
      </c>
      <c r="AQG10" t="s">
        <v>2835</v>
      </c>
      <c r="AQH10" t="s">
        <v>2836</v>
      </c>
      <c r="AQI10">
        <v>8.4153730869293213</v>
      </c>
      <c r="AQJ10">
        <v>399</v>
      </c>
      <c r="AQK10" s="2"/>
      <c r="AQL10">
        <f t="shared" si="188"/>
        <v>21</v>
      </c>
      <c r="AQM10" t="s">
        <v>2837</v>
      </c>
      <c r="AQN10" t="s">
        <v>2838</v>
      </c>
      <c r="AQO10">
        <v>322.9805474281311</v>
      </c>
      <c r="AQP10">
        <v>341</v>
      </c>
      <c r="AQQ10" s="5"/>
      <c r="AQR10">
        <f t="shared" si="189"/>
        <v>63</v>
      </c>
      <c r="AQS10" t="s">
        <v>2839</v>
      </c>
      <c r="AQT10" t="s">
        <v>2840</v>
      </c>
      <c r="AQU10">
        <v>36.548891067504883</v>
      </c>
      <c r="AQV10">
        <v>345</v>
      </c>
      <c r="AQW10" s="2"/>
      <c r="AQX10">
        <f t="shared" si="190"/>
        <v>78</v>
      </c>
      <c r="AQY10" t="s">
        <v>2841</v>
      </c>
      <c r="AQZ10" t="s">
        <v>2842</v>
      </c>
      <c r="ARA10">
        <v>43.369526386260993</v>
      </c>
      <c r="ARB10">
        <v>329</v>
      </c>
      <c r="ARC10" s="5"/>
      <c r="ARD10">
        <f t="shared" si="191"/>
        <v>34</v>
      </c>
      <c r="ARE10" t="s">
        <v>2843</v>
      </c>
      <c r="ARF10" t="s">
        <v>2844</v>
      </c>
      <c r="ARG10">
        <v>22.910338163375851</v>
      </c>
      <c r="ARH10">
        <v>341</v>
      </c>
      <c r="ARI10" s="2"/>
      <c r="ARJ10">
        <f t="shared" si="192"/>
        <v>32</v>
      </c>
      <c r="ARK10" t="s">
        <v>2845</v>
      </c>
      <c r="ARL10" t="s">
        <v>2846</v>
      </c>
      <c r="ARM10">
        <v>24.16453218460083</v>
      </c>
      <c r="ARN10">
        <v>194</v>
      </c>
      <c r="ARO10" s="5"/>
      <c r="ARP10">
        <f t="shared" si="193"/>
        <v>30</v>
      </c>
      <c r="ARQ10" t="s">
        <v>2847</v>
      </c>
      <c r="ARR10" t="s">
        <v>2848</v>
      </c>
      <c r="ARS10">
        <v>6.3696906566619873</v>
      </c>
      <c r="ART10">
        <v>273</v>
      </c>
      <c r="ARU10" s="2"/>
      <c r="ARV10">
        <f t="shared" si="194"/>
        <v>16</v>
      </c>
      <c r="ARW10" t="s">
        <v>2849</v>
      </c>
      <c r="ARX10" t="s">
        <v>2850</v>
      </c>
      <c r="ARY10">
        <v>47.86742377281189</v>
      </c>
      <c r="ARZ10">
        <v>369</v>
      </c>
      <c r="ASA10" s="5"/>
      <c r="ASB10">
        <f t="shared" si="195"/>
        <v>30</v>
      </c>
      <c r="ASC10" t="s">
        <v>2851</v>
      </c>
      <c r="ASD10" t="s">
        <v>2852</v>
      </c>
      <c r="ASE10">
        <v>15.663201570510861</v>
      </c>
      <c r="ASF10">
        <v>304</v>
      </c>
      <c r="ASG10" s="2"/>
      <c r="ASH10">
        <f t="shared" si="196"/>
        <v>25</v>
      </c>
      <c r="ASI10" t="s">
        <v>2853</v>
      </c>
      <c r="ASJ10" t="s">
        <v>2854</v>
      </c>
      <c r="ASK10">
        <v>29.130520820617679</v>
      </c>
      <c r="ASL10">
        <v>344</v>
      </c>
      <c r="ASM10" s="5"/>
      <c r="ASN10">
        <f t="shared" si="197"/>
        <v>24</v>
      </c>
      <c r="ASO10" t="s">
        <v>2855</v>
      </c>
      <c r="ASP10" t="s">
        <v>2856</v>
      </c>
      <c r="ASQ10">
        <v>4.8204231262207031</v>
      </c>
      <c r="ASR10">
        <v>271</v>
      </c>
      <c r="ASS10" s="2"/>
      <c r="AST10">
        <f t="shared" si="198"/>
        <v>13</v>
      </c>
      <c r="ASU10" t="s">
        <v>2857</v>
      </c>
      <c r="ASV10" t="s">
        <v>2858</v>
      </c>
      <c r="ASW10">
        <v>15.564662933349609</v>
      </c>
      <c r="ASX10">
        <v>219</v>
      </c>
      <c r="ASY10" s="5"/>
      <c r="ASZ10">
        <f t="shared" si="199"/>
        <v>30</v>
      </c>
      <c r="ATA10" t="s">
        <v>2859</v>
      </c>
      <c r="ATB10" t="s">
        <v>2860</v>
      </c>
      <c r="ATC10">
        <v>6.1721537113189697</v>
      </c>
      <c r="ATD10">
        <v>191</v>
      </c>
      <c r="ATE10" s="2"/>
      <c r="ATF10">
        <f t="shared" si="200"/>
        <v>36</v>
      </c>
      <c r="ATG10" t="s">
        <v>2861</v>
      </c>
      <c r="ATH10" t="s">
        <v>2862</v>
      </c>
      <c r="ATI10">
        <v>32.577523946762078</v>
      </c>
      <c r="ATJ10">
        <v>376</v>
      </c>
      <c r="ATK10" s="5"/>
      <c r="ATL10">
        <f t="shared" si="201"/>
        <v>45</v>
      </c>
      <c r="ATM10" t="s">
        <v>2863</v>
      </c>
      <c r="ATN10" t="s">
        <v>2864</v>
      </c>
      <c r="ATO10">
        <v>11.495688438415529</v>
      </c>
      <c r="ATP10">
        <v>392</v>
      </c>
      <c r="ATQ10" s="2"/>
      <c r="ATR10">
        <f t="shared" si="202"/>
        <v>34</v>
      </c>
      <c r="ATS10" t="s">
        <v>2865</v>
      </c>
      <c r="ATT10" t="s">
        <v>2866</v>
      </c>
      <c r="ATU10">
        <v>36.862883329391479</v>
      </c>
      <c r="ATV10">
        <v>309</v>
      </c>
      <c r="ATW10" s="5"/>
      <c r="ATX10">
        <f t="shared" si="203"/>
        <v>26</v>
      </c>
      <c r="ATY10" t="s">
        <v>2867</v>
      </c>
      <c r="ATZ10" t="s">
        <v>2868</v>
      </c>
      <c r="AUA10">
        <v>23.725735187530521</v>
      </c>
      <c r="AUB10">
        <v>427</v>
      </c>
      <c r="AUC10" s="2"/>
    </row>
    <row r="11" spans="2:1225" x14ac:dyDescent="0.25">
      <c r="B11">
        <f t="shared" si="0"/>
        <v>14</v>
      </c>
      <c r="C11" t="s">
        <v>2869</v>
      </c>
      <c r="D11" t="s">
        <v>2870</v>
      </c>
      <c r="E11">
        <v>3.736025333404541</v>
      </c>
      <c r="F11">
        <v>204</v>
      </c>
      <c r="G11" s="1"/>
      <c r="H11">
        <f t="shared" si="1"/>
        <v>22</v>
      </c>
      <c r="I11" t="s">
        <v>2871</v>
      </c>
      <c r="J11" t="s">
        <v>2872</v>
      </c>
      <c r="K11">
        <v>16.589716672897339</v>
      </c>
      <c r="L11">
        <v>429</v>
      </c>
      <c r="M11" s="2"/>
      <c r="N11">
        <f t="shared" si="2"/>
        <v>42</v>
      </c>
      <c r="O11" t="s">
        <v>2873</v>
      </c>
      <c r="P11" t="s">
        <v>2874</v>
      </c>
      <c r="Q11">
        <v>12.33027362823486</v>
      </c>
      <c r="R11">
        <v>325</v>
      </c>
      <c r="S11" s="1"/>
      <c r="T11">
        <f t="shared" si="3"/>
        <v>30</v>
      </c>
      <c r="U11" t="s">
        <v>2875</v>
      </c>
      <c r="V11" t="s">
        <v>2876</v>
      </c>
      <c r="W11">
        <v>35.092710494995117</v>
      </c>
      <c r="X11">
        <v>461</v>
      </c>
      <c r="Y11" s="2"/>
      <c r="Z11">
        <f t="shared" si="4"/>
        <v>20</v>
      </c>
      <c r="AA11" t="s">
        <v>1345</v>
      </c>
      <c r="AB11" t="s">
        <v>2877</v>
      </c>
      <c r="AC11">
        <v>10.155063152313231</v>
      </c>
      <c r="AD11">
        <v>214</v>
      </c>
      <c r="AE11" s="1"/>
      <c r="AF11">
        <f t="shared" si="5"/>
        <v>20</v>
      </c>
      <c r="AG11" t="s">
        <v>569</v>
      </c>
      <c r="AH11" t="s">
        <v>2878</v>
      </c>
      <c r="AI11">
        <v>31.303599119186401</v>
      </c>
      <c r="AJ11">
        <v>295</v>
      </c>
      <c r="AK11" s="2"/>
      <c r="AL11">
        <f t="shared" si="6"/>
        <v>37</v>
      </c>
      <c r="AM11" t="s">
        <v>1955</v>
      </c>
      <c r="AN11" t="s">
        <v>2879</v>
      </c>
      <c r="AO11">
        <v>10.221055269241329</v>
      </c>
      <c r="AP11">
        <v>345</v>
      </c>
      <c r="AQ11" s="1"/>
      <c r="AR11">
        <f t="shared" si="7"/>
        <v>48</v>
      </c>
      <c r="AS11" t="s">
        <v>2880</v>
      </c>
      <c r="AT11" t="s">
        <v>2881</v>
      </c>
      <c r="AU11">
        <v>45.756313800811768</v>
      </c>
      <c r="AV11">
        <v>508</v>
      </c>
      <c r="AW11" s="2"/>
      <c r="AX11">
        <f t="shared" si="8"/>
        <v>34</v>
      </c>
      <c r="AY11" t="s">
        <v>2882</v>
      </c>
      <c r="AZ11" t="s">
        <v>2883</v>
      </c>
      <c r="BA11">
        <v>21.196107149124149</v>
      </c>
      <c r="BB11">
        <v>286</v>
      </c>
      <c r="BC11" s="1"/>
      <c r="BD11">
        <f t="shared" si="9"/>
        <v>39</v>
      </c>
      <c r="BE11" t="s">
        <v>1238</v>
      </c>
      <c r="BF11" t="s">
        <v>2884</v>
      </c>
      <c r="BG11">
        <v>25.943009614944462</v>
      </c>
      <c r="BH11">
        <v>369</v>
      </c>
      <c r="BI11" s="2"/>
      <c r="BJ11">
        <f t="shared" si="10"/>
        <v>66</v>
      </c>
      <c r="BK11" t="s">
        <v>2885</v>
      </c>
      <c r="BL11" t="s">
        <v>2886</v>
      </c>
      <c r="BM11">
        <v>35.820308685302727</v>
      </c>
      <c r="BN11">
        <v>300</v>
      </c>
      <c r="BO11" s="1"/>
      <c r="BP11">
        <f t="shared" si="11"/>
        <v>37</v>
      </c>
      <c r="BQ11" t="s">
        <v>2887</v>
      </c>
      <c r="BR11" t="s">
        <v>2888</v>
      </c>
      <c r="BS11">
        <v>37.428037881851203</v>
      </c>
      <c r="BT11">
        <v>377</v>
      </c>
      <c r="BU11" s="2"/>
      <c r="BV11">
        <f t="shared" si="12"/>
        <v>32</v>
      </c>
      <c r="BW11" t="s">
        <v>137</v>
      </c>
      <c r="BX11" t="s">
        <v>2889</v>
      </c>
      <c r="BY11">
        <v>5.6792056560516357</v>
      </c>
      <c r="BZ11">
        <v>543</v>
      </c>
      <c r="CA11" s="1"/>
      <c r="CB11">
        <f t="shared" si="13"/>
        <v>28</v>
      </c>
      <c r="CC11" t="s">
        <v>1784</v>
      </c>
      <c r="CD11" t="s">
        <v>2890</v>
      </c>
      <c r="CE11">
        <v>19.67640209197998</v>
      </c>
      <c r="CF11">
        <v>376</v>
      </c>
      <c r="CG11" s="2"/>
      <c r="CH11">
        <f t="shared" si="14"/>
        <v>57</v>
      </c>
      <c r="CI11" t="s">
        <v>2891</v>
      </c>
      <c r="CJ11" t="s">
        <v>2892</v>
      </c>
      <c r="CK11">
        <v>28.710337162017819</v>
      </c>
      <c r="CL11">
        <v>394</v>
      </c>
      <c r="CM11" s="1"/>
      <c r="CN11">
        <f t="shared" si="15"/>
        <v>8</v>
      </c>
      <c r="CO11" t="s">
        <v>2549</v>
      </c>
      <c r="CP11" t="s">
        <v>2893</v>
      </c>
      <c r="CQ11">
        <v>20.39140701293945</v>
      </c>
      <c r="CR11">
        <v>350</v>
      </c>
      <c r="CS11" s="2"/>
      <c r="CT11">
        <f t="shared" si="16"/>
        <v>36</v>
      </c>
      <c r="CU11" t="s">
        <v>2894</v>
      </c>
      <c r="CV11" t="s">
        <v>2895</v>
      </c>
      <c r="CW11">
        <v>25.148385763168331</v>
      </c>
      <c r="CX11">
        <v>316</v>
      </c>
      <c r="CY11" s="1"/>
      <c r="CZ11">
        <f t="shared" si="17"/>
        <v>36</v>
      </c>
      <c r="DA11" t="s">
        <v>2896</v>
      </c>
      <c r="DB11" t="s">
        <v>2897</v>
      </c>
      <c r="DC11">
        <v>25.547868728637699</v>
      </c>
      <c r="DD11">
        <v>404</v>
      </c>
      <c r="DE11" s="2"/>
      <c r="DF11">
        <f t="shared" si="18"/>
        <v>21</v>
      </c>
      <c r="DG11" t="s">
        <v>2898</v>
      </c>
      <c r="DH11" t="s">
        <v>2899</v>
      </c>
      <c r="DI11">
        <v>14.5801842212677</v>
      </c>
      <c r="DJ11">
        <v>381</v>
      </c>
      <c r="DK11" s="1"/>
      <c r="DL11">
        <f t="shared" si="19"/>
        <v>43</v>
      </c>
      <c r="DM11" t="s">
        <v>2900</v>
      </c>
      <c r="DN11" t="s">
        <v>2901</v>
      </c>
      <c r="DO11">
        <v>45.768795728683472</v>
      </c>
      <c r="DP11">
        <v>347</v>
      </c>
      <c r="DQ11" s="2"/>
      <c r="DR11">
        <f t="shared" si="20"/>
        <v>24</v>
      </c>
      <c r="DS11" t="s">
        <v>1005</v>
      </c>
      <c r="DT11" t="s">
        <v>2902</v>
      </c>
      <c r="DU11">
        <v>6.859234094619751</v>
      </c>
      <c r="DV11">
        <v>370</v>
      </c>
      <c r="DW11" s="1"/>
      <c r="DX11">
        <f t="shared" si="21"/>
        <v>23</v>
      </c>
      <c r="DY11" t="s">
        <v>2903</v>
      </c>
      <c r="DZ11" t="s">
        <v>2904</v>
      </c>
      <c r="EA11">
        <v>28.818589925765991</v>
      </c>
      <c r="EB11">
        <v>312</v>
      </c>
      <c r="EC11" s="2"/>
      <c r="ED11">
        <f t="shared" si="22"/>
        <v>38</v>
      </c>
      <c r="EE11" t="s">
        <v>2905</v>
      </c>
      <c r="EF11" t="s">
        <v>2906</v>
      </c>
      <c r="EG11">
        <v>17.614392518997189</v>
      </c>
      <c r="EH11">
        <v>263</v>
      </c>
      <c r="EI11" s="1"/>
      <c r="EJ11">
        <f t="shared" si="23"/>
        <v>102</v>
      </c>
      <c r="EK11" t="s">
        <v>2907</v>
      </c>
      <c r="EL11" t="s">
        <v>2908</v>
      </c>
      <c r="EM11">
        <v>212.55067682266241</v>
      </c>
      <c r="EN11">
        <v>416</v>
      </c>
      <c r="EO11" s="2"/>
      <c r="EP11">
        <f t="shared" si="24"/>
        <v>25</v>
      </c>
      <c r="EQ11" t="s">
        <v>2909</v>
      </c>
      <c r="ER11" t="s">
        <v>2910</v>
      </c>
      <c r="ES11">
        <v>21.035734176635739</v>
      </c>
      <c r="ET11">
        <v>266</v>
      </c>
      <c r="EU11" s="1"/>
      <c r="EV11">
        <f t="shared" si="25"/>
        <v>66</v>
      </c>
      <c r="EW11" t="s">
        <v>2911</v>
      </c>
      <c r="EX11" t="s">
        <v>2912</v>
      </c>
      <c r="EY11">
        <v>31.480553150176998</v>
      </c>
      <c r="EZ11">
        <v>360</v>
      </c>
      <c r="FA11" s="2"/>
      <c r="FB11">
        <f t="shared" si="26"/>
        <v>60</v>
      </c>
      <c r="FC11" t="s">
        <v>2913</v>
      </c>
      <c r="FD11" t="s">
        <v>2914</v>
      </c>
      <c r="FE11">
        <v>284.06029462814331</v>
      </c>
      <c r="FF11">
        <v>403</v>
      </c>
      <c r="FG11" s="1"/>
      <c r="FH11">
        <f t="shared" si="27"/>
        <v>28</v>
      </c>
      <c r="FI11" t="s">
        <v>2915</v>
      </c>
      <c r="FJ11" t="s">
        <v>2916</v>
      </c>
      <c r="FK11">
        <v>20.710101366043091</v>
      </c>
      <c r="FL11">
        <v>329</v>
      </c>
      <c r="FM11" s="2"/>
      <c r="FN11">
        <f t="shared" si="28"/>
        <v>25</v>
      </c>
      <c r="FO11" t="s">
        <v>2398</v>
      </c>
      <c r="FP11" t="s">
        <v>2917</v>
      </c>
      <c r="FQ11">
        <v>10.195623636245729</v>
      </c>
      <c r="FR11">
        <v>433</v>
      </c>
      <c r="FS11" s="1"/>
      <c r="FT11">
        <f t="shared" si="29"/>
        <v>13</v>
      </c>
      <c r="FU11" t="s">
        <v>573</v>
      </c>
      <c r="FV11" t="s">
        <v>2918</v>
      </c>
      <c r="FW11">
        <v>14.53139162063599</v>
      </c>
      <c r="FX11">
        <v>386</v>
      </c>
      <c r="FY11" s="2"/>
      <c r="FZ11">
        <f t="shared" si="30"/>
        <v>51</v>
      </c>
      <c r="GA11" t="s">
        <v>2919</v>
      </c>
      <c r="GB11" t="s">
        <v>2920</v>
      </c>
      <c r="GC11">
        <v>26.434043407440189</v>
      </c>
      <c r="GD11">
        <v>358</v>
      </c>
      <c r="GE11" s="1"/>
      <c r="GF11">
        <f t="shared" si="31"/>
        <v>18</v>
      </c>
      <c r="GG11" t="s">
        <v>2921</v>
      </c>
      <c r="GH11" t="s">
        <v>2922</v>
      </c>
      <c r="GI11">
        <v>12.969687461853029</v>
      </c>
      <c r="GJ11">
        <v>375</v>
      </c>
      <c r="GK11" s="2"/>
      <c r="GL11">
        <f t="shared" si="32"/>
        <v>25</v>
      </c>
      <c r="GM11" t="s">
        <v>2923</v>
      </c>
      <c r="GN11" t="s">
        <v>2924</v>
      </c>
      <c r="GO11">
        <v>9.5565483570098877</v>
      </c>
      <c r="GP11">
        <v>343</v>
      </c>
      <c r="GQ11" s="1"/>
      <c r="GR11">
        <f t="shared" si="33"/>
        <v>31</v>
      </c>
      <c r="GS11" t="s">
        <v>2925</v>
      </c>
      <c r="GT11" t="s">
        <v>2926</v>
      </c>
      <c r="GU11">
        <v>33.192810297012329</v>
      </c>
      <c r="GV11">
        <v>334</v>
      </c>
      <c r="GW11" s="2"/>
      <c r="GX11">
        <f t="shared" si="34"/>
        <v>53</v>
      </c>
      <c r="GY11" t="s">
        <v>843</v>
      </c>
      <c r="GZ11" t="s">
        <v>2927</v>
      </c>
      <c r="HA11">
        <v>10.544149875640869</v>
      </c>
      <c r="HB11">
        <v>283</v>
      </c>
      <c r="HC11" s="1"/>
      <c r="HD11">
        <f t="shared" si="35"/>
        <v>49</v>
      </c>
      <c r="HE11" t="s">
        <v>2928</v>
      </c>
      <c r="HF11" t="s">
        <v>2929</v>
      </c>
      <c r="HG11">
        <v>49.722921371459961</v>
      </c>
      <c r="HH11">
        <v>397</v>
      </c>
      <c r="HI11" s="2"/>
      <c r="HJ11">
        <f t="shared" si="36"/>
        <v>68</v>
      </c>
      <c r="HK11" t="s">
        <v>2930</v>
      </c>
      <c r="HL11" t="s">
        <v>2931</v>
      </c>
      <c r="HM11">
        <v>18.878263473510739</v>
      </c>
      <c r="HN11">
        <v>341</v>
      </c>
      <c r="HO11" s="1"/>
      <c r="HP11">
        <f t="shared" si="37"/>
        <v>42</v>
      </c>
      <c r="HQ11" t="s">
        <v>2932</v>
      </c>
      <c r="HR11" t="s">
        <v>2933</v>
      </c>
      <c r="HS11">
        <v>25.380997657775879</v>
      </c>
      <c r="HT11">
        <v>462</v>
      </c>
      <c r="HU11" s="2"/>
      <c r="HV11">
        <f t="shared" si="38"/>
        <v>32</v>
      </c>
      <c r="HW11" t="s">
        <v>2934</v>
      </c>
      <c r="HX11" t="s">
        <v>2935</v>
      </c>
      <c r="HY11">
        <v>18.97345662117004</v>
      </c>
      <c r="HZ11">
        <v>297</v>
      </c>
      <c r="IA11" s="1"/>
      <c r="IB11">
        <f t="shared" si="39"/>
        <v>18</v>
      </c>
      <c r="IC11" t="s">
        <v>2027</v>
      </c>
      <c r="ID11" t="s">
        <v>2936</v>
      </c>
      <c r="IE11">
        <v>172.816237449646</v>
      </c>
      <c r="IF11">
        <v>277</v>
      </c>
      <c r="IG11" s="2"/>
      <c r="IH11">
        <f t="shared" si="40"/>
        <v>35</v>
      </c>
      <c r="II11" t="s">
        <v>2937</v>
      </c>
      <c r="IJ11" t="s">
        <v>2938</v>
      </c>
      <c r="IK11">
        <v>10.77172112464905</v>
      </c>
      <c r="IL11">
        <v>305</v>
      </c>
      <c r="IM11" s="1"/>
      <c r="IN11">
        <f t="shared" si="41"/>
        <v>25</v>
      </c>
      <c r="IO11" t="s">
        <v>2939</v>
      </c>
      <c r="IP11" t="s">
        <v>2940</v>
      </c>
      <c r="IQ11">
        <v>19.202893018722531</v>
      </c>
      <c r="IR11">
        <v>477</v>
      </c>
      <c r="IS11" s="2"/>
      <c r="IT11">
        <f t="shared" si="42"/>
        <v>21</v>
      </c>
      <c r="IU11" t="s">
        <v>2941</v>
      </c>
      <c r="IV11" t="s">
        <v>2942</v>
      </c>
      <c r="IW11">
        <v>10.91877365112305</v>
      </c>
      <c r="IX11">
        <v>380</v>
      </c>
      <c r="IY11" s="1"/>
      <c r="IZ11">
        <f t="shared" si="43"/>
        <v>15</v>
      </c>
      <c r="JA11" t="s">
        <v>1458</v>
      </c>
      <c r="JB11" t="s">
        <v>2943</v>
      </c>
      <c r="JC11">
        <v>20.485765695571899</v>
      </c>
      <c r="JD11">
        <v>291</v>
      </c>
      <c r="JE11" s="2"/>
      <c r="JF11">
        <f t="shared" si="44"/>
        <v>20</v>
      </c>
      <c r="JG11" t="s">
        <v>25</v>
      </c>
      <c r="JH11" t="s">
        <v>2944</v>
      </c>
      <c r="JI11">
        <v>6.8014349937438956</v>
      </c>
      <c r="JJ11">
        <v>234</v>
      </c>
      <c r="JK11" s="1"/>
      <c r="JL11">
        <f t="shared" si="45"/>
        <v>92</v>
      </c>
      <c r="JM11" t="s">
        <v>2945</v>
      </c>
      <c r="JN11" t="s">
        <v>2946</v>
      </c>
      <c r="JO11">
        <v>265.52880811691278</v>
      </c>
      <c r="JP11">
        <v>390</v>
      </c>
      <c r="JQ11" s="2"/>
      <c r="JR11">
        <f t="shared" si="46"/>
        <v>24</v>
      </c>
      <c r="JS11" t="s">
        <v>2947</v>
      </c>
      <c r="JT11" t="s">
        <v>2948</v>
      </c>
      <c r="JU11">
        <v>11.55832099914551</v>
      </c>
      <c r="JV11">
        <v>232</v>
      </c>
      <c r="JW11" s="1"/>
      <c r="JX11">
        <f t="shared" si="47"/>
        <v>10</v>
      </c>
      <c r="JY11" t="s">
        <v>2949</v>
      </c>
      <c r="JZ11" t="s">
        <v>2950</v>
      </c>
      <c r="KA11">
        <v>29.10355710983276</v>
      </c>
      <c r="KB11">
        <v>340</v>
      </c>
      <c r="KC11" s="2"/>
      <c r="KD11">
        <f t="shared" si="48"/>
        <v>64</v>
      </c>
      <c r="KE11" t="s">
        <v>2951</v>
      </c>
      <c r="KF11" t="s">
        <v>2952</v>
      </c>
      <c r="KG11">
        <v>44.456457376480103</v>
      </c>
      <c r="KH11">
        <v>407</v>
      </c>
      <c r="KI11" s="1"/>
      <c r="KJ11">
        <f t="shared" si="49"/>
        <v>35</v>
      </c>
      <c r="KK11" t="s">
        <v>466</v>
      </c>
      <c r="KL11" t="s">
        <v>2953</v>
      </c>
      <c r="KM11">
        <v>26.13154244422913</v>
      </c>
      <c r="KN11">
        <v>406</v>
      </c>
      <c r="KO11" s="2"/>
      <c r="KP11">
        <f t="shared" si="50"/>
        <v>26</v>
      </c>
      <c r="KQ11" t="s">
        <v>2954</v>
      </c>
      <c r="KR11" t="s">
        <v>2955</v>
      </c>
      <c r="KS11">
        <v>10.22626924514771</v>
      </c>
      <c r="KT11">
        <v>304</v>
      </c>
      <c r="KU11" s="1"/>
      <c r="KV11">
        <f t="shared" si="51"/>
        <v>34</v>
      </c>
      <c r="KW11" t="s">
        <v>2956</v>
      </c>
      <c r="KX11" t="s">
        <v>2957</v>
      </c>
      <c r="KY11">
        <v>11.87598443031311</v>
      </c>
      <c r="KZ11">
        <v>296</v>
      </c>
      <c r="LA11" s="2"/>
      <c r="LB11">
        <f t="shared" si="52"/>
        <v>39</v>
      </c>
      <c r="LC11" t="s">
        <v>254</v>
      </c>
      <c r="LD11" t="s">
        <v>2958</v>
      </c>
      <c r="LE11">
        <v>20.68999552726746</v>
      </c>
      <c r="LF11">
        <v>434</v>
      </c>
      <c r="LG11" s="1"/>
      <c r="LH11">
        <f t="shared" si="53"/>
        <v>76</v>
      </c>
      <c r="LI11" t="s">
        <v>2959</v>
      </c>
      <c r="LJ11" t="s">
        <v>2960</v>
      </c>
      <c r="LK11">
        <v>322.44985151290888</v>
      </c>
      <c r="LL11">
        <v>417</v>
      </c>
      <c r="LM11" s="2"/>
      <c r="LN11">
        <f t="shared" si="54"/>
        <v>33</v>
      </c>
      <c r="LO11" t="s">
        <v>2961</v>
      </c>
      <c r="LP11" t="s">
        <v>2962</v>
      </c>
      <c r="LQ11">
        <v>30.853213310241699</v>
      </c>
      <c r="LR11">
        <v>294</v>
      </c>
      <c r="LS11" s="1"/>
      <c r="LT11">
        <f t="shared" si="55"/>
        <v>29</v>
      </c>
      <c r="LU11" t="s">
        <v>2963</v>
      </c>
      <c r="LV11" t="s">
        <v>2964</v>
      </c>
      <c r="LW11">
        <v>26.813728094100949</v>
      </c>
      <c r="LX11">
        <v>340</v>
      </c>
      <c r="LY11" s="2"/>
      <c r="LZ11">
        <f t="shared" si="56"/>
        <v>28</v>
      </c>
      <c r="MA11" t="s">
        <v>2965</v>
      </c>
      <c r="MB11" t="s">
        <v>2966</v>
      </c>
      <c r="MC11">
        <v>4.2384939193725586</v>
      </c>
      <c r="MD11">
        <v>237</v>
      </c>
      <c r="ME11" s="1"/>
      <c r="MF11">
        <f t="shared" si="57"/>
        <v>41</v>
      </c>
      <c r="MG11" t="s">
        <v>254</v>
      </c>
      <c r="MH11" t="s">
        <v>2967</v>
      </c>
      <c r="MI11">
        <v>17.92324686050415</v>
      </c>
      <c r="MJ11">
        <v>267</v>
      </c>
      <c r="MK11" s="2"/>
      <c r="ML11">
        <f t="shared" si="58"/>
        <v>29</v>
      </c>
      <c r="MM11" t="s">
        <v>1283</v>
      </c>
      <c r="MN11" t="s">
        <v>2968</v>
      </c>
      <c r="MO11">
        <v>15.1082866191864</v>
      </c>
      <c r="MP11">
        <v>350</v>
      </c>
      <c r="MQ11" s="1"/>
      <c r="MR11">
        <f t="shared" si="59"/>
        <v>29</v>
      </c>
      <c r="MS11" t="s">
        <v>2969</v>
      </c>
      <c r="MT11" t="s">
        <v>2970</v>
      </c>
      <c r="MU11">
        <v>28.36079049110413</v>
      </c>
      <c r="MV11">
        <v>395</v>
      </c>
      <c r="MW11" s="2"/>
      <c r="MX11">
        <f t="shared" si="60"/>
        <v>21</v>
      </c>
      <c r="MY11" t="s">
        <v>155</v>
      </c>
      <c r="MZ11" t="s">
        <v>2971</v>
      </c>
      <c r="NA11">
        <v>3.6969389915466309</v>
      </c>
      <c r="NB11">
        <v>259</v>
      </c>
      <c r="NC11" s="1"/>
      <c r="ND11">
        <f t="shared" si="61"/>
        <v>19</v>
      </c>
      <c r="NE11" t="s">
        <v>1832</v>
      </c>
      <c r="NF11" t="s">
        <v>2972</v>
      </c>
      <c r="NG11">
        <v>10.87608098983765</v>
      </c>
      <c r="NH11">
        <v>286</v>
      </c>
      <c r="NI11" s="2"/>
      <c r="NJ11">
        <f t="shared" si="62"/>
        <v>19</v>
      </c>
      <c r="NK11" t="s">
        <v>2973</v>
      </c>
      <c r="NL11" t="s">
        <v>2974</v>
      </c>
      <c r="NM11">
        <v>5.8188362121582031</v>
      </c>
      <c r="NN11">
        <v>229</v>
      </c>
      <c r="NO11" s="1"/>
      <c r="NP11">
        <f t="shared" si="63"/>
        <v>28</v>
      </c>
      <c r="NQ11" t="s">
        <v>2975</v>
      </c>
      <c r="NR11" t="s">
        <v>2976</v>
      </c>
      <c r="NS11">
        <v>21.898077011108398</v>
      </c>
      <c r="NT11">
        <v>349</v>
      </c>
      <c r="NU11" s="2"/>
      <c r="NV11">
        <f t="shared" si="64"/>
        <v>26</v>
      </c>
      <c r="NW11" t="s">
        <v>2977</v>
      </c>
      <c r="NX11" t="s">
        <v>2978</v>
      </c>
      <c r="NY11">
        <v>18.03191256523132</v>
      </c>
      <c r="NZ11">
        <v>381</v>
      </c>
      <c r="OA11" s="1"/>
      <c r="OB11">
        <f t="shared" si="65"/>
        <v>5</v>
      </c>
      <c r="OC11" t="s">
        <v>600</v>
      </c>
      <c r="OD11" t="s">
        <v>2979</v>
      </c>
      <c r="OE11">
        <v>28.704829454422001</v>
      </c>
      <c r="OF11">
        <v>306</v>
      </c>
      <c r="OG11" s="2"/>
      <c r="OH11">
        <f t="shared" si="66"/>
        <v>28</v>
      </c>
      <c r="OI11" t="s">
        <v>354</v>
      </c>
      <c r="OJ11" t="s">
        <v>2980</v>
      </c>
      <c r="OK11">
        <v>20.261221885681149</v>
      </c>
      <c r="OL11">
        <v>396</v>
      </c>
      <c r="OM11" s="1"/>
      <c r="ON11">
        <f t="shared" si="67"/>
        <v>45</v>
      </c>
      <c r="OO11" t="s">
        <v>2981</v>
      </c>
      <c r="OP11" t="s">
        <v>2982</v>
      </c>
      <c r="OQ11">
        <v>47.949110507965088</v>
      </c>
      <c r="OR11">
        <v>341</v>
      </c>
      <c r="OS11" s="2"/>
      <c r="OT11">
        <f t="shared" si="68"/>
        <v>42</v>
      </c>
      <c r="OU11" t="s">
        <v>2983</v>
      </c>
      <c r="OV11" t="s">
        <v>2984</v>
      </c>
      <c r="OW11">
        <v>112.7289116382599</v>
      </c>
      <c r="OX11">
        <v>318</v>
      </c>
      <c r="OY11" s="1"/>
      <c r="OZ11">
        <f t="shared" si="69"/>
        <v>5</v>
      </c>
      <c r="PA11" t="s">
        <v>673</v>
      </c>
      <c r="PB11" t="s">
        <v>2985</v>
      </c>
      <c r="PC11">
        <v>26.79501485824585</v>
      </c>
      <c r="PD11">
        <v>260</v>
      </c>
      <c r="PE11" s="2"/>
      <c r="PF11">
        <f t="shared" si="70"/>
        <v>26</v>
      </c>
      <c r="PG11" t="s">
        <v>910</v>
      </c>
      <c r="PH11" t="s">
        <v>2986</v>
      </c>
      <c r="PI11">
        <v>14.81852912902832</v>
      </c>
      <c r="PJ11">
        <v>315</v>
      </c>
      <c r="PK11" s="1"/>
      <c r="PL11">
        <f t="shared" si="71"/>
        <v>31</v>
      </c>
      <c r="PM11" t="s">
        <v>2987</v>
      </c>
      <c r="PN11" t="s">
        <v>2988</v>
      </c>
      <c r="PO11">
        <v>35.222508907318122</v>
      </c>
      <c r="PP11">
        <v>347</v>
      </c>
      <c r="PQ11" s="2"/>
      <c r="PR11">
        <f t="shared" si="72"/>
        <v>36</v>
      </c>
      <c r="PS11" t="s">
        <v>2923</v>
      </c>
      <c r="PT11" t="s">
        <v>2989</v>
      </c>
      <c r="PU11">
        <v>12.79929518699646</v>
      </c>
      <c r="PV11">
        <v>357</v>
      </c>
      <c r="PW11" s="1"/>
      <c r="PX11">
        <f t="shared" si="73"/>
        <v>59</v>
      </c>
      <c r="PY11" t="s">
        <v>2990</v>
      </c>
      <c r="PZ11" t="s">
        <v>2991</v>
      </c>
      <c r="QA11">
        <v>37.082474946975708</v>
      </c>
      <c r="QB11">
        <v>404</v>
      </c>
      <c r="QC11" s="2"/>
      <c r="QD11">
        <f t="shared" si="74"/>
        <v>26</v>
      </c>
      <c r="QE11" t="s">
        <v>2992</v>
      </c>
      <c r="QF11" t="s">
        <v>2993</v>
      </c>
      <c r="QG11">
        <v>15.355543851852421</v>
      </c>
      <c r="QH11">
        <v>348</v>
      </c>
      <c r="QI11" s="1"/>
      <c r="QJ11">
        <f t="shared" si="75"/>
        <v>35</v>
      </c>
      <c r="QK11" t="s">
        <v>2994</v>
      </c>
      <c r="QL11" t="s">
        <v>2995</v>
      </c>
      <c r="QM11">
        <v>37.601107597351067</v>
      </c>
      <c r="QN11">
        <v>300</v>
      </c>
      <c r="QO11" s="2"/>
      <c r="QP11">
        <f t="shared" si="76"/>
        <v>25</v>
      </c>
      <c r="QQ11" t="s">
        <v>2996</v>
      </c>
      <c r="QR11" t="s">
        <v>2997</v>
      </c>
      <c r="QS11">
        <v>6.7862141132354736</v>
      </c>
      <c r="QT11">
        <v>242</v>
      </c>
      <c r="QU11" s="1"/>
      <c r="QV11">
        <f t="shared" si="77"/>
        <v>14</v>
      </c>
      <c r="QW11" t="s">
        <v>2408</v>
      </c>
      <c r="QX11" t="s">
        <v>2998</v>
      </c>
      <c r="QY11">
        <v>16.53087854385376</v>
      </c>
      <c r="QZ11">
        <v>306</v>
      </c>
      <c r="RA11" s="2"/>
      <c r="RB11">
        <f t="shared" si="78"/>
        <v>60</v>
      </c>
      <c r="RC11" t="s">
        <v>2999</v>
      </c>
      <c r="RD11" t="s">
        <v>3000</v>
      </c>
      <c r="RE11">
        <v>91.621611595153809</v>
      </c>
      <c r="RF11">
        <v>424</v>
      </c>
      <c r="RG11" s="1"/>
      <c r="RH11">
        <f t="shared" si="79"/>
        <v>28</v>
      </c>
      <c r="RI11" t="s">
        <v>3001</v>
      </c>
      <c r="RJ11" t="s">
        <v>3002</v>
      </c>
      <c r="RK11">
        <v>25.93723201751709</v>
      </c>
      <c r="RL11">
        <v>373</v>
      </c>
      <c r="RM11" s="2"/>
      <c r="RN11">
        <f t="shared" si="80"/>
        <v>42</v>
      </c>
      <c r="RO11" t="s">
        <v>3003</v>
      </c>
      <c r="RP11" t="s">
        <v>3004</v>
      </c>
      <c r="RQ11">
        <v>15.76143956184387</v>
      </c>
      <c r="RR11">
        <v>480</v>
      </c>
      <c r="RS11" s="1"/>
      <c r="RT11">
        <f t="shared" si="81"/>
        <v>34</v>
      </c>
      <c r="RU11" t="s">
        <v>3005</v>
      </c>
      <c r="RV11" t="s">
        <v>3006</v>
      </c>
      <c r="RW11">
        <v>17.611443042755131</v>
      </c>
      <c r="RX11">
        <v>375</v>
      </c>
      <c r="RY11" s="2"/>
      <c r="RZ11">
        <f t="shared" si="82"/>
        <v>46</v>
      </c>
      <c r="SA11" t="s">
        <v>3007</v>
      </c>
      <c r="SB11" t="s">
        <v>3008</v>
      </c>
      <c r="SC11">
        <v>12.494226694107059</v>
      </c>
      <c r="SD11">
        <v>370</v>
      </c>
      <c r="SE11" s="1"/>
      <c r="SF11">
        <f t="shared" si="83"/>
        <v>39</v>
      </c>
      <c r="SG11" t="s">
        <v>3009</v>
      </c>
      <c r="SH11" t="s">
        <v>3010</v>
      </c>
      <c r="SI11">
        <v>27.8879988193512</v>
      </c>
      <c r="SJ11">
        <v>310</v>
      </c>
      <c r="SK11" s="2"/>
      <c r="SL11">
        <f t="shared" si="84"/>
        <v>30</v>
      </c>
      <c r="SM11" t="s">
        <v>3011</v>
      </c>
      <c r="SN11" t="s">
        <v>3012</v>
      </c>
      <c r="SO11">
        <v>25.360832452774051</v>
      </c>
      <c r="SP11">
        <v>304</v>
      </c>
      <c r="SQ11" s="1"/>
      <c r="SR11">
        <f t="shared" si="85"/>
        <v>27</v>
      </c>
      <c r="SS11" t="s">
        <v>3013</v>
      </c>
      <c r="ST11" t="s">
        <v>3014</v>
      </c>
      <c r="SU11">
        <v>12.326694011688231</v>
      </c>
      <c r="SV11">
        <v>412</v>
      </c>
      <c r="SW11" s="2"/>
      <c r="SX11">
        <f t="shared" si="86"/>
        <v>36</v>
      </c>
      <c r="SY11" t="s">
        <v>3015</v>
      </c>
      <c r="SZ11" t="s">
        <v>3016</v>
      </c>
      <c r="TA11">
        <v>16.544790744781491</v>
      </c>
      <c r="TB11">
        <v>241</v>
      </c>
      <c r="TC11" s="1"/>
      <c r="TD11">
        <f t="shared" si="87"/>
        <v>16</v>
      </c>
      <c r="TE11" t="s">
        <v>3017</v>
      </c>
      <c r="TF11" t="s">
        <v>3018</v>
      </c>
      <c r="TG11">
        <v>22.645053863525391</v>
      </c>
      <c r="TH11">
        <v>368</v>
      </c>
      <c r="TI11" s="2"/>
      <c r="TJ11">
        <f t="shared" si="88"/>
        <v>81</v>
      </c>
      <c r="TK11" t="s">
        <v>3019</v>
      </c>
      <c r="TL11" t="s">
        <v>3020</v>
      </c>
      <c r="TM11">
        <v>40.022276401519782</v>
      </c>
      <c r="TN11">
        <v>482</v>
      </c>
      <c r="TO11" s="1"/>
      <c r="TP11">
        <f t="shared" si="89"/>
        <v>0</v>
      </c>
      <c r="TR11" t="s">
        <v>3021</v>
      </c>
      <c r="TS11">
        <v>40.291728734970093</v>
      </c>
      <c r="TT11">
        <v>262</v>
      </c>
      <c r="TU11" s="2"/>
      <c r="TV11">
        <f t="shared" si="90"/>
        <v>57</v>
      </c>
      <c r="TW11" t="s">
        <v>3022</v>
      </c>
      <c r="TX11" t="s">
        <v>3023</v>
      </c>
      <c r="TY11">
        <v>15.05101847648621</v>
      </c>
      <c r="TZ11">
        <v>326</v>
      </c>
      <c r="UA11" s="1"/>
      <c r="UB11">
        <f t="shared" si="91"/>
        <v>34</v>
      </c>
      <c r="UC11" t="s">
        <v>728</v>
      </c>
      <c r="UD11" t="s">
        <v>3024</v>
      </c>
      <c r="UE11">
        <v>220.59169697761541</v>
      </c>
      <c r="UF11">
        <v>466</v>
      </c>
      <c r="UG11" s="2"/>
      <c r="UH11">
        <f t="shared" si="92"/>
        <v>21</v>
      </c>
      <c r="UI11" t="s">
        <v>140</v>
      </c>
      <c r="UJ11" t="s">
        <v>3025</v>
      </c>
      <c r="UK11">
        <v>6.8134365081787109</v>
      </c>
      <c r="UL11">
        <v>171</v>
      </c>
      <c r="UM11" s="1"/>
      <c r="UN11">
        <f t="shared" si="93"/>
        <v>36</v>
      </c>
      <c r="UO11" t="s">
        <v>3026</v>
      </c>
      <c r="UP11" t="s">
        <v>3027</v>
      </c>
      <c r="UQ11">
        <v>19.346702814102169</v>
      </c>
      <c r="UR11">
        <v>453</v>
      </c>
      <c r="US11" s="2"/>
      <c r="UT11">
        <f t="shared" si="94"/>
        <v>39</v>
      </c>
      <c r="UU11" t="s">
        <v>3028</v>
      </c>
      <c r="UV11" t="s">
        <v>3029</v>
      </c>
      <c r="UW11">
        <v>33.070603847503662</v>
      </c>
      <c r="UX11">
        <v>316</v>
      </c>
      <c r="UY11" s="1"/>
      <c r="UZ11">
        <f t="shared" si="95"/>
        <v>20</v>
      </c>
      <c r="VA11" t="s">
        <v>3030</v>
      </c>
      <c r="VB11" t="s">
        <v>3031</v>
      </c>
      <c r="VC11">
        <v>14.871572494506839</v>
      </c>
      <c r="VD11">
        <v>311</v>
      </c>
      <c r="VE11" s="2"/>
      <c r="VF11">
        <f t="shared" si="96"/>
        <v>69</v>
      </c>
      <c r="VG11" t="s">
        <v>3032</v>
      </c>
      <c r="VH11" t="s">
        <v>3033</v>
      </c>
      <c r="VI11">
        <v>67.537472724914551</v>
      </c>
      <c r="VJ11">
        <v>339</v>
      </c>
      <c r="VK11" s="1"/>
      <c r="VL11">
        <f t="shared" si="97"/>
        <v>66</v>
      </c>
      <c r="VM11" t="s">
        <v>3034</v>
      </c>
      <c r="VN11" t="s">
        <v>3035</v>
      </c>
      <c r="VO11">
        <v>21.622767448425289</v>
      </c>
      <c r="VP11">
        <v>389</v>
      </c>
      <c r="VQ11" s="2"/>
      <c r="VR11">
        <f t="shared" si="98"/>
        <v>22</v>
      </c>
      <c r="VS11" t="s">
        <v>3036</v>
      </c>
      <c r="VT11" t="s">
        <v>3037</v>
      </c>
      <c r="VU11">
        <v>6.6325562000274658</v>
      </c>
      <c r="VV11">
        <v>206</v>
      </c>
      <c r="VW11" s="1"/>
      <c r="VX11">
        <f t="shared" si="99"/>
        <v>24</v>
      </c>
      <c r="VY11" t="s">
        <v>3038</v>
      </c>
      <c r="VZ11" t="s">
        <v>3039</v>
      </c>
      <c r="WA11">
        <v>12.95500683784485</v>
      </c>
      <c r="WB11">
        <v>374</v>
      </c>
      <c r="WC11" s="2"/>
      <c r="WD11">
        <f t="shared" si="100"/>
        <v>27</v>
      </c>
      <c r="WE11" t="s">
        <v>3040</v>
      </c>
      <c r="WF11" t="s">
        <v>3041</v>
      </c>
      <c r="WG11">
        <v>9.5740878582000732</v>
      </c>
      <c r="WH11">
        <v>439</v>
      </c>
      <c r="WI11" s="1"/>
      <c r="WJ11">
        <f t="shared" si="101"/>
        <v>27</v>
      </c>
      <c r="WK11" t="s">
        <v>3042</v>
      </c>
      <c r="WL11" t="s">
        <v>3043</v>
      </c>
      <c r="WM11">
        <v>32.534149408340447</v>
      </c>
      <c r="WN11">
        <v>422</v>
      </c>
      <c r="WO11" s="4"/>
      <c r="WP11">
        <f t="shared" si="102"/>
        <v>33</v>
      </c>
      <c r="WQ11" t="s">
        <v>2157</v>
      </c>
      <c r="WR11" t="s">
        <v>3044</v>
      </c>
      <c r="WS11">
        <v>22.513558864593509</v>
      </c>
      <c r="WT11">
        <v>413</v>
      </c>
      <c r="WU11" s="3"/>
      <c r="WV11">
        <f t="shared" si="103"/>
        <v>27</v>
      </c>
      <c r="WW11" t="s">
        <v>2332</v>
      </c>
      <c r="WX11" t="s">
        <v>3045</v>
      </c>
      <c r="WY11">
        <v>4.9847347736358643</v>
      </c>
      <c r="WZ11">
        <v>400</v>
      </c>
      <c r="XA11" s="2"/>
      <c r="XB11">
        <f t="shared" si="104"/>
        <v>39</v>
      </c>
      <c r="XC11" t="s">
        <v>3046</v>
      </c>
      <c r="XD11" t="s">
        <v>3047</v>
      </c>
      <c r="XE11">
        <v>22.692620277404789</v>
      </c>
      <c r="XF11">
        <v>347</v>
      </c>
      <c r="XG11" s="5"/>
      <c r="XH11">
        <f t="shared" si="105"/>
        <v>32</v>
      </c>
      <c r="XI11" t="s">
        <v>3048</v>
      </c>
      <c r="XJ11" t="s">
        <v>3049</v>
      </c>
      <c r="XK11">
        <v>14.309206485748289</v>
      </c>
      <c r="XL11">
        <v>363</v>
      </c>
      <c r="XM11" s="2"/>
      <c r="XN11">
        <f t="shared" si="106"/>
        <v>33</v>
      </c>
      <c r="XO11" t="s">
        <v>3050</v>
      </c>
      <c r="XP11" t="s">
        <v>3051</v>
      </c>
      <c r="XQ11">
        <v>47.043375253677368</v>
      </c>
      <c r="XR11">
        <v>416</v>
      </c>
      <c r="XS11" s="5"/>
      <c r="XT11">
        <f t="shared" si="107"/>
        <v>34</v>
      </c>
      <c r="XU11" t="s">
        <v>3052</v>
      </c>
      <c r="XV11" t="s">
        <v>3053</v>
      </c>
      <c r="XW11">
        <v>17.905509948730469</v>
      </c>
      <c r="XX11">
        <v>351</v>
      </c>
      <c r="XY11" s="2"/>
      <c r="XZ11">
        <f t="shared" si="108"/>
        <v>26</v>
      </c>
      <c r="YA11" t="s">
        <v>66</v>
      </c>
      <c r="YB11" t="s">
        <v>3054</v>
      </c>
      <c r="YC11">
        <v>19.326936006546021</v>
      </c>
      <c r="YD11">
        <v>323</v>
      </c>
      <c r="YE11" s="5"/>
      <c r="YF11">
        <f t="shared" si="109"/>
        <v>25</v>
      </c>
      <c r="YG11" t="s">
        <v>1153</v>
      </c>
      <c r="YH11" t="s">
        <v>3055</v>
      </c>
      <c r="YI11">
        <v>9.2821135520935059</v>
      </c>
      <c r="YJ11">
        <v>267</v>
      </c>
      <c r="YK11" s="2"/>
      <c r="YL11">
        <f t="shared" si="110"/>
        <v>64</v>
      </c>
      <c r="YM11" t="s">
        <v>3056</v>
      </c>
      <c r="YN11" t="s">
        <v>3057</v>
      </c>
      <c r="YO11">
        <v>19.66115498542786</v>
      </c>
      <c r="YP11">
        <v>319</v>
      </c>
      <c r="YQ11" s="5"/>
      <c r="YR11">
        <f t="shared" si="111"/>
        <v>32</v>
      </c>
      <c r="YS11" t="s">
        <v>3058</v>
      </c>
      <c r="YT11" t="s">
        <v>3059</v>
      </c>
      <c r="YU11">
        <v>34.136869430541992</v>
      </c>
      <c r="YV11">
        <v>348</v>
      </c>
      <c r="YW11" s="2"/>
      <c r="YX11">
        <f t="shared" si="112"/>
        <v>72</v>
      </c>
      <c r="YY11" t="s">
        <v>3060</v>
      </c>
      <c r="YZ11" t="s">
        <v>3061</v>
      </c>
      <c r="ZA11">
        <v>35.292088747024543</v>
      </c>
      <c r="ZB11">
        <v>295</v>
      </c>
      <c r="ZC11" s="5"/>
      <c r="ZD11">
        <f t="shared" si="113"/>
        <v>34</v>
      </c>
      <c r="ZE11" t="s">
        <v>3062</v>
      </c>
      <c r="ZF11" t="s">
        <v>3063</v>
      </c>
      <c r="ZG11">
        <v>21.832877635955811</v>
      </c>
      <c r="ZH11">
        <v>299</v>
      </c>
      <c r="ZI11" s="2"/>
      <c r="ZJ11">
        <f t="shared" si="114"/>
        <v>36</v>
      </c>
      <c r="ZK11" t="s">
        <v>3064</v>
      </c>
      <c r="ZL11" t="s">
        <v>3065</v>
      </c>
      <c r="ZM11">
        <v>203.2346234321594</v>
      </c>
      <c r="ZN11">
        <v>292</v>
      </c>
      <c r="ZO11" s="5"/>
      <c r="ZP11">
        <f t="shared" si="115"/>
        <v>40</v>
      </c>
      <c r="ZQ11" t="s">
        <v>3066</v>
      </c>
      <c r="ZR11" t="s">
        <v>3067</v>
      </c>
      <c r="ZS11">
        <v>21.7782416343689</v>
      </c>
      <c r="ZT11">
        <v>408</v>
      </c>
      <c r="ZU11" s="2"/>
      <c r="ZV11">
        <f t="shared" si="116"/>
        <v>13</v>
      </c>
      <c r="ZW11" t="s">
        <v>837</v>
      </c>
      <c r="ZX11" t="s">
        <v>3068</v>
      </c>
      <c r="ZY11">
        <v>17.632211685180661</v>
      </c>
      <c r="ZZ11">
        <v>184</v>
      </c>
      <c r="AAA11" s="5"/>
      <c r="AAB11">
        <f t="shared" si="117"/>
        <v>28</v>
      </c>
      <c r="AAC11" t="s">
        <v>3069</v>
      </c>
      <c r="AAD11" t="s">
        <v>3070</v>
      </c>
      <c r="AAE11">
        <v>12.692233085632321</v>
      </c>
      <c r="AAF11">
        <v>339</v>
      </c>
      <c r="AAG11" s="2"/>
      <c r="AAH11">
        <f t="shared" si="118"/>
        <v>23</v>
      </c>
      <c r="AAI11" t="s">
        <v>3071</v>
      </c>
      <c r="AAJ11" t="s">
        <v>3072</v>
      </c>
      <c r="AAK11">
        <v>11.575103044509889</v>
      </c>
      <c r="AAL11">
        <v>390</v>
      </c>
      <c r="AAM11" s="5"/>
      <c r="AAN11">
        <f t="shared" si="119"/>
        <v>30</v>
      </c>
      <c r="AAO11" t="s">
        <v>3073</v>
      </c>
      <c r="AAP11" t="s">
        <v>3074</v>
      </c>
      <c r="AAQ11">
        <v>30.45019960403442</v>
      </c>
      <c r="AAR11">
        <v>250</v>
      </c>
      <c r="AAS11" s="2"/>
      <c r="AAT11">
        <f t="shared" si="120"/>
        <v>34</v>
      </c>
      <c r="AAU11" t="s">
        <v>3075</v>
      </c>
      <c r="AAV11" t="s">
        <v>3076</v>
      </c>
      <c r="AAW11">
        <v>15.67888164520264</v>
      </c>
      <c r="AAX11">
        <v>314</v>
      </c>
      <c r="AAY11" s="5"/>
      <c r="AAZ11">
        <f t="shared" si="121"/>
        <v>31</v>
      </c>
      <c r="ABA11" t="s">
        <v>3077</v>
      </c>
      <c r="ABB11" t="s">
        <v>3078</v>
      </c>
      <c r="ABC11">
        <v>20.717116355896</v>
      </c>
      <c r="ABD11">
        <v>340</v>
      </c>
      <c r="ABE11" s="2"/>
      <c r="ABF11">
        <f t="shared" si="122"/>
        <v>39</v>
      </c>
      <c r="ABG11" t="s">
        <v>3079</v>
      </c>
      <c r="ABH11" t="s">
        <v>3080</v>
      </c>
      <c r="ABI11">
        <v>37.434317827224731</v>
      </c>
      <c r="ABJ11">
        <v>257</v>
      </c>
      <c r="ABK11" s="5"/>
      <c r="ABL11">
        <f t="shared" si="123"/>
        <v>14</v>
      </c>
      <c r="ABM11" t="s">
        <v>673</v>
      </c>
      <c r="ABN11" t="s">
        <v>3081</v>
      </c>
      <c r="ABO11">
        <v>5.5735700130462646</v>
      </c>
      <c r="ABP11">
        <v>478</v>
      </c>
      <c r="ABQ11" s="2"/>
      <c r="ABR11">
        <f t="shared" si="124"/>
        <v>72</v>
      </c>
      <c r="ABS11" t="s">
        <v>3082</v>
      </c>
      <c r="ABT11" t="s">
        <v>3083</v>
      </c>
      <c r="ABU11">
        <v>39.189339399337769</v>
      </c>
      <c r="ABV11">
        <v>460</v>
      </c>
      <c r="ABW11" s="5"/>
      <c r="ABX11">
        <f t="shared" si="125"/>
        <v>19</v>
      </c>
      <c r="ABY11" t="s">
        <v>3084</v>
      </c>
      <c r="ABZ11" t="s">
        <v>3085</v>
      </c>
      <c r="ACA11">
        <v>4.6405229568481454</v>
      </c>
      <c r="ACB11">
        <v>224</v>
      </c>
      <c r="ACC11" s="2"/>
      <c r="ACD11">
        <f t="shared" si="126"/>
        <v>20</v>
      </c>
      <c r="ACE11" t="s">
        <v>3086</v>
      </c>
      <c r="ACF11" t="s">
        <v>3087</v>
      </c>
      <c r="ACG11">
        <v>20.689321041107181</v>
      </c>
      <c r="ACH11">
        <v>251</v>
      </c>
      <c r="ACI11" s="5"/>
      <c r="ACJ11">
        <f t="shared" si="127"/>
        <v>34</v>
      </c>
      <c r="ACK11" t="s">
        <v>3088</v>
      </c>
      <c r="ACL11" t="s">
        <v>3089</v>
      </c>
      <c r="ACM11">
        <v>18.119155406951901</v>
      </c>
      <c r="ACN11">
        <v>408</v>
      </c>
      <c r="ACO11" s="2"/>
      <c r="ACP11">
        <f t="shared" si="128"/>
        <v>22</v>
      </c>
      <c r="ACQ11" t="s">
        <v>832</v>
      </c>
      <c r="ACR11" t="s">
        <v>3090</v>
      </c>
      <c r="ACS11">
        <v>15.796064853668209</v>
      </c>
      <c r="ACT11">
        <v>375</v>
      </c>
      <c r="ACU11" s="5"/>
      <c r="ACV11">
        <f t="shared" si="129"/>
        <v>25</v>
      </c>
      <c r="ACW11" t="s">
        <v>3091</v>
      </c>
      <c r="ACX11" t="s">
        <v>3092</v>
      </c>
      <c r="ACY11">
        <v>5.8105001449584961</v>
      </c>
      <c r="ACZ11">
        <v>356</v>
      </c>
      <c r="ADA11" s="2"/>
      <c r="ADB11">
        <f t="shared" si="130"/>
        <v>64</v>
      </c>
      <c r="ADC11" t="s">
        <v>3093</v>
      </c>
      <c r="ADD11" t="s">
        <v>3094</v>
      </c>
      <c r="ADE11">
        <v>35.116963386535637</v>
      </c>
      <c r="ADF11">
        <v>412</v>
      </c>
      <c r="ADG11" s="5"/>
      <c r="ADH11">
        <f t="shared" si="131"/>
        <v>35</v>
      </c>
      <c r="ADI11" t="s">
        <v>3095</v>
      </c>
      <c r="ADJ11" t="s">
        <v>3096</v>
      </c>
      <c r="ADK11">
        <v>10.52056884765625</v>
      </c>
      <c r="ADL11">
        <v>338</v>
      </c>
      <c r="ADM11" s="2"/>
      <c r="ADN11">
        <f t="shared" si="132"/>
        <v>32</v>
      </c>
      <c r="ADO11" t="s">
        <v>3097</v>
      </c>
      <c r="ADP11" t="s">
        <v>3098</v>
      </c>
      <c r="ADQ11">
        <v>22.57191109657288</v>
      </c>
      <c r="ADR11">
        <v>352</v>
      </c>
      <c r="ADS11" s="5"/>
      <c r="ADT11">
        <f t="shared" si="133"/>
        <v>23</v>
      </c>
      <c r="ADU11" t="s">
        <v>3099</v>
      </c>
      <c r="ADV11" t="s">
        <v>3100</v>
      </c>
      <c r="ADW11">
        <v>10.228874206542971</v>
      </c>
      <c r="ADX11">
        <v>278</v>
      </c>
      <c r="ADY11" s="2"/>
      <c r="ADZ11">
        <f t="shared" si="134"/>
        <v>32</v>
      </c>
      <c r="AEA11" t="s">
        <v>3101</v>
      </c>
      <c r="AEB11" t="s">
        <v>3102</v>
      </c>
      <c r="AEC11">
        <v>14.4122257232666</v>
      </c>
      <c r="AED11">
        <v>280</v>
      </c>
      <c r="AEE11" s="5"/>
      <c r="AEF11">
        <f t="shared" si="135"/>
        <v>24</v>
      </c>
      <c r="AEG11" t="s">
        <v>3103</v>
      </c>
      <c r="AEH11" t="s">
        <v>3104</v>
      </c>
      <c r="AEI11">
        <v>13.67982769012451</v>
      </c>
      <c r="AEJ11">
        <v>314</v>
      </c>
      <c r="AEK11" s="2"/>
      <c r="AEL11">
        <f t="shared" si="136"/>
        <v>30</v>
      </c>
      <c r="AEM11" t="s">
        <v>2941</v>
      </c>
      <c r="AEN11" t="s">
        <v>3105</v>
      </c>
      <c r="AEO11">
        <v>18.426892995834351</v>
      </c>
      <c r="AEP11">
        <v>423</v>
      </c>
      <c r="AEQ11" s="5"/>
      <c r="AER11">
        <f t="shared" si="137"/>
        <v>28</v>
      </c>
      <c r="AES11" t="s">
        <v>3106</v>
      </c>
      <c r="AET11" t="s">
        <v>3107</v>
      </c>
      <c r="AEU11">
        <v>16.997458457946781</v>
      </c>
      <c r="AEV11">
        <v>330</v>
      </c>
      <c r="AEW11" s="2"/>
      <c r="AEX11">
        <f t="shared" si="138"/>
        <v>59</v>
      </c>
      <c r="AEY11" t="s">
        <v>3108</v>
      </c>
      <c r="AEZ11" t="s">
        <v>3109</v>
      </c>
      <c r="AFA11">
        <v>54.615505456924438</v>
      </c>
      <c r="AFB11">
        <v>290</v>
      </c>
      <c r="AFC11" s="5"/>
      <c r="AFD11">
        <f t="shared" si="139"/>
        <v>42</v>
      </c>
      <c r="AFE11" t="s">
        <v>3110</v>
      </c>
      <c r="AFF11" t="s">
        <v>3111</v>
      </c>
      <c r="AFG11">
        <v>20.519065380096439</v>
      </c>
      <c r="AFH11">
        <v>297</v>
      </c>
      <c r="AFI11" s="2"/>
      <c r="AFJ11">
        <f t="shared" si="140"/>
        <v>36</v>
      </c>
      <c r="AFK11" t="s">
        <v>3112</v>
      </c>
      <c r="AFL11" t="s">
        <v>3113</v>
      </c>
      <c r="AFM11">
        <v>20.142431735992432</v>
      </c>
      <c r="AFN11">
        <v>392</v>
      </c>
      <c r="AFO11" s="5"/>
      <c r="AFP11">
        <f t="shared" si="141"/>
        <v>30</v>
      </c>
      <c r="AFQ11" t="s">
        <v>3114</v>
      </c>
      <c r="AFR11" t="s">
        <v>3115</v>
      </c>
      <c r="AFS11">
        <v>12.40662288665771</v>
      </c>
      <c r="AFT11">
        <v>410</v>
      </c>
      <c r="AFU11" s="2"/>
      <c r="AFV11">
        <f t="shared" si="142"/>
        <v>28</v>
      </c>
      <c r="AFW11" t="s">
        <v>3116</v>
      </c>
      <c r="AFX11" t="s">
        <v>3117</v>
      </c>
      <c r="AFY11">
        <v>43.200727224349983</v>
      </c>
      <c r="AFZ11">
        <v>365</v>
      </c>
      <c r="AGA11" s="5"/>
      <c r="AGB11">
        <f t="shared" si="143"/>
        <v>40</v>
      </c>
      <c r="AGC11" t="s">
        <v>3118</v>
      </c>
      <c r="AGD11" t="s">
        <v>3119</v>
      </c>
      <c r="AGE11">
        <v>27.56788444519043</v>
      </c>
      <c r="AGF11">
        <v>375</v>
      </c>
      <c r="AGG11" s="2"/>
      <c r="AGH11">
        <f t="shared" si="144"/>
        <v>14</v>
      </c>
      <c r="AGI11" t="s">
        <v>2732</v>
      </c>
      <c r="AGJ11" t="s">
        <v>3120</v>
      </c>
      <c r="AGK11">
        <v>195.69813251495361</v>
      </c>
      <c r="AGL11">
        <v>258</v>
      </c>
      <c r="AGM11" s="5"/>
      <c r="AGN11">
        <f t="shared" si="145"/>
        <v>39</v>
      </c>
      <c r="AGO11" t="s">
        <v>3121</v>
      </c>
      <c r="AGP11" t="s">
        <v>3122</v>
      </c>
      <c r="AGQ11">
        <v>35.403415441513062</v>
      </c>
      <c r="AGR11">
        <v>359</v>
      </c>
      <c r="AGS11" s="2"/>
      <c r="AGT11">
        <f t="shared" si="146"/>
        <v>6</v>
      </c>
      <c r="AGU11" t="s">
        <v>3123</v>
      </c>
      <c r="AGV11" t="s">
        <v>3124</v>
      </c>
      <c r="AGW11">
        <v>70.575969219207764</v>
      </c>
      <c r="AGX11">
        <v>295</v>
      </c>
      <c r="AGY11" s="5"/>
      <c r="AGZ11">
        <f t="shared" si="147"/>
        <v>33</v>
      </c>
      <c r="AHA11" t="s">
        <v>3125</v>
      </c>
      <c r="AHB11" t="s">
        <v>3126</v>
      </c>
      <c r="AHC11">
        <v>13.323400735855101</v>
      </c>
      <c r="AHD11">
        <v>311</v>
      </c>
      <c r="AHE11" s="2"/>
      <c r="AHF11">
        <f t="shared" si="148"/>
        <v>33</v>
      </c>
      <c r="AHG11" t="s">
        <v>3127</v>
      </c>
      <c r="AHH11" t="s">
        <v>3128</v>
      </c>
      <c r="AHI11">
        <v>112.92199015617371</v>
      </c>
      <c r="AHJ11">
        <v>257</v>
      </c>
      <c r="AHK11" s="5"/>
      <c r="AHL11">
        <f t="shared" si="149"/>
        <v>16</v>
      </c>
      <c r="AHM11" t="s">
        <v>3129</v>
      </c>
      <c r="AHN11" t="s">
        <v>3130</v>
      </c>
      <c r="AHO11">
        <v>5.2831981182098389</v>
      </c>
      <c r="AHP11">
        <v>334</v>
      </c>
      <c r="AHQ11" s="2"/>
      <c r="AHR11">
        <f t="shared" si="150"/>
        <v>29</v>
      </c>
      <c r="AHS11" t="s">
        <v>1124</v>
      </c>
      <c r="AHT11" t="s">
        <v>3131</v>
      </c>
      <c r="AHU11">
        <v>28.289140224456791</v>
      </c>
      <c r="AHV11">
        <v>320</v>
      </c>
      <c r="AHW11" s="5"/>
      <c r="AHX11">
        <f t="shared" si="151"/>
        <v>21</v>
      </c>
      <c r="AHY11" t="s">
        <v>3132</v>
      </c>
      <c r="AHZ11" t="s">
        <v>3133</v>
      </c>
      <c r="AIA11">
        <v>9.63211989402771</v>
      </c>
      <c r="AIB11">
        <v>240</v>
      </c>
      <c r="AIC11" s="2"/>
      <c r="AID11">
        <f t="shared" si="152"/>
        <v>16</v>
      </c>
      <c r="AIE11" t="s">
        <v>2018</v>
      </c>
      <c r="AIF11" t="s">
        <v>3134</v>
      </c>
      <c r="AIG11">
        <v>85.915231227874756</v>
      </c>
      <c r="AIH11">
        <v>391</v>
      </c>
      <c r="AII11" s="5"/>
      <c r="AIJ11">
        <f t="shared" si="153"/>
        <v>36</v>
      </c>
      <c r="AIK11" t="s">
        <v>3135</v>
      </c>
      <c r="AIL11" t="s">
        <v>3136</v>
      </c>
      <c r="AIM11">
        <v>24.91212797164917</v>
      </c>
      <c r="AIN11">
        <v>319</v>
      </c>
      <c r="AIO11" s="2"/>
      <c r="AIP11">
        <f t="shared" si="154"/>
        <v>32</v>
      </c>
      <c r="AIQ11" t="s">
        <v>3137</v>
      </c>
      <c r="AIR11" t="s">
        <v>3138</v>
      </c>
      <c r="AIS11">
        <v>21.063185930252079</v>
      </c>
      <c r="AIT11">
        <v>424</v>
      </c>
      <c r="AIU11" s="5"/>
      <c r="AIV11">
        <f t="shared" si="155"/>
        <v>54</v>
      </c>
      <c r="AIW11" t="s">
        <v>3139</v>
      </c>
      <c r="AIX11" t="s">
        <v>3140</v>
      </c>
      <c r="AIY11">
        <v>19.718396902084351</v>
      </c>
      <c r="AIZ11">
        <v>315</v>
      </c>
      <c r="AJA11" s="2"/>
      <c r="AJB11">
        <f t="shared" si="156"/>
        <v>30</v>
      </c>
      <c r="AJC11" t="s">
        <v>3141</v>
      </c>
      <c r="AJD11" t="s">
        <v>3142</v>
      </c>
      <c r="AJE11">
        <v>19.232603073120121</v>
      </c>
      <c r="AJF11">
        <v>266</v>
      </c>
      <c r="AJG11" s="5"/>
      <c r="AJH11">
        <f t="shared" si="157"/>
        <v>60</v>
      </c>
      <c r="AJI11" t="s">
        <v>3143</v>
      </c>
      <c r="AJJ11" t="s">
        <v>3144</v>
      </c>
      <c r="AJK11">
        <v>42.424160480499268</v>
      </c>
      <c r="AJL11">
        <v>292</v>
      </c>
      <c r="AJM11" s="2"/>
      <c r="AJN11">
        <f t="shared" si="158"/>
        <v>24</v>
      </c>
      <c r="AJO11" t="s">
        <v>1387</v>
      </c>
      <c r="AJP11" t="s">
        <v>3145</v>
      </c>
      <c r="AJQ11">
        <v>14.793425798416139</v>
      </c>
      <c r="AJR11">
        <v>449</v>
      </c>
      <c r="AJS11" s="5"/>
      <c r="AJT11">
        <f t="shared" si="159"/>
        <v>28</v>
      </c>
      <c r="AJU11" t="s">
        <v>1120</v>
      </c>
      <c r="AJV11" t="s">
        <v>3146</v>
      </c>
      <c r="AJW11">
        <v>9.9020373821258545</v>
      </c>
      <c r="AJX11">
        <v>403</v>
      </c>
      <c r="AJY11" s="2"/>
      <c r="AJZ11">
        <f t="shared" si="160"/>
        <v>42</v>
      </c>
      <c r="AKA11" t="s">
        <v>3147</v>
      </c>
      <c r="AKB11" t="s">
        <v>3148</v>
      </c>
      <c r="AKC11">
        <v>26.531549215316769</v>
      </c>
      <c r="AKD11">
        <v>417</v>
      </c>
      <c r="AKE11" s="5"/>
      <c r="AKF11">
        <f t="shared" si="161"/>
        <v>61</v>
      </c>
      <c r="AKG11" t="s">
        <v>64</v>
      </c>
      <c r="AKH11" t="s">
        <v>3149</v>
      </c>
      <c r="AKI11">
        <v>13.1420841217041</v>
      </c>
      <c r="AKJ11">
        <v>465</v>
      </c>
      <c r="AKK11" s="2"/>
      <c r="AKL11">
        <f t="shared" si="162"/>
        <v>36</v>
      </c>
      <c r="AKM11" t="s">
        <v>3150</v>
      </c>
      <c r="AKN11" t="s">
        <v>3151</v>
      </c>
      <c r="AKO11">
        <v>39.067933559417718</v>
      </c>
      <c r="AKP11">
        <v>339</v>
      </c>
      <c r="AKQ11" s="5"/>
      <c r="AKR11">
        <f t="shared" si="163"/>
        <v>39</v>
      </c>
      <c r="AKS11" t="s">
        <v>2762</v>
      </c>
      <c r="AKT11" t="s">
        <v>3152</v>
      </c>
      <c r="AKU11">
        <v>25.46460127830505</v>
      </c>
      <c r="AKV11">
        <v>330</v>
      </c>
      <c r="AKW11" s="2"/>
      <c r="AKX11">
        <f t="shared" si="164"/>
        <v>31</v>
      </c>
      <c r="AKY11" t="s">
        <v>2260</v>
      </c>
      <c r="AKZ11" t="s">
        <v>3153</v>
      </c>
      <c r="ALA11">
        <v>20.58274674415588</v>
      </c>
      <c r="ALB11">
        <v>432</v>
      </c>
      <c r="ALC11" s="5"/>
      <c r="ALD11">
        <f t="shared" si="165"/>
        <v>26</v>
      </c>
      <c r="ALE11" t="s">
        <v>2963</v>
      </c>
      <c r="ALF11" t="s">
        <v>3154</v>
      </c>
      <c r="ALG11">
        <v>42.823192596435547</v>
      </c>
      <c r="ALH11">
        <v>330</v>
      </c>
      <c r="ALI11" s="2"/>
      <c r="ALJ11">
        <f t="shared" si="166"/>
        <v>21</v>
      </c>
      <c r="ALK11" t="s">
        <v>2434</v>
      </c>
      <c r="ALL11" t="s">
        <v>3155</v>
      </c>
      <c r="ALM11">
        <v>17.04737114906311</v>
      </c>
      <c r="ALN11">
        <v>304</v>
      </c>
      <c r="ALO11" s="5"/>
      <c r="ALP11">
        <f t="shared" si="167"/>
        <v>21</v>
      </c>
      <c r="ALQ11" t="s">
        <v>3156</v>
      </c>
      <c r="ALR11" t="s">
        <v>3157</v>
      </c>
      <c r="ALS11">
        <v>5.8893284797668457</v>
      </c>
      <c r="ALT11">
        <v>213</v>
      </c>
      <c r="ALU11" s="2"/>
      <c r="ALV11">
        <f t="shared" si="168"/>
        <v>60</v>
      </c>
      <c r="ALW11" t="s">
        <v>3158</v>
      </c>
      <c r="ALX11" t="s">
        <v>3159</v>
      </c>
      <c r="ALY11">
        <v>27.902037143707279</v>
      </c>
      <c r="ALZ11">
        <v>350</v>
      </c>
      <c r="AMA11" s="5"/>
      <c r="AMB11">
        <f t="shared" si="169"/>
        <v>60</v>
      </c>
      <c r="AMC11" t="s">
        <v>3160</v>
      </c>
      <c r="AMD11" t="s">
        <v>3161</v>
      </c>
      <c r="AME11">
        <v>160.12549042701721</v>
      </c>
      <c r="AMF11">
        <v>339</v>
      </c>
      <c r="AMG11" s="2"/>
      <c r="AMH11">
        <f t="shared" si="170"/>
        <v>24</v>
      </c>
      <c r="AMI11" t="s">
        <v>3162</v>
      </c>
      <c r="AMJ11" t="s">
        <v>3163</v>
      </c>
      <c r="AMK11">
        <v>21.96702337265015</v>
      </c>
      <c r="AML11">
        <v>481</v>
      </c>
      <c r="AMM11" s="5"/>
      <c r="AMN11">
        <f t="shared" si="171"/>
        <v>32</v>
      </c>
      <c r="AMO11" t="s">
        <v>3164</v>
      </c>
      <c r="AMP11" t="s">
        <v>3165</v>
      </c>
      <c r="AMQ11">
        <v>14.963737487792971</v>
      </c>
      <c r="AMR11">
        <v>389</v>
      </c>
      <c r="AMS11" s="2"/>
      <c r="AMT11">
        <f t="shared" si="172"/>
        <v>22</v>
      </c>
      <c r="AMU11" t="s">
        <v>1850</v>
      </c>
      <c r="AMV11" t="s">
        <v>3166</v>
      </c>
      <c r="AMW11">
        <v>167.62616682052609</v>
      </c>
      <c r="AMX11">
        <v>452</v>
      </c>
      <c r="AMY11" s="5"/>
      <c r="AMZ11">
        <f t="shared" si="173"/>
        <v>31</v>
      </c>
      <c r="ANA11" t="s">
        <v>1739</v>
      </c>
      <c r="ANB11" t="s">
        <v>3167</v>
      </c>
      <c r="ANC11">
        <v>13.053131818771361</v>
      </c>
      <c r="AND11">
        <v>342</v>
      </c>
      <c r="ANE11" s="2"/>
      <c r="ANF11">
        <f t="shared" si="174"/>
        <v>61</v>
      </c>
      <c r="ANG11" t="s">
        <v>1630</v>
      </c>
      <c r="ANH11" t="s">
        <v>3168</v>
      </c>
      <c r="ANI11">
        <v>16.820792436599731</v>
      </c>
      <c r="ANJ11">
        <v>451</v>
      </c>
      <c r="ANK11" s="5"/>
      <c r="ANL11">
        <f t="shared" si="175"/>
        <v>36</v>
      </c>
      <c r="ANM11" t="s">
        <v>3169</v>
      </c>
      <c r="ANN11" t="s">
        <v>3170</v>
      </c>
      <c r="ANO11">
        <v>15.10474061965942</v>
      </c>
      <c r="ANP11">
        <v>298</v>
      </c>
      <c r="ANQ11" s="2"/>
      <c r="ANR11">
        <f t="shared" si="176"/>
        <v>31</v>
      </c>
      <c r="ANS11" t="s">
        <v>843</v>
      </c>
      <c r="ANT11" t="s">
        <v>3171</v>
      </c>
      <c r="ANU11">
        <v>15.72003793716431</v>
      </c>
      <c r="ANV11">
        <v>343</v>
      </c>
      <c r="ANW11" s="5"/>
      <c r="ANX11">
        <f t="shared" si="177"/>
        <v>30</v>
      </c>
      <c r="ANY11" t="s">
        <v>3172</v>
      </c>
      <c r="ANZ11" t="s">
        <v>3173</v>
      </c>
      <c r="AOA11">
        <v>178.53021931648249</v>
      </c>
      <c r="AOB11">
        <v>326</v>
      </c>
      <c r="AOC11" s="2"/>
      <c r="AOD11">
        <f t="shared" si="178"/>
        <v>25</v>
      </c>
      <c r="AOE11" t="s">
        <v>3174</v>
      </c>
      <c r="AOF11" t="s">
        <v>3175</v>
      </c>
      <c r="AOG11">
        <v>22.399999380111691</v>
      </c>
      <c r="AOH11">
        <v>401</v>
      </c>
      <c r="AOI11" s="5"/>
      <c r="AOJ11">
        <f t="shared" si="179"/>
        <v>30</v>
      </c>
      <c r="AOK11" t="s">
        <v>3176</v>
      </c>
      <c r="AOL11" t="s">
        <v>3177</v>
      </c>
      <c r="AOM11">
        <v>13.262469053268431</v>
      </c>
      <c r="AON11">
        <v>380</v>
      </c>
      <c r="AOO11" s="2"/>
      <c r="AOP11">
        <f t="shared" si="180"/>
        <v>43</v>
      </c>
      <c r="AOQ11" t="s">
        <v>3178</v>
      </c>
      <c r="AOR11" t="s">
        <v>3179</v>
      </c>
      <c r="AOS11">
        <v>33.554056406021118</v>
      </c>
      <c r="AOT11">
        <v>554</v>
      </c>
      <c r="AOU11" s="5"/>
      <c r="AOV11">
        <f t="shared" si="181"/>
        <v>39</v>
      </c>
      <c r="AOW11" t="s">
        <v>3180</v>
      </c>
      <c r="AOX11" t="s">
        <v>3181</v>
      </c>
      <c r="AOY11">
        <v>9.6904475688934326</v>
      </c>
      <c r="AOZ11">
        <v>322</v>
      </c>
      <c r="APA11" s="2"/>
      <c r="APB11">
        <f t="shared" si="182"/>
        <v>34</v>
      </c>
      <c r="APC11" t="s">
        <v>3182</v>
      </c>
      <c r="APD11" t="s">
        <v>3183</v>
      </c>
      <c r="APE11">
        <v>31.850248575210571</v>
      </c>
      <c r="APF11">
        <v>402</v>
      </c>
      <c r="APG11" s="5"/>
      <c r="APH11">
        <f t="shared" si="183"/>
        <v>32</v>
      </c>
      <c r="API11" t="s">
        <v>3184</v>
      </c>
      <c r="APJ11" t="s">
        <v>3185</v>
      </c>
      <c r="APK11">
        <v>13.677725315093991</v>
      </c>
      <c r="APL11">
        <v>398</v>
      </c>
      <c r="APM11" s="2"/>
      <c r="APN11">
        <f t="shared" si="184"/>
        <v>50</v>
      </c>
      <c r="APO11" t="s">
        <v>841</v>
      </c>
      <c r="APP11" t="s">
        <v>3186</v>
      </c>
      <c r="APQ11">
        <v>19.740780830383301</v>
      </c>
      <c r="APR11">
        <v>344</v>
      </c>
      <c r="APS11" s="5"/>
      <c r="APT11">
        <f t="shared" si="185"/>
        <v>24</v>
      </c>
      <c r="APU11" t="s">
        <v>3187</v>
      </c>
      <c r="APV11" t="s">
        <v>3188</v>
      </c>
      <c r="APW11">
        <v>6.7364187240600586</v>
      </c>
      <c r="APX11">
        <v>423</v>
      </c>
      <c r="APY11" s="2"/>
      <c r="APZ11">
        <f t="shared" si="186"/>
        <v>27</v>
      </c>
      <c r="AQA11" t="s">
        <v>3189</v>
      </c>
      <c r="AQB11" t="s">
        <v>3190</v>
      </c>
      <c r="AQC11">
        <v>215.0044016838074</v>
      </c>
      <c r="AQD11">
        <v>416</v>
      </c>
      <c r="AQE11" s="5"/>
      <c r="AQF11">
        <f t="shared" si="187"/>
        <v>26</v>
      </c>
      <c r="AQG11" t="s">
        <v>3191</v>
      </c>
      <c r="AQH11" t="s">
        <v>3192</v>
      </c>
      <c r="AQI11">
        <v>11.4248206615448</v>
      </c>
      <c r="AQJ11">
        <v>425</v>
      </c>
      <c r="AQK11" s="2"/>
      <c r="AQL11">
        <f t="shared" si="188"/>
        <v>15</v>
      </c>
      <c r="AQM11" t="s">
        <v>1417</v>
      </c>
      <c r="AQN11" t="s">
        <v>3193</v>
      </c>
      <c r="AQO11">
        <v>246.4912180900574</v>
      </c>
      <c r="AQP11">
        <v>356</v>
      </c>
      <c r="AQQ11" s="5"/>
      <c r="AQR11">
        <f t="shared" si="189"/>
        <v>68</v>
      </c>
      <c r="AQS11" t="s">
        <v>3194</v>
      </c>
      <c r="AQT11" t="s">
        <v>3195</v>
      </c>
      <c r="AQU11">
        <v>21.3247537612915</v>
      </c>
      <c r="AQV11">
        <v>413</v>
      </c>
      <c r="AQW11" s="2"/>
      <c r="AQX11">
        <f t="shared" si="190"/>
        <v>31</v>
      </c>
      <c r="AQY11" t="s">
        <v>3196</v>
      </c>
      <c r="AQZ11" t="s">
        <v>3197</v>
      </c>
      <c r="ARA11">
        <v>21.88312029838562</v>
      </c>
      <c r="ARB11">
        <v>360</v>
      </c>
      <c r="ARC11" s="5"/>
      <c r="ARD11">
        <f t="shared" si="191"/>
        <v>28</v>
      </c>
      <c r="ARE11" t="s">
        <v>3198</v>
      </c>
      <c r="ARF11" t="s">
        <v>3199</v>
      </c>
      <c r="ARG11">
        <v>13.93251991271973</v>
      </c>
      <c r="ARH11">
        <v>369</v>
      </c>
      <c r="ARI11" s="2"/>
      <c r="ARJ11">
        <f t="shared" si="192"/>
        <v>78</v>
      </c>
      <c r="ARK11" t="s">
        <v>3200</v>
      </c>
      <c r="ARL11" t="s">
        <v>3201</v>
      </c>
      <c r="ARM11">
        <v>38.888205528259277</v>
      </c>
      <c r="ARN11">
        <v>272</v>
      </c>
      <c r="ARO11" s="5"/>
      <c r="ARP11">
        <f t="shared" si="193"/>
        <v>33</v>
      </c>
      <c r="ARQ11" t="s">
        <v>94</v>
      </c>
      <c r="ARR11" t="s">
        <v>3202</v>
      </c>
      <c r="ARS11">
        <v>12.76971173286438</v>
      </c>
      <c r="ART11">
        <v>306</v>
      </c>
      <c r="ARU11" s="2"/>
      <c r="ARV11">
        <f t="shared" si="194"/>
        <v>146</v>
      </c>
      <c r="ARW11" t="s">
        <v>3203</v>
      </c>
      <c r="ARX11" t="s">
        <v>3204</v>
      </c>
      <c r="ARY11">
        <v>44.368447780609131</v>
      </c>
      <c r="ARZ11">
        <v>515</v>
      </c>
      <c r="ASA11" s="5"/>
      <c r="ASB11">
        <f t="shared" si="195"/>
        <v>30</v>
      </c>
      <c r="ASC11" t="s">
        <v>3205</v>
      </c>
      <c r="ASD11" t="s">
        <v>3206</v>
      </c>
      <c r="ASE11">
        <v>15.100243806838989</v>
      </c>
      <c r="ASF11">
        <v>334</v>
      </c>
      <c r="ASG11" s="2"/>
      <c r="ASH11">
        <f t="shared" si="196"/>
        <v>23</v>
      </c>
      <c r="ASI11" t="s">
        <v>3207</v>
      </c>
      <c r="ASJ11" t="s">
        <v>3208</v>
      </c>
      <c r="ASK11">
        <v>27.41008901596069</v>
      </c>
      <c r="ASL11">
        <v>367</v>
      </c>
      <c r="ASM11" s="5"/>
      <c r="ASN11">
        <f t="shared" si="197"/>
        <v>23</v>
      </c>
      <c r="ASO11" t="s">
        <v>1191</v>
      </c>
      <c r="ASP11" t="s">
        <v>3209</v>
      </c>
      <c r="ASQ11">
        <v>5.7138514518737793</v>
      </c>
      <c r="ASR11">
        <v>294</v>
      </c>
      <c r="ASS11" s="2"/>
      <c r="AST11">
        <f t="shared" si="198"/>
        <v>22</v>
      </c>
      <c r="ASU11" t="s">
        <v>304</v>
      </c>
      <c r="ASV11" t="s">
        <v>3210</v>
      </c>
      <c r="ASW11">
        <v>19.593815565109249</v>
      </c>
      <c r="ASX11">
        <v>241</v>
      </c>
      <c r="ASY11" s="5"/>
      <c r="ASZ11">
        <f t="shared" si="199"/>
        <v>30</v>
      </c>
      <c r="ATA11" t="s">
        <v>3211</v>
      </c>
      <c r="ATB11" t="s">
        <v>3212</v>
      </c>
      <c r="ATC11">
        <v>7.7789905071258536</v>
      </c>
      <c r="ATD11">
        <v>221</v>
      </c>
      <c r="ATE11" s="2"/>
      <c r="ATF11">
        <f t="shared" si="200"/>
        <v>28</v>
      </c>
      <c r="ATG11" t="s">
        <v>3213</v>
      </c>
      <c r="ATH11" t="s">
        <v>3214</v>
      </c>
      <c r="ATI11">
        <v>53.834600448608398</v>
      </c>
      <c r="ATJ11">
        <v>404</v>
      </c>
      <c r="ATK11" s="5"/>
      <c r="ATL11">
        <f t="shared" si="201"/>
        <v>36</v>
      </c>
      <c r="ATM11" t="s">
        <v>3215</v>
      </c>
      <c r="ATN11" t="s">
        <v>3216</v>
      </c>
      <c r="ATO11">
        <v>16.735887050628659</v>
      </c>
      <c r="ATP11">
        <v>428</v>
      </c>
      <c r="ATQ11" s="2"/>
      <c r="ATR11">
        <f t="shared" si="202"/>
        <v>25</v>
      </c>
      <c r="ATS11" t="s">
        <v>3217</v>
      </c>
      <c r="ATT11" t="s">
        <v>3218</v>
      </c>
      <c r="ATU11">
        <v>16.976603031158451</v>
      </c>
      <c r="ATV11">
        <v>334</v>
      </c>
      <c r="ATW11" s="5"/>
      <c r="ATX11">
        <f t="shared" si="203"/>
        <v>30</v>
      </c>
      <c r="ATY11" t="s">
        <v>983</v>
      </c>
      <c r="ATZ11" t="s">
        <v>3219</v>
      </c>
      <c r="AUA11">
        <v>16.88639140129089</v>
      </c>
      <c r="AUB11">
        <v>457</v>
      </c>
      <c r="AUC11" s="2"/>
    </row>
    <row r="12" spans="2:1225" x14ac:dyDescent="0.25">
      <c r="B12">
        <f t="shared" si="0"/>
        <v>18</v>
      </c>
      <c r="C12" t="s">
        <v>3220</v>
      </c>
      <c r="D12" t="s">
        <v>3221</v>
      </c>
      <c r="E12">
        <v>4.1062541007995614</v>
      </c>
      <c r="F12">
        <v>222</v>
      </c>
      <c r="G12" s="1"/>
      <c r="H12">
        <f t="shared" si="1"/>
        <v>32</v>
      </c>
      <c r="I12" t="s">
        <v>3222</v>
      </c>
      <c r="J12" t="s">
        <v>3223</v>
      </c>
      <c r="K12">
        <v>19.128608226776119</v>
      </c>
      <c r="L12">
        <v>461</v>
      </c>
      <c r="M12" s="2"/>
      <c r="N12">
        <f t="shared" si="2"/>
        <v>28</v>
      </c>
      <c r="O12" t="s">
        <v>3224</v>
      </c>
      <c r="P12" t="s">
        <v>3225</v>
      </c>
      <c r="Q12">
        <v>21.197585105896</v>
      </c>
      <c r="R12">
        <v>353</v>
      </c>
      <c r="S12" s="1"/>
      <c r="T12">
        <f t="shared" si="3"/>
        <v>33</v>
      </c>
      <c r="U12" t="s">
        <v>3226</v>
      </c>
      <c r="V12" t="s">
        <v>3227</v>
      </c>
      <c r="W12">
        <v>37.221678495407097</v>
      </c>
      <c r="X12">
        <v>494</v>
      </c>
      <c r="Y12" s="2"/>
      <c r="Z12">
        <f t="shared" si="4"/>
        <v>39</v>
      </c>
      <c r="AA12" t="s">
        <v>3228</v>
      </c>
      <c r="AB12" t="s">
        <v>3229</v>
      </c>
      <c r="AC12">
        <v>107.0966291427612</v>
      </c>
      <c r="AD12">
        <v>253</v>
      </c>
      <c r="AE12" s="1"/>
      <c r="AF12">
        <f t="shared" si="5"/>
        <v>63</v>
      </c>
      <c r="AG12" t="s">
        <v>3230</v>
      </c>
      <c r="AH12" t="s">
        <v>3231</v>
      </c>
      <c r="AI12">
        <v>41.244227409362793</v>
      </c>
      <c r="AJ12">
        <v>358</v>
      </c>
      <c r="AK12" s="2"/>
      <c r="AL12">
        <f t="shared" si="6"/>
        <v>34</v>
      </c>
      <c r="AM12" t="s">
        <v>728</v>
      </c>
      <c r="AN12" t="s">
        <v>3232</v>
      </c>
      <c r="AO12">
        <v>12.491905450820919</v>
      </c>
      <c r="AP12">
        <v>379</v>
      </c>
      <c r="AQ12" s="1"/>
      <c r="AR12">
        <f t="shared" si="7"/>
        <v>33</v>
      </c>
      <c r="AS12" t="s">
        <v>3233</v>
      </c>
      <c r="AT12" t="s">
        <v>3234</v>
      </c>
      <c r="AU12">
        <v>17.140114784240719</v>
      </c>
      <c r="AV12">
        <v>541</v>
      </c>
      <c r="AW12" s="2"/>
      <c r="AX12">
        <f t="shared" si="8"/>
        <v>36</v>
      </c>
      <c r="AY12" t="s">
        <v>3235</v>
      </c>
      <c r="AZ12" t="s">
        <v>3236</v>
      </c>
      <c r="BA12">
        <v>45.856499910354607</v>
      </c>
      <c r="BB12">
        <v>322</v>
      </c>
      <c r="BC12" s="1"/>
      <c r="BD12">
        <f t="shared" si="9"/>
        <v>39</v>
      </c>
      <c r="BE12" t="s">
        <v>3237</v>
      </c>
      <c r="BF12" t="s">
        <v>3238</v>
      </c>
      <c r="BG12">
        <v>24.097559928894039</v>
      </c>
      <c r="BH12">
        <v>408</v>
      </c>
      <c r="BI12" s="2"/>
      <c r="BJ12">
        <f t="shared" si="10"/>
        <v>32</v>
      </c>
      <c r="BK12" t="s">
        <v>3239</v>
      </c>
      <c r="BL12" t="s">
        <v>3240</v>
      </c>
      <c r="BM12">
        <v>5.9201400279998779</v>
      </c>
      <c r="BN12">
        <v>332</v>
      </c>
      <c r="BO12" s="1"/>
      <c r="BP12">
        <f t="shared" si="11"/>
        <v>24</v>
      </c>
      <c r="BQ12" t="s">
        <v>3241</v>
      </c>
      <c r="BR12" t="s">
        <v>3242</v>
      </c>
      <c r="BS12">
        <v>14.531941890716549</v>
      </c>
      <c r="BT12">
        <v>401</v>
      </c>
      <c r="BU12" s="2"/>
      <c r="BV12">
        <f t="shared" si="12"/>
        <v>24</v>
      </c>
      <c r="BW12" t="s">
        <v>2114</v>
      </c>
      <c r="BX12" t="s">
        <v>3243</v>
      </c>
      <c r="BY12">
        <v>5.0432133674621582</v>
      </c>
      <c r="BZ12">
        <v>567</v>
      </c>
      <c r="CA12" s="1"/>
      <c r="CB12">
        <f t="shared" si="13"/>
        <v>27</v>
      </c>
      <c r="CC12" t="s">
        <v>3244</v>
      </c>
      <c r="CD12" t="s">
        <v>3245</v>
      </c>
      <c r="CE12">
        <v>19.151267766952511</v>
      </c>
      <c r="CF12">
        <v>403</v>
      </c>
      <c r="CG12" s="2"/>
      <c r="CH12">
        <f t="shared" si="14"/>
        <v>50</v>
      </c>
      <c r="CI12" t="s">
        <v>3246</v>
      </c>
      <c r="CJ12" t="s">
        <v>3247</v>
      </c>
      <c r="CK12">
        <v>9.5874650478363037</v>
      </c>
      <c r="CL12">
        <v>444</v>
      </c>
      <c r="CM12" s="1"/>
      <c r="CN12">
        <f t="shared" si="15"/>
        <v>42</v>
      </c>
      <c r="CO12" t="s">
        <v>3248</v>
      </c>
      <c r="CP12" t="s">
        <v>3249</v>
      </c>
      <c r="CQ12">
        <v>26.812561750411991</v>
      </c>
      <c r="CR12">
        <v>392</v>
      </c>
      <c r="CS12" s="2"/>
      <c r="CT12">
        <f t="shared" si="16"/>
        <v>28</v>
      </c>
      <c r="CU12" t="s">
        <v>873</v>
      </c>
      <c r="CV12" t="s">
        <v>3250</v>
      </c>
      <c r="CW12">
        <v>6.8617827892303467</v>
      </c>
      <c r="CX12">
        <v>344</v>
      </c>
      <c r="CY12" s="1"/>
      <c r="CZ12">
        <f t="shared" si="17"/>
        <v>0</v>
      </c>
      <c r="DB12" t="s">
        <v>3251</v>
      </c>
      <c r="DC12">
        <v>10.476394653320311</v>
      </c>
      <c r="DD12">
        <v>404</v>
      </c>
      <c r="DE12" s="2"/>
      <c r="DF12">
        <f t="shared" si="18"/>
        <v>36</v>
      </c>
      <c r="DG12" t="s">
        <v>3252</v>
      </c>
      <c r="DH12" t="s">
        <v>3253</v>
      </c>
      <c r="DI12">
        <v>19.992986440658569</v>
      </c>
      <c r="DJ12">
        <v>417</v>
      </c>
      <c r="DK12" s="1"/>
      <c r="DL12">
        <f t="shared" si="19"/>
        <v>24</v>
      </c>
      <c r="DM12" t="s">
        <v>366</v>
      </c>
      <c r="DN12" t="s">
        <v>3254</v>
      </c>
      <c r="DO12">
        <v>22.341933012008671</v>
      </c>
      <c r="DP12">
        <v>371</v>
      </c>
      <c r="DQ12" s="2"/>
      <c r="DR12">
        <f t="shared" si="20"/>
        <v>22</v>
      </c>
      <c r="DS12" t="s">
        <v>3255</v>
      </c>
      <c r="DT12" t="s">
        <v>3256</v>
      </c>
      <c r="DU12">
        <v>5.0005021095275879</v>
      </c>
      <c r="DV12">
        <v>392</v>
      </c>
      <c r="DW12" s="1"/>
      <c r="DX12">
        <f t="shared" si="21"/>
        <v>54</v>
      </c>
      <c r="DY12" t="s">
        <v>2512</v>
      </c>
      <c r="DZ12" t="s">
        <v>3257</v>
      </c>
      <c r="EA12">
        <v>23.956838846206669</v>
      </c>
      <c r="EB12">
        <v>366</v>
      </c>
      <c r="EC12" s="2"/>
      <c r="ED12">
        <f t="shared" si="22"/>
        <v>45</v>
      </c>
      <c r="EE12" t="s">
        <v>3258</v>
      </c>
      <c r="EF12" t="s">
        <v>3259</v>
      </c>
      <c r="EG12">
        <v>78.3529212474823</v>
      </c>
      <c r="EH12">
        <v>308</v>
      </c>
      <c r="EI12" s="1"/>
      <c r="EJ12">
        <f t="shared" si="23"/>
        <v>29</v>
      </c>
      <c r="EK12" t="s">
        <v>3260</v>
      </c>
      <c r="EL12" t="s">
        <v>3261</v>
      </c>
      <c r="EM12">
        <v>26.242905139923099</v>
      </c>
      <c r="EN12">
        <v>445</v>
      </c>
      <c r="EO12" s="2"/>
      <c r="EP12">
        <f t="shared" si="24"/>
        <v>24</v>
      </c>
      <c r="EQ12" t="s">
        <v>3262</v>
      </c>
      <c r="ER12" t="s">
        <v>3263</v>
      </c>
      <c r="ES12">
        <v>19.835702419281009</v>
      </c>
      <c r="ET12">
        <v>290</v>
      </c>
      <c r="EU12" s="1"/>
      <c r="EV12">
        <f t="shared" si="25"/>
        <v>35</v>
      </c>
      <c r="EW12" t="s">
        <v>378</v>
      </c>
      <c r="EX12" t="s">
        <v>3264</v>
      </c>
      <c r="EY12">
        <v>15.161617040634161</v>
      </c>
      <c r="EZ12">
        <v>395</v>
      </c>
      <c r="FA12" s="2"/>
      <c r="FB12">
        <f t="shared" si="26"/>
        <v>42</v>
      </c>
      <c r="FC12" t="s">
        <v>3265</v>
      </c>
      <c r="FD12" t="s">
        <v>3266</v>
      </c>
      <c r="FE12">
        <v>11.139105081558229</v>
      </c>
      <c r="FF12">
        <v>445</v>
      </c>
      <c r="FG12" s="1"/>
      <c r="FH12">
        <f t="shared" si="27"/>
        <v>4</v>
      </c>
      <c r="FI12" t="s">
        <v>673</v>
      </c>
      <c r="FJ12" t="s">
        <v>3267</v>
      </c>
      <c r="FK12">
        <v>16.147354602813721</v>
      </c>
      <c r="FL12">
        <v>333</v>
      </c>
      <c r="FM12" s="2"/>
      <c r="FN12">
        <f t="shared" si="28"/>
        <v>31</v>
      </c>
      <c r="FO12" t="s">
        <v>3268</v>
      </c>
      <c r="FP12" t="s">
        <v>3269</v>
      </c>
      <c r="FQ12">
        <v>16.711565732955929</v>
      </c>
      <c r="FR12">
        <v>464</v>
      </c>
      <c r="FS12" s="1"/>
      <c r="FT12">
        <f t="shared" si="29"/>
        <v>39</v>
      </c>
      <c r="FU12" t="s">
        <v>3270</v>
      </c>
      <c r="FV12" t="s">
        <v>3271</v>
      </c>
      <c r="FW12">
        <v>36.58516526222229</v>
      </c>
      <c r="FX12">
        <v>425</v>
      </c>
      <c r="FY12" s="2"/>
      <c r="FZ12">
        <f t="shared" si="30"/>
        <v>42</v>
      </c>
      <c r="GA12" t="s">
        <v>3272</v>
      </c>
      <c r="GB12" t="s">
        <v>3273</v>
      </c>
      <c r="GC12">
        <v>26.267214775085449</v>
      </c>
      <c r="GD12">
        <v>400</v>
      </c>
      <c r="GE12" s="1"/>
      <c r="GF12">
        <f t="shared" si="31"/>
        <v>0</v>
      </c>
      <c r="GH12" t="s">
        <v>3274</v>
      </c>
      <c r="GI12">
        <v>26.826070547103878</v>
      </c>
      <c r="GJ12">
        <v>375</v>
      </c>
      <c r="GK12" s="2"/>
      <c r="GL12">
        <f t="shared" si="32"/>
        <v>28</v>
      </c>
      <c r="GM12" t="s">
        <v>3275</v>
      </c>
      <c r="GN12" t="s">
        <v>3276</v>
      </c>
      <c r="GO12">
        <v>14.479699850082399</v>
      </c>
      <c r="GP12">
        <v>371</v>
      </c>
      <c r="GQ12" s="1"/>
      <c r="GR12">
        <f t="shared" si="33"/>
        <v>11</v>
      </c>
      <c r="GS12" t="s">
        <v>1901</v>
      </c>
      <c r="GT12" t="s">
        <v>3277</v>
      </c>
      <c r="GU12">
        <v>48.832695484161377</v>
      </c>
      <c r="GV12">
        <v>345</v>
      </c>
      <c r="GW12" s="2"/>
      <c r="GX12">
        <f t="shared" si="34"/>
        <v>33</v>
      </c>
      <c r="GY12" t="s">
        <v>3278</v>
      </c>
      <c r="GZ12" t="s">
        <v>3279</v>
      </c>
      <c r="HA12">
        <v>14.02053570747375</v>
      </c>
      <c r="HB12">
        <v>316</v>
      </c>
      <c r="HC12" s="1"/>
      <c r="HD12">
        <f t="shared" si="35"/>
        <v>32</v>
      </c>
      <c r="HE12" t="s">
        <v>3280</v>
      </c>
      <c r="HF12" t="s">
        <v>3281</v>
      </c>
      <c r="HG12">
        <v>30.77506947517395</v>
      </c>
      <c r="HH12">
        <v>429</v>
      </c>
      <c r="HI12" s="2"/>
      <c r="HJ12">
        <f t="shared" si="36"/>
        <v>30</v>
      </c>
      <c r="HK12" t="s">
        <v>3282</v>
      </c>
      <c r="HL12" t="s">
        <v>3283</v>
      </c>
      <c r="HM12">
        <v>128.18208312988281</v>
      </c>
      <c r="HN12">
        <v>371</v>
      </c>
      <c r="HO12" s="1"/>
      <c r="HP12">
        <f t="shared" si="37"/>
        <v>31</v>
      </c>
      <c r="HQ12" t="s">
        <v>2525</v>
      </c>
      <c r="HR12" t="s">
        <v>3284</v>
      </c>
      <c r="HS12">
        <v>38.392508745193481</v>
      </c>
      <c r="HT12">
        <v>493</v>
      </c>
      <c r="HU12" s="2"/>
      <c r="HV12">
        <f t="shared" si="38"/>
        <v>56</v>
      </c>
      <c r="HW12" t="s">
        <v>3285</v>
      </c>
      <c r="HX12" t="s">
        <v>3286</v>
      </c>
      <c r="HY12">
        <v>26.365340709686279</v>
      </c>
      <c r="HZ12">
        <v>353</v>
      </c>
      <c r="IA12" s="1"/>
      <c r="IB12">
        <f t="shared" si="39"/>
        <v>94</v>
      </c>
      <c r="IC12" t="s">
        <v>3287</v>
      </c>
      <c r="ID12" t="s">
        <v>3288</v>
      </c>
      <c r="IE12">
        <v>275.95950388908392</v>
      </c>
      <c r="IF12">
        <v>371</v>
      </c>
      <c r="IG12" s="2"/>
      <c r="IH12">
        <f t="shared" si="40"/>
        <v>36</v>
      </c>
      <c r="II12" t="s">
        <v>3289</v>
      </c>
      <c r="IJ12" t="s">
        <v>3290</v>
      </c>
      <c r="IK12">
        <v>15.996866226196291</v>
      </c>
      <c r="IL12">
        <v>341</v>
      </c>
      <c r="IM12" s="1"/>
      <c r="IN12">
        <f t="shared" si="41"/>
        <v>24</v>
      </c>
      <c r="IO12" t="s">
        <v>3291</v>
      </c>
      <c r="IP12" t="s">
        <v>3292</v>
      </c>
      <c r="IQ12">
        <v>14.025969266891479</v>
      </c>
      <c r="IR12">
        <v>501</v>
      </c>
      <c r="IS12" s="2"/>
      <c r="IT12">
        <f t="shared" si="42"/>
        <v>23</v>
      </c>
      <c r="IU12" t="s">
        <v>3293</v>
      </c>
      <c r="IV12" t="s">
        <v>3294</v>
      </c>
      <c r="IW12">
        <v>8.833632230758667</v>
      </c>
      <c r="IX12">
        <v>403</v>
      </c>
      <c r="IY12" s="1"/>
      <c r="IZ12">
        <f t="shared" si="43"/>
        <v>23</v>
      </c>
      <c r="JA12" t="s">
        <v>590</v>
      </c>
      <c r="JB12" t="s">
        <v>3295</v>
      </c>
      <c r="JC12">
        <v>38.522756814956672</v>
      </c>
      <c r="JD12">
        <v>314</v>
      </c>
      <c r="JE12" s="2"/>
      <c r="JF12">
        <f t="shared" si="44"/>
        <v>42</v>
      </c>
      <c r="JG12" t="s">
        <v>3296</v>
      </c>
      <c r="JH12" t="s">
        <v>3297</v>
      </c>
      <c r="JI12">
        <v>80.974779605865479</v>
      </c>
      <c r="JJ12">
        <v>276</v>
      </c>
      <c r="JK12" s="1"/>
      <c r="JL12">
        <f t="shared" si="45"/>
        <v>45</v>
      </c>
      <c r="JM12" t="s">
        <v>3298</v>
      </c>
      <c r="JN12" t="s">
        <v>3299</v>
      </c>
      <c r="JO12">
        <v>26.05666971206665</v>
      </c>
      <c r="JP12">
        <v>435</v>
      </c>
      <c r="JQ12" s="2"/>
      <c r="JR12">
        <f t="shared" si="46"/>
        <v>26</v>
      </c>
      <c r="JS12" t="s">
        <v>3300</v>
      </c>
      <c r="JT12" t="s">
        <v>3301</v>
      </c>
      <c r="JU12">
        <v>18.04708361625671</v>
      </c>
      <c r="JV12">
        <v>258</v>
      </c>
      <c r="JW12" s="1"/>
      <c r="JX12">
        <f t="shared" si="47"/>
        <v>130</v>
      </c>
      <c r="JY12" t="s">
        <v>3302</v>
      </c>
      <c r="JZ12" t="s">
        <v>3303</v>
      </c>
      <c r="KA12">
        <v>25.976958990097049</v>
      </c>
      <c r="KB12">
        <v>470</v>
      </c>
      <c r="KC12" s="2"/>
      <c r="KD12">
        <f t="shared" si="48"/>
        <v>41</v>
      </c>
      <c r="KE12" t="s">
        <v>3304</v>
      </c>
      <c r="KF12" t="s">
        <v>3305</v>
      </c>
      <c r="KG12">
        <v>20.298754453659061</v>
      </c>
      <c r="KH12">
        <v>448</v>
      </c>
      <c r="KI12" s="1"/>
      <c r="KJ12">
        <f t="shared" si="49"/>
        <v>47</v>
      </c>
      <c r="KK12" t="s">
        <v>1466</v>
      </c>
      <c r="KL12" t="s">
        <v>3306</v>
      </c>
      <c r="KM12">
        <v>46.591626882553101</v>
      </c>
      <c r="KN12">
        <v>453</v>
      </c>
      <c r="KO12" s="2"/>
      <c r="KP12">
        <f t="shared" si="50"/>
        <v>23</v>
      </c>
      <c r="KQ12" t="s">
        <v>3307</v>
      </c>
      <c r="KR12" t="s">
        <v>3308</v>
      </c>
      <c r="KS12">
        <v>5.099428653717041</v>
      </c>
      <c r="KT12">
        <v>327</v>
      </c>
      <c r="KU12" s="1"/>
      <c r="KV12">
        <f t="shared" si="51"/>
        <v>23</v>
      </c>
      <c r="KW12" t="s">
        <v>1409</v>
      </c>
      <c r="KX12" t="s">
        <v>3309</v>
      </c>
      <c r="KY12">
        <v>13.45794939994812</v>
      </c>
      <c r="KZ12">
        <v>319</v>
      </c>
      <c r="LA12" s="2"/>
      <c r="LB12">
        <f t="shared" si="52"/>
        <v>28</v>
      </c>
      <c r="LC12" t="s">
        <v>3310</v>
      </c>
      <c r="LD12" t="s">
        <v>3311</v>
      </c>
      <c r="LE12">
        <v>16.958289384841919</v>
      </c>
      <c r="LF12">
        <v>462</v>
      </c>
      <c r="LG12" s="1"/>
      <c r="LH12">
        <f t="shared" si="53"/>
        <v>26</v>
      </c>
      <c r="LI12" t="s">
        <v>3312</v>
      </c>
      <c r="LJ12" t="s">
        <v>3313</v>
      </c>
      <c r="LK12">
        <v>19.713436126708981</v>
      </c>
      <c r="LL12">
        <v>443</v>
      </c>
      <c r="LM12" s="2"/>
      <c r="LN12">
        <f t="shared" si="54"/>
        <v>33</v>
      </c>
      <c r="LO12" t="s">
        <v>3314</v>
      </c>
      <c r="LP12" t="s">
        <v>3315</v>
      </c>
      <c r="LQ12">
        <v>33.78361701965332</v>
      </c>
      <c r="LR12">
        <v>327</v>
      </c>
      <c r="LS12" s="1"/>
      <c r="LT12">
        <f t="shared" si="55"/>
        <v>44</v>
      </c>
      <c r="LU12" t="s">
        <v>3316</v>
      </c>
      <c r="LV12" t="s">
        <v>3317</v>
      </c>
      <c r="LW12">
        <v>29.154748439788818</v>
      </c>
      <c r="LX12">
        <v>384</v>
      </c>
      <c r="LY12" s="2"/>
      <c r="LZ12">
        <f t="shared" si="56"/>
        <v>18</v>
      </c>
      <c r="MA12" t="s">
        <v>3318</v>
      </c>
      <c r="MB12" t="s">
        <v>3319</v>
      </c>
      <c r="MC12">
        <v>4.5863850116729736</v>
      </c>
      <c r="MD12">
        <v>255</v>
      </c>
      <c r="ME12" s="1"/>
      <c r="MF12">
        <f t="shared" si="57"/>
        <v>16</v>
      </c>
      <c r="MG12" t="s">
        <v>3191</v>
      </c>
      <c r="MH12" t="s">
        <v>3320</v>
      </c>
      <c r="MI12">
        <v>141.82219886779791</v>
      </c>
      <c r="MJ12">
        <v>283</v>
      </c>
      <c r="MK12" s="2"/>
      <c r="ML12">
        <f t="shared" si="58"/>
        <v>27</v>
      </c>
      <c r="MM12" t="s">
        <v>3321</v>
      </c>
      <c r="MN12" t="s">
        <v>3322</v>
      </c>
      <c r="MO12">
        <v>14.845562219619749</v>
      </c>
      <c r="MP12">
        <v>377</v>
      </c>
      <c r="MQ12" s="1"/>
      <c r="MR12">
        <f t="shared" si="59"/>
        <v>29</v>
      </c>
      <c r="MS12" t="s">
        <v>3323</v>
      </c>
      <c r="MT12" t="s">
        <v>3324</v>
      </c>
      <c r="MU12">
        <v>15.943783283233641</v>
      </c>
      <c r="MV12">
        <v>424</v>
      </c>
      <c r="MW12" s="2"/>
      <c r="MX12">
        <f t="shared" si="60"/>
        <v>22</v>
      </c>
      <c r="MY12" t="s">
        <v>3325</v>
      </c>
      <c r="MZ12" t="s">
        <v>3326</v>
      </c>
      <c r="NA12">
        <v>6.3978028297424316</v>
      </c>
      <c r="NB12">
        <v>281</v>
      </c>
      <c r="NC12" s="1"/>
      <c r="ND12">
        <f t="shared" si="61"/>
        <v>0</v>
      </c>
      <c r="NF12" t="s">
        <v>3327</v>
      </c>
      <c r="NG12">
        <v>9.9140167236328125</v>
      </c>
      <c r="NH12">
        <v>286</v>
      </c>
      <c r="NI12" s="2"/>
      <c r="NJ12">
        <f t="shared" si="62"/>
        <v>18</v>
      </c>
      <c r="NK12" t="s">
        <v>3328</v>
      </c>
      <c r="NL12" t="s">
        <v>3329</v>
      </c>
      <c r="NM12">
        <v>10.59857177734375</v>
      </c>
      <c r="NN12">
        <v>247</v>
      </c>
      <c r="NO12" s="1"/>
      <c r="NP12">
        <f t="shared" si="63"/>
        <v>102</v>
      </c>
      <c r="NQ12" t="s">
        <v>3330</v>
      </c>
      <c r="NR12" t="s">
        <v>3331</v>
      </c>
      <c r="NS12">
        <v>25.09949254989624</v>
      </c>
      <c r="NT12">
        <v>451</v>
      </c>
      <c r="NU12" s="2"/>
      <c r="NV12">
        <f t="shared" si="64"/>
        <v>28</v>
      </c>
      <c r="NW12" t="s">
        <v>3332</v>
      </c>
      <c r="NX12" t="s">
        <v>3333</v>
      </c>
      <c r="NY12">
        <v>11.755384683609011</v>
      </c>
      <c r="NZ12">
        <v>409</v>
      </c>
      <c r="OA12" s="1"/>
      <c r="OB12">
        <f t="shared" si="65"/>
        <v>17</v>
      </c>
      <c r="OC12" t="s">
        <v>3334</v>
      </c>
      <c r="OD12" t="s">
        <v>3335</v>
      </c>
      <c r="OE12">
        <v>30.866976737976071</v>
      </c>
      <c r="OF12">
        <v>323</v>
      </c>
      <c r="OG12" s="2"/>
      <c r="OH12">
        <f t="shared" si="66"/>
        <v>30</v>
      </c>
      <c r="OI12" t="s">
        <v>3336</v>
      </c>
      <c r="OJ12" t="s">
        <v>3337</v>
      </c>
      <c r="OK12">
        <v>22.532766819000241</v>
      </c>
      <c r="OL12">
        <v>426</v>
      </c>
      <c r="OM12" s="1"/>
      <c r="ON12">
        <f t="shared" si="67"/>
        <v>29</v>
      </c>
      <c r="OO12" t="s">
        <v>1802</v>
      </c>
      <c r="OP12" t="s">
        <v>3338</v>
      </c>
      <c r="OQ12">
        <v>33.42217755317688</v>
      </c>
      <c r="OR12">
        <v>370</v>
      </c>
      <c r="OS12" s="2"/>
      <c r="OT12">
        <f t="shared" si="68"/>
        <v>33</v>
      </c>
      <c r="OU12" t="s">
        <v>3339</v>
      </c>
      <c r="OV12" t="s">
        <v>3340</v>
      </c>
      <c r="OW12">
        <v>11.096526861190799</v>
      </c>
      <c r="OX12">
        <v>351</v>
      </c>
      <c r="OY12" s="1"/>
      <c r="OZ12">
        <f t="shared" si="69"/>
        <v>63</v>
      </c>
      <c r="PA12" t="s">
        <v>3341</v>
      </c>
      <c r="PB12" t="s">
        <v>3342</v>
      </c>
      <c r="PC12">
        <v>42.021574020385742</v>
      </c>
      <c r="PD12">
        <v>323</v>
      </c>
      <c r="PE12" s="2"/>
      <c r="PF12">
        <f t="shared" si="70"/>
        <v>28</v>
      </c>
      <c r="PG12" t="s">
        <v>3343</v>
      </c>
      <c r="PH12" t="s">
        <v>3344</v>
      </c>
      <c r="PI12">
        <v>47.367966175079353</v>
      </c>
      <c r="PJ12">
        <v>343</v>
      </c>
      <c r="PK12" s="1"/>
      <c r="PL12">
        <f t="shared" si="71"/>
        <v>32</v>
      </c>
      <c r="PM12" t="s">
        <v>3345</v>
      </c>
      <c r="PN12" t="s">
        <v>3346</v>
      </c>
      <c r="PO12">
        <v>40.551109790802002</v>
      </c>
      <c r="PP12">
        <v>379</v>
      </c>
      <c r="PQ12" s="2"/>
      <c r="PR12">
        <f t="shared" si="72"/>
        <v>48</v>
      </c>
      <c r="PS12" t="s">
        <v>3347</v>
      </c>
      <c r="PT12" t="s">
        <v>3348</v>
      </c>
      <c r="PU12">
        <v>30.070827722549438</v>
      </c>
      <c r="PV12">
        <v>405</v>
      </c>
      <c r="PW12" s="1"/>
      <c r="PX12">
        <f t="shared" si="73"/>
        <v>39</v>
      </c>
      <c r="PY12" t="s">
        <v>3349</v>
      </c>
      <c r="PZ12" t="s">
        <v>3350</v>
      </c>
      <c r="QA12">
        <v>21.021653652191159</v>
      </c>
      <c r="QB12">
        <v>443</v>
      </c>
      <c r="QC12" s="2"/>
      <c r="QD12">
        <f t="shared" si="74"/>
        <v>30</v>
      </c>
      <c r="QE12" t="s">
        <v>3351</v>
      </c>
      <c r="QF12" t="s">
        <v>3352</v>
      </c>
      <c r="QG12">
        <v>21.327761650085449</v>
      </c>
      <c r="QH12">
        <v>378</v>
      </c>
      <c r="QI12" s="1"/>
      <c r="QJ12">
        <f t="shared" si="75"/>
        <v>97</v>
      </c>
      <c r="QK12" t="s">
        <v>3353</v>
      </c>
      <c r="QL12" t="s">
        <v>3354</v>
      </c>
      <c r="QM12">
        <v>393.78226637840271</v>
      </c>
      <c r="QN12">
        <v>397</v>
      </c>
      <c r="QO12" s="2"/>
      <c r="QP12">
        <f t="shared" si="76"/>
        <v>51</v>
      </c>
      <c r="QQ12" t="s">
        <v>2216</v>
      </c>
      <c r="QR12" t="s">
        <v>3355</v>
      </c>
      <c r="QS12">
        <v>7.6245019435882568</v>
      </c>
      <c r="QT12">
        <v>293</v>
      </c>
      <c r="QU12" s="1"/>
      <c r="QV12">
        <f t="shared" si="77"/>
        <v>25</v>
      </c>
      <c r="QW12" t="s">
        <v>3356</v>
      </c>
      <c r="QX12" t="s">
        <v>3357</v>
      </c>
      <c r="QY12">
        <v>29.641267538070679</v>
      </c>
      <c r="QZ12">
        <v>331</v>
      </c>
      <c r="RA12" s="2"/>
      <c r="RB12">
        <f t="shared" si="78"/>
        <v>44</v>
      </c>
      <c r="RC12" t="s">
        <v>3358</v>
      </c>
      <c r="RD12" t="s">
        <v>3359</v>
      </c>
      <c r="RE12">
        <v>39.654477119445801</v>
      </c>
      <c r="RF12">
        <v>468</v>
      </c>
      <c r="RG12" s="1"/>
      <c r="RH12">
        <f t="shared" si="79"/>
        <v>32</v>
      </c>
      <c r="RI12" t="s">
        <v>3360</v>
      </c>
      <c r="RJ12" t="s">
        <v>3361</v>
      </c>
      <c r="RK12">
        <v>15.498832225799561</v>
      </c>
      <c r="RL12">
        <v>405</v>
      </c>
      <c r="RM12" s="2"/>
      <c r="RN12">
        <f t="shared" si="80"/>
        <v>33</v>
      </c>
      <c r="RO12" t="s">
        <v>3362</v>
      </c>
      <c r="RP12" t="s">
        <v>3363</v>
      </c>
      <c r="RQ12">
        <v>21.39734578132629</v>
      </c>
      <c r="RR12">
        <v>513</v>
      </c>
      <c r="RS12" s="1"/>
      <c r="RT12">
        <f t="shared" si="81"/>
        <v>25</v>
      </c>
      <c r="RU12" t="s">
        <v>843</v>
      </c>
      <c r="RV12" t="s">
        <v>3364</v>
      </c>
      <c r="RW12">
        <v>10.441845655441281</v>
      </c>
      <c r="RX12">
        <v>400</v>
      </c>
      <c r="RY12" s="2"/>
      <c r="RZ12">
        <f t="shared" si="82"/>
        <v>27</v>
      </c>
      <c r="SA12" t="s">
        <v>1050</v>
      </c>
      <c r="SB12" t="s">
        <v>3365</v>
      </c>
      <c r="SC12">
        <v>28.00143480300903</v>
      </c>
      <c r="SD12">
        <v>397</v>
      </c>
      <c r="SE12" s="1"/>
      <c r="SF12">
        <f t="shared" si="83"/>
        <v>30</v>
      </c>
      <c r="SG12" t="s">
        <v>3366</v>
      </c>
      <c r="SH12" t="s">
        <v>3367</v>
      </c>
      <c r="SI12">
        <v>28.723821401596069</v>
      </c>
      <c r="SJ12">
        <v>340</v>
      </c>
      <c r="SK12" s="2"/>
      <c r="SL12">
        <f t="shared" si="84"/>
        <v>33</v>
      </c>
      <c r="SM12" t="s">
        <v>3368</v>
      </c>
      <c r="SN12" t="s">
        <v>3369</v>
      </c>
      <c r="SO12">
        <v>63.84605598449707</v>
      </c>
      <c r="SP12">
        <v>337</v>
      </c>
      <c r="SQ12" s="1"/>
      <c r="SR12">
        <f t="shared" si="85"/>
        <v>15</v>
      </c>
      <c r="SS12" t="s">
        <v>3370</v>
      </c>
      <c r="ST12" t="s">
        <v>3371</v>
      </c>
      <c r="SU12">
        <v>9.4280791282653809</v>
      </c>
      <c r="SV12">
        <v>427</v>
      </c>
      <c r="SW12" s="2"/>
      <c r="SX12">
        <f t="shared" si="86"/>
        <v>27</v>
      </c>
      <c r="SY12" t="s">
        <v>3372</v>
      </c>
      <c r="SZ12" t="s">
        <v>3373</v>
      </c>
      <c r="TA12">
        <v>23.644914627075199</v>
      </c>
      <c r="TB12">
        <v>268</v>
      </c>
      <c r="TC12" s="1"/>
      <c r="TD12">
        <f t="shared" si="87"/>
        <v>105</v>
      </c>
      <c r="TE12" t="s">
        <v>3374</v>
      </c>
      <c r="TF12" t="s">
        <v>3375</v>
      </c>
      <c r="TG12">
        <v>118.6278910636902</v>
      </c>
      <c r="TH12">
        <v>473</v>
      </c>
      <c r="TI12" s="2"/>
      <c r="TJ12">
        <f t="shared" si="88"/>
        <v>35</v>
      </c>
      <c r="TK12" t="s">
        <v>3376</v>
      </c>
      <c r="TL12" t="s">
        <v>3377</v>
      </c>
      <c r="TM12">
        <v>40.012098789215088</v>
      </c>
      <c r="TN12">
        <v>517</v>
      </c>
      <c r="TO12" s="1"/>
      <c r="TP12">
        <f t="shared" si="89"/>
        <v>60</v>
      </c>
      <c r="TQ12" t="s">
        <v>3378</v>
      </c>
      <c r="TR12" t="s">
        <v>3379</v>
      </c>
      <c r="TS12">
        <v>49.304548025131233</v>
      </c>
      <c r="TT12">
        <v>322</v>
      </c>
      <c r="TU12" s="2"/>
      <c r="TV12">
        <f t="shared" si="90"/>
        <v>39</v>
      </c>
      <c r="TW12" t="s">
        <v>3380</v>
      </c>
      <c r="TX12" t="s">
        <v>3381</v>
      </c>
      <c r="TY12">
        <v>28.891830444335941</v>
      </c>
      <c r="TZ12">
        <v>365</v>
      </c>
      <c r="UA12" s="1"/>
      <c r="UB12">
        <f t="shared" si="91"/>
        <v>57</v>
      </c>
      <c r="UC12" t="s">
        <v>3382</v>
      </c>
      <c r="UD12" t="s">
        <v>3383</v>
      </c>
      <c r="UE12">
        <v>110.1571795940399</v>
      </c>
      <c r="UF12">
        <v>523</v>
      </c>
      <c r="UG12" s="2"/>
      <c r="UH12">
        <f t="shared" si="92"/>
        <v>19</v>
      </c>
      <c r="UI12" t="s">
        <v>3384</v>
      </c>
      <c r="UJ12" t="s">
        <v>3385</v>
      </c>
      <c r="UK12">
        <v>7.9966778755187988</v>
      </c>
      <c r="UL12">
        <v>190</v>
      </c>
      <c r="UM12" s="1"/>
      <c r="UN12">
        <f t="shared" si="93"/>
        <v>27</v>
      </c>
      <c r="UO12" t="s">
        <v>153</v>
      </c>
      <c r="UP12" t="s">
        <v>3386</v>
      </c>
      <c r="UQ12">
        <v>26.880064487457279</v>
      </c>
      <c r="UR12">
        <v>480</v>
      </c>
      <c r="US12" s="2"/>
      <c r="UT12">
        <f t="shared" si="94"/>
        <v>54</v>
      </c>
      <c r="UU12" t="s">
        <v>3387</v>
      </c>
      <c r="UV12" t="s">
        <v>3388</v>
      </c>
      <c r="UW12">
        <v>270.13553309440613</v>
      </c>
      <c r="UX12">
        <v>370</v>
      </c>
      <c r="UY12" s="1"/>
      <c r="UZ12">
        <f t="shared" si="95"/>
        <v>29</v>
      </c>
      <c r="VA12" t="s">
        <v>3213</v>
      </c>
      <c r="VB12" t="s">
        <v>3389</v>
      </c>
      <c r="VC12">
        <v>16.783928155899051</v>
      </c>
      <c r="VD12">
        <v>340</v>
      </c>
      <c r="VE12" s="2"/>
      <c r="VF12">
        <f t="shared" si="96"/>
        <v>60</v>
      </c>
      <c r="VG12" t="s">
        <v>3390</v>
      </c>
      <c r="VH12" t="s">
        <v>3391</v>
      </c>
      <c r="VI12">
        <v>16.293448686599731</v>
      </c>
      <c r="VJ12">
        <v>399</v>
      </c>
      <c r="VK12" s="1"/>
      <c r="VL12">
        <f t="shared" si="97"/>
        <v>40</v>
      </c>
      <c r="VM12" t="s">
        <v>145</v>
      </c>
      <c r="VN12" t="s">
        <v>3392</v>
      </c>
      <c r="VO12">
        <v>18.411763906478878</v>
      </c>
      <c r="VP12">
        <v>429</v>
      </c>
      <c r="VQ12" s="2"/>
      <c r="VR12">
        <f t="shared" si="98"/>
        <v>18</v>
      </c>
      <c r="VS12" t="s">
        <v>3393</v>
      </c>
      <c r="VT12" t="s">
        <v>3394</v>
      </c>
      <c r="VU12">
        <v>6.592170238494873</v>
      </c>
      <c r="VV12">
        <v>224</v>
      </c>
      <c r="VW12" s="1"/>
      <c r="VX12">
        <f t="shared" si="99"/>
        <v>48</v>
      </c>
      <c r="VY12" t="s">
        <v>2531</v>
      </c>
      <c r="VZ12" t="s">
        <v>3395</v>
      </c>
      <c r="WA12">
        <v>31.515295743942261</v>
      </c>
      <c r="WB12">
        <v>422</v>
      </c>
      <c r="WC12" s="2"/>
      <c r="WD12">
        <f t="shared" si="100"/>
        <v>32</v>
      </c>
      <c r="WE12" t="s">
        <v>1279</v>
      </c>
      <c r="WF12" t="s">
        <v>3396</v>
      </c>
      <c r="WG12">
        <v>10.76884651184082</v>
      </c>
      <c r="WH12">
        <v>471</v>
      </c>
      <c r="WI12" s="1"/>
      <c r="WJ12">
        <f t="shared" si="101"/>
        <v>49</v>
      </c>
      <c r="WK12" t="s">
        <v>3397</v>
      </c>
      <c r="WL12" t="s">
        <v>3398</v>
      </c>
      <c r="WM12">
        <v>34.121508121490479</v>
      </c>
      <c r="WN12">
        <v>471</v>
      </c>
      <c r="WO12" s="4"/>
      <c r="WP12">
        <f t="shared" si="102"/>
        <v>26</v>
      </c>
      <c r="WQ12" t="s">
        <v>3399</v>
      </c>
      <c r="WR12" t="s">
        <v>3400</v>
      </c>
      <c r="WS12">
        <v>24.98103404045105</v>
      </c>
      <c r="WT12">
        <v>439</v>
      </c>
      <c r="WU12" s="3"/>
      <c r="WV12">
        <f t="shared" si="103"/>
        <v>18</v>
      </c>
      <c r="WW12" t="s">
        <v>3401</v>
      </c>
      <c r="WX12" t="s">
        <v>3402</v>
      </c>
      <c r="WY12">
        <v>4.8659303188323966</v>
      </c>
      <c r="WZ12">
        <v>418</v>
      </c>
      <c r="XA12" s="2"/>
      <c r="XB12">
        <f t="shared" si="104"/>
        <v>27</v>
      </c>
      <c r="XC12" t="s">
        <v>2398</v>
      </c>
      <c r="XD12" t="s">
        <v>3403</v>
      </c>
      <c r="XE12">
        <v>29.404571533203121</v>
      </c>
      <c r="XF12">
        <v>374</v>
      </c>
      <c r="XG12" s="5"/>
      <c r="XH12">
        <f t="shared" si="105"/>
        <v>25</v>
      </c>
      <c r="XI12" t="s">
        <v>3404</v>
      </c>
      <c r="XJ12" t="s">
        <v>3405</v>
      </c>
      <c r="XK12">
        <v>16.121501922607418</v>
      </c>
      <c r="XL12">
        <v>388</v>
      </c>
      <c r="XM12" s="2"/>
      <c r="XN12">
        <f t="shared" si="106"/>
        <v>40</v>
      </c>
      <c r="XO12" t="s">
        <v>3406</v>
      </c>
      <c r="XP12" t="s">
        <v>3407</v>
      </c>
      <c r="XQ12">
        <v>23.03540205955505</v>
      </c>
      <c r="XR12">
        <v>456</v>
      </c>
      <c r="XS12" s="5"/>
      <c r="XT12">
        <f t="shared" si="107"/>
        <v>32</v>
      </c>
      <c r="XU12" t="s">
        <v>2260</v>
      </c>
      <c r="XV12" t="s">
        <v>3408</v>
      </c>
      <c r="XW12">
        <v>17.671464443206791</v>
      </c>
      <c r="XX12">
        <v>383</v>
      </c>
      <c r="XY12" s="2"/>
      <c r="XZ12">
        <f t="shared" si="108"/>
        <v>24</v>
      </c>
      <c r="YA12" t="s">
        <v>2139</v>
      </c>
      <c r="YB12" t="s">
        <v>3409</v>
      </c>
      <c r="YC12">
        <v>12.066540956497191</v>
      </c>
      <c r="YD12">
        <v>347</v>
      </c>
      <c r="YE12" s="5"/>
      <c r="YF12">
        <f t="shared" si="109"/>
        <v>34</v>
      </c>
      <c r="YG12" t="s">
        <v>3410</v>
      </c>
      <c r="YH12" t="s">
        <v>3411</v>
      </c>
      <c r="YI12">
        <v>20.04731297492981</v>
      </c>
      <c r="YJ12">
        <v>301</v>
      </c>
      <c r="YK12" s="2"/>
      <c r="YL12">
        <f t="shared" si="110"/>
        <v>25</v>
      </c>
      <c r="YM12" t="s">
        <v>3211</v>
      </c>
      <c r="YN12" t="s">
        <v>3412</v>
      </c>
      <c r="YO12">
        <v>131.94157838821411</v>
      </c>
      <c r="YP12">
        <v>344</v>
      </c>
      <c r="YQ12" s="5"/>
      <c r="YR12">
        <f t="shared" si="111"/>
        <v>37</v>
      </c>
      <c r="YS12" t="s">
        <v>3413</v>
      </c>
      <c r="YT12" t="s">
        <v>3414</v>
      </c>
      <c r="YU12">
        <v>23.419216156005859</v>
      </c>
      <c r="YV12">
        <v>385</v>
      </c>
      <c r="YW12" s="2"/>
      <c r="YX12">
        <f t="shared" si="112"/>
        <v>52</v>
      </c>
      <c r="YY12" t="s">
        <v>3415</v>
      </c>
      <c r="YZ12" t="s">
        <v>3416</v>
      </c>
      <c r="ZA12">
        <v>79.746524810791016</v>
      </c>
      <c r="ZB12">
        <v>347</v>
      </c>
      <c r="ZC12" s="5"/>
      <c r="ZD12">
        <f t="shared" si="113"/>
        <v>33</v>
      </c>
      <c r="ZE12" t="s">
        <v>3417</v>
      </c>
      <c r="ZF12" t="s">
        <v>3418</v>
      </c>
      <c r="ZG12">
        <v>10.05061626434326</v>
      </c>
      <c r="ZH12">
        <v>332</v>
      </c>
      <c r="ZI12" s="2"/>
      <c r="ZJ12">
        <f t="shared" si="114"/>
        <v>7</v>
      </c>
      <c r="ZK12" t="s">
        <v>3419</v>
      </c>
      <c r="ZL12" t="s">
        <v>3420</v>
      </c>
      <c r="ZM12">
        <v>175.2596378326416</v>
      </c>
      <c r="ZN12">
        <v>299</v>
      </c>
      <c r="ZO12" s="5"/>
      <c r="ZP12">
        <f t="shared" si="115"/>
        <v>45</v>
      </c>
      <c r="ZQ12" t="s">
        <v>3421</v>
      </c>
      <c r="ZR12" t="s">
        <v>3422</v>
      </c>
      <c r="ZS12">
        <v>66.98780632019043</v>
      </c>
      <c r="ZT12">
        <v>453</v>
      </c>
      <c r="ZU12" s="2"/>
      <c r="ZV12">
        <f t="shared" si="116"/>
        <v>72</v>
      </c>
      <c r="ZW12" t="s">
        <v>3423</v>
      </c>
      <c r="ZX12" t="s">
        <v>3424</v>
      </c>
      <c r="ZY12">
        <v>40.186939477920532</v>
      </c>
      <c r="ZZ12">
        <v>256</v>
      </c>
      <c r="AAA12" s="5"/>
      <c r="AAB12">
        <f t="shared" si="117"/>
        <v>34</v>
      </c>
      <c r="AAC12" t="s">
        <v>3425</v>
      </c>
      <c r="AAD12" t="s">
        <v>3426</v>
      </c>
      <c r="AAE12">
        <v>19.238747596740719</v>
      </c>
      <c r="AAF12">
        <v>373</v>
      </c>
      <c r="AAG12" s="2"/>
      <c r="AAH12">
        <f t="shared" si="118"/>
        <v>60</v>
      </c>
      <c r="AAI12" t="s">
        <v>3427</v>
      </c>
      <c r="AAJ12" t="s">
        <v>3428</v>
      </c>
      <c r="AAK12">
        <v>17.89432430267334</v>
      </c>
      <c r="AAL12">
        <v>450</v>
      </c>
      <c r="AAM12" s="5"/>
      <c r="AAN12">
        <f t="shared" si="119"/>
        <v>36</v>
      </c>
      <c r="AAO12" t="s">
        <v>3429</v>
      </c>
      <c r="AAP12" t="s">
        <v>3430</v>
      </c>
      <c r="AAQ12">
        <v>26.375828742980961</v>
      </c>
      <c r="AAR12">
        <v>286</v>
      </c>
      <c r="AAS12" s="2"/>
      <c r="AAT12">
        <f t="shared" si="120"/>
        <v>26</v>
      </c>
      <c r="AAU12" t="s">
        <v>3431</v>
      </c>
      <c r="AAV12" t="s">
        <v>3432</v>
      </c>
      <c r="AAW12">
        <v>16.2710862159729</v>
      </c>
      <c r="AAX12">
        <v>340</v>
      </c>
      <c r="AAY12" s="5"/>
      <c r="AAZ12">
        <f t="shared" si="121"/>
        <v>40</v>
      </c>
      <c r="ABA12" t="s">
        <v>3433</v>
      </c>
      <c r="ABB12" t="s">
        <v>3434</v>
      </c>
      <c r="ABC12">
        <v>18.951772212982181</v>
      </c>
      <c r="ABD12">
        <v>380</v>
      </c>
      <c r="ABE12" s="2"/>
      <c r="ABF12">
        <f t="shared" si="122"/>
        <v>54</v>
      </c>
      <c r="ABG12" t="s">
        <v>3435</v>
      </c>
      <c r="ABH12" t="s">
        <v>3436</v>
      </c>
      <c r="ABI12">
        <v>21.057892799377441</v>
      </c>
      <c r="ABJ12">
        <v>311</v>
      </c>
      <c r="ABK12" s="5"/>
      <c r="ABL12">
        <f t="shared" si="123"/>
        <v>30</v>
      </c>
      <c r="ABM12" t="s">
        <v>3437</v>
      </c>
      <c r="ABN12" t="s">
        <v>3438</v>
      </c>
      <c r="ABO12">
        <v>15.105559110641479</v>
      </c>
      <c r="ABP12">
        <v>508</v>
      </c>
      <c r="ABQ12" s="2"/>
      <c r="ABR12">
        <f t="shared" si="124"/>
        <v>31</v>
      </c>
      <c r="ABS12" t="s">
        <v>254</v>
      </c>
      <c r="ABT12" t="s">
        <v>3439</v>
      </c>
      <c r="ABU12">
        <v>12.7675154209137</v>
      </c>
      <c r="ABV12">
        <v>491</v>
      </c>
      <c r="ABW12" s="5"/>
      <c r="ABX12">
        <f t="shared" si="125"/>
        <v>30</v>
      </c>
      <c r="ABY12" t="s">
        <v>3440</v>
      </c>
      <c r="ABZ12" t="s">
        <v>3441</v>
      </c>
      <c r="ACA12">
        <v>12.02296042442322</v>
      </c>
      <c r="ACB12">
        <v>254</v>
      </c>
      <c r="ACC12" s="2"/>
      <c r="ACD12">
        <f t="shared" si="126"/>
        <v>32</v>
      </c>
      <c r="ACE12" t="s">
        <v>3442</v>
      </c>
      <c r="ACF12" t="s">
        <v>3443</v>
      </c>
      <c r="ACG12">
        <v>17.6234016418457</v>
      </c>
      <c r="ACH12">
        <v>283</v>
      </c>
      <c r="ACI12" s="5"/>
      <c r="ACJ12">
        <f t="shared" si="127"/>
        <v>39</v>
      </c>
      <c r="ACK12" t="s">
        <v>3444</v>
      </c>
      <c r="ACL12" t="s">
        <v>3445</v>
      </c>
      <c r="ACM12">
        <v>17.95676064491272</v>
      </c>
      <c r="ACN12">
        <v>447</v>
      </c>
      <c r="ACO12" s="2"/>
      <c r="ACP12">
        <f t="shared" si="128"/>
        <v>0</v>
      </c>
      <c r="ACR12" t="s">
        <v>3446</v>
      </c>
      <c r="ACS12">
        <v>253.44525527954099</v>
      </c>
      <c r="ACT12">
        <v>375</v>
      </c>
      <c r="ACU12" s="5"/>
      <c r="ACV12">
        <f t="shared" si="129"/>
        <v>32</v>
      </c>
      <c r="ACW12" t="s">
        <v>3447</v>
      </c>
      <c r="ACX12" t="s">
        <v>3448</v>
      </c>
      <c r="ACY12">
        <v>8.0034763813018799</v>
      </c>
      <c r="ACZ12">
        <v>388</v>
      </c>
      <c r="ADA12" s="2"/>
      <c r="ADB12">
        <f t="shared" si="130"/>
        <v>47</v>
      </c>
      <c r="ADC12" t="s">
        <v>3449</v>
      </c>
      <c r="ADD12" t="s">
        <v>3450</v>
      </c>
      <c r="ADE12">
        <v>24.23203015327454</v>
      </c>
      <c r="ADF12">
        <v>459</v>
      </c>
      <c r="ADG12" s="5"/>
      <c r="ADH12">
        <f t="shared" si="131"/>
        <v>27</v>
      </c>
      <c r="ADI12" t="s">
        <v>3451</v>
      </c>
      <c r="ADJ12" t="s">
        <v>3452</v>
      </c>
      <c r="ADK12">
        <v>4.6132428646087646</v>
      </c>
      <c r="ADL12">
        <v>365</v>
      </c>
      <c r="ADM12" s="2"/>
      <c r="ADN12">
        <f t="shared" si="132"/>
        <v>17</v>
      </c>
      <c r="ADO12" t="s">
        <v>3453</v>
      </c>
      <c r="ADP12" t="s">
        <v>3454</v>
      </c>
      <c r="ADQ12">
        <v>23.772146701812741</v>
      </c>
      <c r="ADR12">
        <v>369</v>
      </c>
      <c r="ADS12" s="5"/>
      <c r="ADT12">
        <f t="shared" si="133"/>
        <v>19</v>
      </c>
      <c r="ADU12" t="s">
        <v>2282</v>
      </c>
      <c r="ADV12" t="s">
        <v>3455</v>
      </c>
      <c r="ADW12">
        <v>10.37891697883606</v>
      </c>
      <c r="ADX12">
        <v>297</v>
      </c>
      <c r="ADY12" s="2"/>
      <c r="ADZ12">
        <f t="shared" si="134"/>
        <v>24</v>
      </c>
      <c r="AEA12" t="s">
        <v>3456</v>
      </c>
      <c r="AEB12" t="s">
        <v>3457</v>
      </c>
      <c r="AEC12">
        <v>16.720797300338749</v>
      </c>
      <c r="AED12">
        <v>304</v>
      </c>
      <c r="AEE12" s="5"/>
      <c r="AEF12">
        <f t="shared" si="135"/>
        <v>10</v>
      </c>
      <c r="AEG12" t="s">
        <v>1102</v>
      </c>
      <c r="AEH12" t="s">
        <v>3458</v>
      </c>
      <c r="AEI12">
        <v>5.4215586185455322</v>
      </c>
      <c r="AEJ12">
        <v>324</v>
      </c>
      <c r="AEK12" s="2"/>
      <c r="AEL12">
        <f t="shared" si="136"/>
        <v>20</v>
      </c>
      <c r="AEM12" t="s">
        <v>3459</v>
      </c>
      <c r="AEN12" t="s">
        <v>3460</v>
      </c>
      <c r="AEO12">
        <v>16.63706541061401</v>
      </c>
      <c r="AEP12">
        <v>443</v>
      </c>
      <c r="AEQ12" s="5"/>
      <c r="AER12">
        <f t="shared" si="137"/>
        <v>27</v>
      </c>
      <c r="AES12" t="s">
        <v>3461</v>
      </c>
      <c r="AET12" t="s">
        <v>3462</v>
      </c>
      <c r="AEU12">
        <v>15.288846015930179</v>
      </c>
      <c r="AEV12">
        <v>357</v>
      </c>
      <c r="AEW12" s="2"/>
      <c r="AEX12">
        <f t="shared" si="138"/>
        <v>15</v>
      </c>
      <c r="AEY12" t="s">
        <v>1409</v>
      </c>
      <c r="AEZ12" t="s">
        <v>3463</v>
      </c>
      <c r="AFA12">
        <v>186.96740651130679</v>
      </c>
      <c r="AFB12">
        <v>305</v>
      </c>
      <c r="AFC12" s="5"/>
      <c r="AFD12">
        <f t="shared" si="139"/>
        <v>36</v>
      </c>
      <c r="AFE12" t="s">
        <v>3464</v>
      </c>
      <c r="AFF12" t="s">
        <v>3465</v>
      </c>
      <c r="AFG12">
        <v>23.443363189697269</v>
      </c>
      <c r="AFH12">
        <v>333</v>
      </c>
      <c r="AFI12" s="2"/>
      <c r="AFJ12">
        <f t="shared" si="140"/>
        <v>25</v>
      </c>
      <c r="AFK12" t="s">
        <v>1945</v>
      </c>
      <c r="AFL12" t="s">
        <v>3466</v>
      </c>
      <c r="AFM12">
        <v>40.04096508026123</v>
      </c>
      <c r="AFN12">
        <v>417</v>
      </c>
      <c r="AFO12" s="5"/>
      <c r="AFP12">
        <f t="shared" si="141"/>
        <v>20</v>
      </c>
      <c r="AFQ12" t="s">
        <v>37</v>
      </c>
      <c r="AFR12" t="s">
        <v>3467</v>
      </c>
      <c r="AFS12">
        <v>8.304438591003418</v>
      </c>
      <c r="AFT12">
        <v>430</v>
      </c>
      <c r="AFU12" s="2"/>
      <c r="AFV12">
        <f t="shared" si="142"/>
        <v>59</v>
      </c>
      <c r="AFW12" t="s">
        <v>3468</v>
      </c>
      <c r="AFX12" t="s">
        <v>3469</v>
      </c>
      <c r="AFY12">
        <v>57.513257741928101</v>
      </c>
      <c r="AFZ12">
        <v>424</v>
      </c>
      <c r="AGA12" s="5"/>
      <c r="AGB12">
        <f t="shared" si="143"/>
        <v>32</v>
      </c>
      <c r="AGC12" t="s">
        <v>3470</v>
      </c>
      <c r="AGD12" t="s">
        <v>3471</v>
      </c>
      <c r="AGE12">
        <v>18.805745840072628</v>
      </c>
      <c r="AGF12">
        <v>407</v>
      </c>
      <c r="AGG12" s="2"/>
      <c r="AGH12">
        <f t="shared" si="144"/>
        <v>64</v>
      </c>
      <c r="AGI12" t="s">
        <v>3472</v>
      </c>
      <c r="AGJ12" t="s">
        <v>3473</v>
      </c>
      <c r="AGK12">
        <v>217.6853275299072</v>
      </c>
      <c r="AGL12">
        <v>322</v>
      </c>
      <c r="AGM12" s="5"/>
      <c r="AGN12">
        <f t="shared" si="145"/>
        <v>52</v>
      </c>
      <c r="AGO12" t="s">
        <v>3474</v>
      </c>
      <c r="AGP12" t="s">
        <v>3475</v>
      </c>
      <c r="AGQ12">
        <v>39.987545013427727</v>
      </c>
      <c r="AGR12">
        <v>411</v>
      </c>
      <c r="AGS12" s="2"/>
      <c r="AGT12">
        <f t="shared" si="146"/>
        <v>6</v>
      </c>
      <c r="AGU12" t="s">
        <v>3476</v>
      </c>
      <c r="AGV12" t="s">
        <v>3477</v>
      </c>
      <c r="AGW12">
        <v>46.532513856887817</v>
      </c>
      <c r="AGX12">
        <v>301</v>
      </c>
      <c r="AGY12" s="5"/>
      <c r="AGZ12">
        <f t="shared" si="147"/>
        <v>32</v>
      </c>
      <c r="AHA12" t="s">
        <v>3478</v>
      </c>
      <c r="AHB12" t="s">
        <v>3479</v>
      </c>
      <c r="AHC12">
        <v>15.47736763954163</v>
      </c>
      <c r="AHD12">
        <v>343</v>
      </c>
      <c r="AHE12" s="2"/>
      <c r="AHF12">
        <f t="shared" si="148"/>
        <v>26</v>
      </c>
      <c r="AHG12" t="s">
        <v>3480</v>
      </c>
      <c r="AHH12" t="s">
        <v>3481</v>
      </c>
      <c r="AHI12">
        <v>18.24643182754517</v>
      </c>
      <c r="AHJ12">
        <v>283</v>
      </c>
      <c r="AHK12" s="5"/>
      <c r="AHL12">
        <f t="shared" si="149"/>
        <v>13</v>
      </c>
      <c r="AHM12" t="s">
        <v>3482</v>
      </c>
      <c r="AHN12" t="s">
        <v>3483</v>
      </c>
      <c r="AHO12">
        <v>8.4601864814758301</v>
      </c>
      <c r="AHP12">
        <v>347</v>
      </c>
      <c r="AHQ12" s="2"/>
      <c r="AHR12">
        <f t="shared" si="150"/>
        <v>39</v>
      </c>
      <c r="AHS12" t="s">
        <v>3484</v>
      </c>
      <c r="AHT12" t="s">
        <v>3485</v>
      </c>
      <c r="AHU12">
        <v>45.445295333862298</v>
      </c>
      <c r="AHV12">
        <v>359</v>
      </c>
      <c r="AHW12" s="5"/>
      <c r="AHX12">
        <f t="shared" si="151"/>
        <v>25</v>
      </c>
      <c r="AHY12" t="s">
        <v>2065</v>
      </c>
      <c r="AHZ12" t="s">
        <v>3486</v>
      </c>
      <c r="AIA12">
        <v>10.975174427032471</v>
      </c>
      <c r="AIB12">
        <v>265</v>
      </c>
      <c r="AIC12" s="2"/>
      <c r="AID12">
        <f t="shared" si="152"/>
        <v>61</v>
      </c>
      <c r="AIE12" t="s">
        <v>3487</v>
      </c>
      <c r="AIF12" t="s">
        <v>3488</v>
      </c>
      <c r="AIG12">
        <v>107.339775800705</v>
      </c>
      <c r="AIH12">
        <v>452</v>
      </c>
      <c r="AII12" s="5"/>
      <c r="AIJ12">
        <f t="shared" si="153"/>
        <v>39</v>
      </c>
      <c r="AIK12" t="s">
        <v>3489</v>
      </c>
      <c r="AIL12" t="s">
        <v>3490</v>
      </c>
      <c r="AIM12">
        <v>21.335539102554321</v>
      </c>
      <c r="AIN12">
        <v>358</v>
      </c>
      <c r="AIO12" s="2"/>
      <c r="AIP12">
        <f t="shared" si="154"/>
        <v>24</v>
      </c>
      <c r="AIQ12" t="s">
        <v>3491</v>
      </c>
      <c r="AIR12" t="s">
        <v>3492</v>
      </c>
      <c r="AIS12">
        <v>19.67691802978516</v>
      </c>
      <c r="AIT12">
        <v>448</v>
      </c>
      <c r="AIU12" s="5"/>
      <c r="AIV12">
        <f t="shared" si="155"/>
        <v>26</v>
      </c>
      <c r="AIW12" t="s">
        <v>3493</v>
      </c>
      <c r="AIX12" t="s">
        <v>3494</v>
      </c>
      <c r="AIY12">
        <v>12.043171167373661</v>
      </c>
      <c r="AIZ12">
        <v>341</v>
      </c>
      <c r="AJA12" s="2"/>
      <c r="AJB12">
        <f t="shared" si="156"/>
        <v>21</v>
      </c>
      <c r="AJC12" t="s">
        <v>254</v>
      </c>
      <c r="AJD12" t="s">
        <v>3495</v>
      </c>
      <c r="AJE12">
        <v>24.085602998733521</v>
      </c>
      <c r="AJF12">
        <v>287</v>
      </c>
      <c r="AJG12" s="5"/>
      <c r="AJH12">
        <f t="shared" si="157"/>
        <v>42</v>
      </c>
      <c r="AJI12" t="s">
        <v>3496</v>
      </c>
      <c r="AJJ12" t="s">
        <v>3497</v>
      </c>
      <c r="AJK12">
        <v>16.43125677108765</v>
      </c>
      <c r="AJL12">
        <v>334</v>
      </c>
      <c r="AJM12" s="2"/>
      <c r="AJN12">
        <f t="shared" si="158"/>
        <v>20</v>
      </c>
      <c r="AJO12" t="s">
        <v>3498</v>
      </c>
      <c r="AJP12" t="s">
        <v>3499</v>
      </c>
      <c r="AJQ12">
        <v>16.866128206253052</v>
      </c>
      <c r="AJR12">
        <v>469</v>
      </c>
      <c r="AJS12" s="5"/>
      <c r="AJT12">
        <f t="shared" si="159"/>
        <v>80</v>
      </c>
      <c r="AJU12" t="s">
        <v>3500</v>
      </c>
      <c r="AJV12" t="s">
        <v>3501</v>
      </c>
      <c r="AJW12">
        <v>19.82886815071106</v>
      </c>
      <c r="AJX12">
        <v>483</v>
      </c>
      <c r="AJY12" s="2"/>
      <c r="AJZ12">
        <f t="shared" si="160"/>
        <v>18</v>
      </c>
      <c r="AKA12" t="s">
        <v>3502</v>
      </c>
      <c r="AKB12" t="s">
        <v>3503</v>
      </c>
      <c r="AKC12">
        <v>28.663370609283451</v>
      </c>
      <c r="AKD12">
        <v>435</v>
      </c>
      <c r="AKE12" s="5"/>
      <c r="AKF12">
        <f t="shared" si="161"/>
        <v>72</v>
      </c>
      <c r="AKG12" t="s">
        <v>63</v>
      </c>
      <c r="AKH12" t="s">
        <v>3504</v>
      </c>
      <c r="AKI12">
        <v>17.151526927948002</v>
      </c>
      <c r="AKJ12">
        <v>537</v>
      </c>
      <c r="AKK12" s="2"/>
      <c r="AKL12">
        <f t="shared" si="162"/>
        <v>34</v>
      </c>
      <c r="AKM12" t="s">
        <v>728</v>
      </c>
      <c r="AKN12" t="s">
        <v>3505</v>
      </c>
      <c r="AKO12">
        <v>19.427643537521359</v>
      </c>
      <c r="AKP12">
        <v>373</v>
      </c>
      <c r="AKQ12" s="5"/>
      <c r="AKR12">
        <f t="shared" si="163"/>
        <v>88</v>
      </c>
      <c r="AKS12" t="s">
        <v>3506</v>
      </c>
      <c r="AKT12" t="s">
        <v>3507</v>
      </c>
      <c r="AKU12">
        <v>34.676644563674927</v>
      </c>
      <c r="AKV12">
        <v>418</v>
      </c>
      <c r="AKW12" s="2"/>
      <c r="AKX12">
        <f t="shared" si="164"/>
        <v>27</v>
      </c>
      <c r="AKY12" t="s">
        <v>3508</v>
      </c>
      <c r="AKZ12" t="s">
        <v>3509</v>
      </c>
      <c r="ALA12">
        <v>24.390393733978271</v>
      </c>
      <c r="ALB12">
        <v>459</v>
      </c>
      <c r="ALC12" s="5"/>
      <c r="ALD12">
        <f t="shared" si="165"/>
        <v>15</v>
      </c>
      <c r="ALE12" t="s">
        <v>3510</v>
      </c>
      <c r="ALF12" t="s">
        <v>3511</v>
      </c>
      <c r="ALG12">
        <v>9.1400434970855713</v>
      </c>
      <c r="ALH12">
        <v>345</v>
      </c>
      <c r="ALI12" s="2"/>
      <c r="ALJ12">
        <f t="shared" si="166"/>
        <v>26</v>
      </c>
      <c r="ALK12" t="s">
        <v>3512</v>
      </c>
      <c r="ALL12" t="s">
        <v>3513</v>
      </c>
      <c r="ALM12">
        <v>25.79271221160889</v>
      </c>
      <c r="ALN12">
        <v>330</v>
      </c>
      <c r="ALO12" s="5"/>
      <c r="ALP12">
        <f t="shared" si="167"/>
        <v>18</v>
      </c>
      <c r="ALQ12" t="s">
        <v>3514</v>
      </c>
      <c r="ALR12" t="s">
        <v>3515</v>
      </c>
      <c r="ALS12">
        <v>5.376023530960083</v>
      </c>
      <c r="ALT12">
        <v>231</v>
      </c>
      <c r="ALU12" s="2"/>
      <c r="ALV12">
        <f t="shared" si="168"/>
        <v>13</v>
      </c>
      <c r="ALW12" t="s">
        <v>3516</v>
      </c>
      <c r="ALX12" t="s">
        <v>3517</v>
      </c>
      <c r="ALY12">
        <v>18.825657606124881</v>
      </c>
      <c r="ALZ12">
        <v>363</v>
      </c>
      <c r="AMA12" s="5"/>
      <c r="AMB12">
        <f t="shared" si="169"/>
        <v>45</v>
      </c>
      <c r="AMC12" t="s">
        <v>3518</v>
      </c>
      <c r="AMD12" t="s">
        <v>3519</v>
      </c>
      <c r="AME12">
        <v>16.48749208450317</v>
      </c>
      <c r="AMF12">
        <v>384</v>
      </c>
      <c r="AMG12" s="2"/>
      <c r="AMH12">
        <f t="shared" si="170"/>
        <v>15</v>
      </c>
      <c r="AMI12" t="s">
        <v>764</v>
      </c>
      <c r="AMJ12" t="s">
        <v>3520</v>
      </c>
      <c r="AMK12">
        <v>11.63290667533875</v>
      </c>
      <c r="AML12">
        <v>496</v>
      </c>
      <c r="AMM12" s="5"/>
      <c r="AMN12">
        <f t="shared" si="171"/>
        <v>30</v>
      </c>
      <c r="AMO12" t="s">
        <v>3521</v>
      </c>
      <c r="AMP12" t="s">
        <v>3522</v>
      </c>
      <c r="AMQ12">
        <v>12.2739942073822</v>
      </c>
      <c r="AMR12">
        <v>419</v>
      </c>
      <c r="AMS12" s="2"/>
      <c r="AMT12">
        <f t="shared" si="172"/>
        <v>76</v>
      </c>
      <c r="AMU12" t="s">
        <v>3523</v>
      </c>
      <c r="AMV12" t="s">
        <v>3524</v>
      </c>
      <c r="AMW12">
        <v>271.40323781967157</v>
      </c>
      <c r="AMX12">
        <v>528</v>
      </c>
      <c r="AMY12" s="5"/>
      <c r="AMZ12">
        <f t="shared" si="173"/>
        <v>24</v>
      </c>
      <c r="ANA12" t="s">
        <v>3525</v>
      </c>
      <c r="ANB12" t="s">
        <v>3526</v>
      </c>
      <c r="ANC12">
        <v>13.5854058265686</v>
      </c>
      <c r="AND12">
        <v>366</v>
      </c>
      <c r="ANE12" s="2"/>
      <c r="ANF12">
        <f t="shared" si="174"/>
        <v>33</v>
      </c>
      <c r="ANG12" t="s">
        <v>3527</v>
      </c>
      <c r="ANH12" t="s">
        <v>3528</v>
      </c>
      <c r="ANI12">
        <v>17.01393103599548</v>
      </c>
      <c r="ANJ12">
        <v>484</v>
      </c>
      <c r="ANK12" s="5"/>
      <c r="ANL12">
        <f t="shared" si="175"/>
        <v>18</v>
      </c>
      <c r="ANM12" t="s">
        <v>3529</v>
      </c>
      <c r="ANN12" t="s">
        <v>3530</v>
      </c>
      <c r="ANO12">
        <v>12.036329507827761</v>
      </c>
      <c r="ANP12">
        <v>316</v>
      </c>
      <c r="ANQ12" s="2"/>
      <c r="ANR12">
        <f t="shared" si="176"/>
        <v>31</v>
      </c>
      <c r="ANS12" t="s">
        <v>1582</v>
      </c>
      <c r="ANT12" t="s">
        <v>3531</v>
      </c>
      <c r="ANU12">
        <v>16.324831485748291</v>
      </c>
      <c r="ANV12">
        <v>374</v>
      </c>
      <c r="ANW12" s="5"/>
      <c r="ANX12">
        <f t="shared" si="177"/>
        <v>75</v>
      </c>
      <c r="ANY12" t="s">
        <v>3532</v>
      </c>
      <c r="ANZ12" t="s">
        <v>3533</v>
      </c>
      <c r="AOA12">
        <v>16.47272801399231</v>
      </c>
      <c r="AOB12">
        <v>401</v>
      </c>
      <c r="AOC12" s="2"/>
      <c r="AOD12">
        <f t="shared" si="178"/>
        <v>27</v>
      </c>
      <c r="AOE12" t="s">
        <v>3534</v>
      </c>
      <c r="AOF12" t="s">
        <v>3535</v>
      </c>
      <c r="AOG12">
        <v>21.103568077087399</v>
      </c>
      <c r="AOH12">
        <v>428</v>
      </c>
      <c r="AOI12" s="5"/>
      <c r="AOJ12">
        <f t="shared" si="179"/>
        <v>24</v>
      </c>
      <c r="AOK12" t="s">
        <v>3536</v>
      </c>
      <c r="AOL12" t="s">
        <v>3537</v>
      </c>
      <c r="AOM12">
        <v>16.064253568649288</v>
      </c>
      <c r="AON12">
        <v>404</v>
      </c>
      <c r="AOO12" s="2"/>
      <c r="AOP12">
        <f t="shared" si="180"/>
        <v>39</v>
      </c>
      <c r="AOQ12" t="s">
        <v>1345</v>
      </c>
      <c r="AOR12" t="s">
        <v>3538</v>
      </c>
      <c r="AOS12">
        <v>20.207613706588749</v>
      </c>
      <c r="AOT12">
        <v>593</v>
      </c>
      <c r="AOU12" s="5"/>
      <c r="AOV12">
        <f t="shared" si="181"/>
        <v>26</v>
      </c>
      <c r="AOW12" t="s">
        <v>354</v>
      </c>
      <c r="AOX12" t="s">
        <v>3539</v>
      </c>
      <c r="AOY12">
        <v>20.892182350158691</v>
      </c>
      <c r="AOZ12">
        <v>348</v>
      </c>
      <c r="APA12" s="2"/>
      <c r="APB12">
        <f t="shared" si="182"/>
        <v>29</v>
      </c>
      <c r="APC12" t="s">
        <v>3540</v>
      </c>
      <c r="APD12" t="s">
        <v>3541</v>
      </c>
      <c r="APE12">
        <v>16.690460205078121</v>
      </c>
      <c r="APF12">
        <v>431</v>
      </c>
      <c r="APG12" s="5"/>
      <c r="APH12">
        <f t="shared" si="183"/>
        <v>34</v>
      </c>
      <c r="API12" t="s">
        <v>891</v>
      </c>
      <c r="APJ12" t="s">
        <v>3542</v>
      </c>
      <c r="APK12">
        <v>22.72880053520203</v>
      </c>
      <c r="APL12">
        <v>432</v>
      </c>
      <c r="APM12" s="2"/>
      <c r="APN12">
        <f t="shared" si="184"/>
        <v>23</v>
      </c>
      <c r="APO12" t="s">
        <v>3543</v>
      </c>
      <c r="APP12" t="s">
        <v>3544</v>
      </c>
      <c r="APQ12">
        <v>16.103091478347778</v>
      </c>
      <c r="APR12">
        <v>367</v>
      </c>
      <c r="APS12" s="5"/>
      <c r="APT12">
        <f t="shared" si="185"/>
        <v>27</v>
      </c>
      <c r="APU12" t="s">
        <v>3545</v>
      </c>
      <c r="APV12" t="s">
        <v>3546</v>
      </c>
      <c r="APW12">
        <v>15.609557390213009</v>
      </c>
      <c r="APX12">
        <v>450</v>
      </c>
      <c r="APY12" s="2"/>
      <c r="APZ12">
        <f t="shared" si="186"/>
        <v>36</v>
      </c>
      <c r="AQA12" t="s">
        <v>3547</v>
      </c>
      <c r="AQB12" t="s">
        <v>3548</v>
      </c>
      <c r="AQC12">
        <v>297.98058676719671</v>
      </c>
      <c r="AQD12">
        <v>452</v>
      </c>
      <c r="AQE12" s="5"/>
      <c r="AQF12">
        <f t="shared" si="187"/>
        <v>36</v>
      </c>
      <c r="AQG12" t="s">
        <v>918</v>
      </c>
      <c r="AQH12" t="s">
        <v>3549</v>
      </c>
      <c r="AQI12">
        <v>14.01121854782104</v>
      </c>
      <c r="AQJ12">
        <v>461</v>
      </c>
      <c r="AQK12" s="2"/>
      <c r="AQL12">
        <f t="shared" si="188"/>
        <v>79</v>
      </c>
      <c r="AQM12" t="s">
        <v>3550</v>
      </c>
      <c r="AQN12" t="s">
        <v>3551</v>
      </c>
      <c r="AQO12">
        <v>298.60411667823792</v>
      </c>
      <c r="AQP12">
        <v>435</v>
      </c>
      <c r="AQQ12" s="5"/>
      <c r="AQR12">
        <f t="shared" si="189"/>
        <v>46</v>
      </c>
      <c r="AQS12" t="s">
        <v>1082</v>
      </c>
      <c r="AQT12" t="s">
        <v>3552</v>
      </c>
      <c r="AQU12">
        <v>28.697543621063229</v>
      </c>
      <c r="AQV12">
        <v>459</v>
      </c>
      <c r="AQW12" s="2"/>
      <c r="AQX12">
        <f t="shared" si="190"/>
        <v>23</v>
      </c>
      <c r="AQY12" t="s">
        <v>3553</v>
      </c>
      <c r="AQZ12" t="s">
        <v>3554</v>
      </c>
      <c r="ARA12">
        <v>23.307927131652828</v>
      </c>
      <c r="ARB12">
        <v>383</v>
      </c>
      <c r="ARC12" s="5"/>
      <c r="ARD12">
        <f t="shared" si="191"/>
        <v>33</v>
      </c>
      <c r="ARE12" t="s">
        <v>3555</v>
      </c>
      <c r="ARF12" t="s">
        <v>3556</v>
      </c>
      <c r="ARG12">
        <v>10.053073883056641</v>
      </c>
      <c r="ARH12">
        <v>402</v>
      </c>
      <c r="ARI12" s="2"/>
      <c r="ARJ12">
        <f t="shared" si="192"/>
        <v>37</v>
      </c>
      <c r="ARK12" t="s">
        <v>132</v>
      </c>
      <c r="ARL12" t="s">
        <v>3557</v>
      </c>
      <c r="ARM12">
        <v>25.637044906616211</v>
      </c>
      <c r="ARN12">
        <v>309</v>
      </c>
      <c r="ARO12" s="5"/>
      <c r="ARP12">
        <f t="shared" si="193"/>
        <v>25</v>
      </c>
      <c r="ARQ12" t="s">
        <v>254</v>
      </c>
      <c r="ARR12" t="s">
        <v>3558</v>
      </c>
      <c r="ARS12">
        <v>8.6938843727111816</v>
      </c>
      <c r="ART12">
        <v>331</v>
      </c>
      <c r="ARU12" s="2"/>
      <c r="ARV12">
        <f t="shared" si="194"/>
        <v>25</v>
      </c>
      <c r="ARW12" t="s">
        <v>3559</v>
      </c>
      <c r="ARX12" t="s">
        <v>3560</v>
      </c>
      <c r="ARY12">
        <v>196.28116846084589</v>
      </c>
      <c r="ARZ12">
        <v>540</v>
      </c>
      <c r="ASA12" s="5"/>
      <c r="ASB12">
        <f t="shared" si="195"/>
        <v>36</v>
      </c>
      <c r="ASC12" t="s">
        <v>3561</v>
      </c>
      <c r="ASD12" t="s">
        <v>3562</v>
      </c>
      <c r="ASE12">
        <v>20.559733629226681</v>
      </c>
      <c r="ASF12">
        <v>370</v>
      </c>
      <c r="ASG12" s="2"/>
      <c r="ASH12">
        <f t="shared" si="196"/>
        <v>12</v>
      </c>
      <c r="ASI12" t="s">
        <v>3563</v>
      </c>
      <c r="ASJ12" t="s">
        <v>3564</v>
      </c>
      <c r="ASK12">
        <v>124.25450611114501</v>
      </c>
      <c r="ASL12">
        <v>379</v>
      </c>
      <c r="ASM12" s="5"/>
      <c r="ASN12">
        <f t="shared" si="197"/>
        <v>19</v>
      </c>
      <c r="ASO12" t="s">
        <v>1591</v>
      </c>
      <c r="ASP12" t="s">
        <v>3565</v>
      </c>
      <c r="ASQ12">
        <v>4.1319780349731454</v>
      </c>
      <c r="ASR12">
        <v>313</v>
      </c>
      <c r="ASS12" s="2"/>
      <c r="AST12">
        <f t="shared" si="198"/>
        <v>22</v>
      </c>
      <c r="ASU12" t="s">
        <v>3566</v>
      </c>
      <c r="ASV12" t="s">
        <v>3567</v>
      </c>
      <c r="ASW12">
        <v>27.059713840484619</v>
      </c>
      <c r="ASX12">
        <v>263</v>
      </c>
      <c r="ASY12" s="5"/>
      <c r="ASZ12">
        <f t="shared" si="199"/>
        <v>26</v>
      </c>
      <c r="ATA12" t="s">
        <v>3568</v>
      </c>
      <c r="ATB12" t="s">
        <v>3569</v>
      </c>
      <c r="ATC12">
        <v>13.02716326713562</v>
      </c>
      <c r="ATD12">
        <v>247</v>
      </c>
      <c r="ATE12" s="2"/>
      <c r="ATF12">
        <f t="shared" si="200"/>
        <v>29</v>
      </c>
      <c r="ATG12" t="s">
        <v>3570</v>
      </c>
      <c r="ATH12" t="s">
        <v>3571</v>
      </c>
      <c r="ATI12">
        <v>29.01156401634216</v>
      </c>
      <c r="ATJ12">
        <v>433</v>
      </c>
      <c r="ATK12" s="5"/>
      <c r="ATL12">
        <f t="shared" si="201"/>
        <v>51</v>
      </c>
      <c r="ATM12" t="s">
        <v>3572</v>
      </c>
      <c r="ATN12" t="s">
        <v>3573</v>
      </c>
      <c r="ATO12">
        <v>14.130731344223021</v>
      </c>
      <c r="ATP12">
        <v>479</v>
      </c>
      <c r="ATQ12" s="2"/>
      <c r="ATR12">
        <f t="shared" si="202"/>
        <v>26</v>
      </c>
      <c r="ATS12" t="s">
        <v>3574</v>
      </c>
      <c r="ATT12" t="s">
        <v>3575</v>
      </c>
      <c r="ATU12">
        <v>101.63735818862919</v>
      </c>
      <c r="ATV12">
        <v>360</v>
      </c>
      <c r="ATW12" s="5"/>
      <c r="ATX12">
        <f t="shared" si="203"/>
        <v>25</v>
      </c>
      <c r="ATY12" t="s">
        <v>694</v>
      </c>
      <c r="ATZ12" t="s">
        <v>3576</v>
      </c>
      <c r="AUA12">
        <v>17.45196533203125</v>
      </c>
      <c r="AUB12">
        <v>482</v>
      </c>
      <c r="AUC12" s="2"/>
    </row>
    <row r="13" spans="2:1225" x14ac:dyDescent="0.25">
      <c r="B13">
        <f t="shared" si="0"/>
        <v>12</v>
      </c>
      <c r="C13" t="s">
        <v>3577</v>
      </c>
      <c r="D13" t="s">
        <v>3578</v>
      </c>
      <c r="E13">
        <v>4.141740083694458</v>
      </c>
      <c r="F13">
        <v>234</v>
      </c>
      <c r="G13" s="1"/>
      <c r="H13">
        <f t="shared" si="1"/>
        <v>29</v>
      </c>
      <c r="I13" t="s">
        <v>3579</v>
      </c>
      <c r="J13" t="s">
        <v>3580</v>
      </c>
      <c r="K13">
        <v>20.254243612289429</v>
      </c>
      <c r="L13">
        <v>490</v>
      </c>
      <c r="M13" s="2"/>
      <c r="N13">
        <f t="shared" si="2"/>
        <v>81</v>
      </c>
      <c r="O13" t="s">
        <v>3581</v>
      </c>
      <c r="P13" t="s">
        <v>3582</v>
      </c>
      <c r="Q13">
        <v>16.982764959335331</v>
      </c>
      <c r="R13">
        <v>434</v>
      </c>
      <c r="S13" s="1"/>
      <c r="T13">
        <f t="shared" si="3"/>
        <v>66</v>
      </c>
      <c r="U13" t="s">
        <v>3583</v>
      </c>
      <c r="V13" t="s">
        <v>3584</v>
      </c>
      <c r="W13">
        <v>38.598687171936042</v>
      </c>
      <c r="X13">
        <v>560</v>
      </c>
      <c r="Y13" s="2"/>
      <c r="Z13">
        <f t="shared" si="4"/>
        <v>41</v>
      </c>
      <c r="AA13" t="s">
        <v>2048</v>
      </c>
      <c r="AB13" t="s">
        <v>3585</v>
      </c>
      <c r="AC13">
        <v>12.20831346511841</v>
      </c>
      <c r="AD13">
        <v>294</v>
      </c>
      <c r="AE13" s="1"/>
      <c r="AF13">
        <f t="shared" si="5"/>
        <v>42</v>
      </c>
      <c r="AG13" t="s">
        <v>3586</v>
      </c>
      <c r="AH13" t="s">
        <v>3587</v>
      </c>
      <c r="AI13">
        <v>29.902183055877689</v>
      </c>
      <c r="AJ13">
        <v>400</v>
      </c>
      <c r="AK13" s="2"/>
      <c r="AL13">
        <f t="shared" si="6"/>
        <v>30</v>
      </c>
      <c r="AM13" t="s">
        <v>3588</v>
      </c>
      <c r="AN13" t="s">
        <v>3589</v>
      </c>
      <c r="AO13">
        <v>18.20526123046875</v>
      </c>
      <c r="AP13">
        <v>409</v>
      </c>
      <c r="AQ13" s="1"/>
      <c r="AR13">
        <f t="shared" si="7"/>
        <v>27</v>
      </c>
      <c r="AS13" t="s">
        <v>3590</v>
      </c>
      <c r="AT13" t="s">
        <v>3591</v>
      </c>
      <c r="AU13">
        <v>9.9312605857849121</v>
      </c>
      <c r="AV13">
        <v>568</v>
      </c>
      <c r="AW13" s="2"/>
      <c r="AX13">
        <f t="shared" si="8"/>
        <v>25</v>
      </c>
      <c r="AY13" t="s">
        <v>3592</v>
      </c>
      <c r="AZ13" t="s">
        <v>3593</v>
      </c>
      <c r="BA13">
        <v>14.21643757820129</v>
      </c>
      <c r="BB13">
        <v>347</v>
      </c>
      <c r="BC13" s="1"/>
      <c r="BD13">
        <f t="shared" si="9"/>
        <v>32</v>
      </c>
      <c r="BE13" t="s">
        <v>35</v>
      </c>
      <c r="BF13" t="s">
        <v>3594</v>
      </c>
      <c r="BG13">
        <v>20.505053281784061</v>
      </c>
      <c r="BH13">
        <v>440</v>
      </c>
      <c r="BI13" s="2"/>
      <c r="BJ13">
        <f t="shared" si="10"/>
        <v>25</v>
      </c>
      <c r="BK13" t="s">
        <v>49</v>
      </c>
      <c r="BL13" t="s">
        <v>3595</v>
      </c>
      <c r="BM13">
        <v>13.68828177452087</v>
      </c>
      <c r="BN13">
        <v>357</v>
      </c>
      <c r="BO13" s="1"/>
      <c r="BP13">
        <f t="shared" si="11"/>
        <v>87</v>
      </c>
      <c r="BQ13" t="s">
        <v>3596</v>
      </c>
      <c r="BR13" t="s">
        <v>3597</v>
      </c>
      <c r="BS13">
        <v>21.694142580032349</v>
      </c>
      <c r="BT13">
        <v>488</v>
      </c>
      <c r="BU13" s="2"/>
      <c r="BV13">
        <f t="shared" si="12"/>
        <v>23</v>
      </c>
      <c r="BW13" t="s">
        <v>3598</v>
      </c>
      <c r="BX13" t="s">
        <v>3599</v>
      </c>
      <c r="BY13">
        <v>11.730681657791139</v>
      </c>
      <c r="BZ13">
        <v>590</v>
      </c>
      <c r="CA13" s="1"/>
      <c r="CB13">
        <f t="shared" si="13"/>
        <v>13</v>
      </c>
      <c r="CC13" t="s">
        <v>3600</v>
      </c>
      <c r="CD13" t="s">
        <v>3601</v>
      </c>
      <c r="CE13">
        <v>12.02773642539978</v>
      </c>
      <c r="CF13">
        <v>416</v>
      </c>
      <c r="CG13" s="2"/>
      <c r="CH13">
        <f t="shared" si="14"/>
        <v>46</v>
      </c>
      <c r="CI13" t="s">
        <v>3602</v>
      </c>
      <c r="CJ13" t="s">
        <v>3603</v>
      </c>
      <c r="CK13">
        <v>34.347654342651367</v>
      </c>
      <c r="CL13">
        <v>490</v>
      </c>
      <c r="CM13" s="1"/>
      <c r="CN13">
        <f t="shared" si="15"/>
        <v>53</v>
      </c>
      <c r="CO13" t="s">
        <v>3604</v>
      </c>
      <c r="CP13" t="s">
        <v>3605</v>
      </c>
      <c r="CQ13">
        <v>203.63459324836731</v>
      </c>
      <c r="CR13">
        <v>445</v>
      </c>
      <c r="CS13" s="2"/>
      <c r="CT13">
        <f t="shared" si="16"/>
        <v>20</v>
      </c>
      <c r="CU13" t="s">
        <v>61</v>
      </c>
      <c r="CV13" t="s">
        <v>3606</v>
      </c>
      <c r="CW13">
        <v>6.6255009174346924</v>
      </c>
      <c r="CX13">
        <v>364</v>
      </c>
      <c r="CY13" s="1"/>
      <c r="CZ13">
        <f t="shared" si="17"/>
        <v>27</v>
      </c>
      <c r="DA13" t="s">
        <v>3607</v>
      </c>
      <c r="DB13" t="s">
        <v>3608</v>
      </c>
      <c r="DC13">
        <v>17.67275333404541</v>
      </c>
      <c r="DD13">
        <v>431</v>
      </c>
      <c r="DE13" s="2"/>
      <c r="DF13">
        <f t="shared" si="18"/>
        <v>83</v>
      </c>
      <c r="DG13" t="s">
        <v>3609</v>
      </c>
      <c r="DH13" t="s">
        <v>3610</v>
      </c>
      <c r="DI13">
        <v>20.4255838394165</v>
      </c>
      <c r="DJ13">
        <v>500</v>
      </c>
      <c r="DK13" s="1"/>
      <c r="DL13">
        <f t="shared" si="19"/>
        <v>6</v>
      </c>
      <c r="DM13" t="s">
        <v>3611</v>
      </c>
      <c r="DN13" t="s">
        <v>3612</v>
      </c>
      <c r="DO13">
        <v>11.240950107574459</v>
      </c>
      <c r="DP13">
        <v>377</v>
      </c>
      <c r="DQ13" s="2"/>
      <c r="DR13">
        <f t="shared" si="20"/>
        <v>45</v>
      </c>
      <c r="DS13" t="s">
        <v>3613</v>
      </c>
      <c r="DT13" t="s">
        <v>3614</v>
      </c>
      <c r="DU13">
        <v>6.9147181510925293</v>
      </c>
      <c r="DV13">
        <v>437</v>
      </c>
      <c r="DW13" s="1"/>
      <c r="DX13">
        <f t="shared" si="21"/>
        <v>36</v>
      </c>
      <c r="DY13" t="s">
        <v>3615</v>
      </c>
      <c r="DZ13" t="s">
        <v>3616</v>
      </c>
      <c r="EA13">
        <v>122.12107849121089</v>
      </c>
      <c r="EB13">
        <v>402</v>
      </c>
      <c r="EC13" s="2"/>
      <c r="ED13">
        <f t="shared" si="22"/>
        <v>29</v>
      </c>
      <c r="EE13" t="s">
        <v>1692</v>
      </c>
      <c r="EF13" t="s">
        <v>3617</v>
      </c>
      <c r="EG13">
        <v>11.291241884231569</v>
      </c>
      <c r="EH13">
        <v>337</v>
      </c>
      <c r="EI13" s="1"/>
      <c r="EJ13">
        <f t="shared" si="23"/>
        <v>25</v>
      </c>
      <c r="EK13" t="s">
        <v>3255</v>
      </c>
      <c r="EL13" t="s">
        <v>3618</v>
      </c>
      <c r="EM13">
        <v>17.702474117279049</v>
      </c>
      <c r="EN13">
        <v>470</v>
      </c>
      <c r="EO13" s="2"/>
      <c r="EP13">
        <f t="shared" si="24"/>
        <v>23</v>
      </c>
      <c r="EQ13" t="s">
        <v>3619</v>
      </c>
      <c r="ER13" t="s">
        <v>3620</v>
      </c>
      <c r="ES13">
        <v>15.70829010009766</v>
      </c>
      <c r="ET13">
        <v>313</v>
      </c>
      <c r="EU13" s="1"/>
      <c r="EV13">
        <f t="shared" si="25"/>
        <v>35</v>
      </c>
      <c r="EW13" t="s">
        <v>3621</v>
      </c>
      <c r="EX13" t="s">
        <v>3622</v>
      </c>
      <c r="EY13">
        <v>17.70312333106995</v>
      </c>
      <c r="EZ13">
        <v>430</v>
      </c>
      <c r="FA13" s="2"/>
      <c r="FB13">
        <f t="shared" si="26"/>
        <v>41</v>
      </c>
      <c r="FC13" t="s">
        <v>262</v>
      </c>
      <c r="FD13" t="s">
        <v>3623</v>
      </c>
      <c r="FE13">
        <v>10.695977449417111</v>
      </c>
      <c r="FF13">
        <v>486</v>
      </c>
      <c r="FG13" s="1"/>
      <c r="FH13">
        <f t="shared" si="27"/>
        <v>31</v>
      </c>
      <c r="FI13" t="s">
        <v>3624</v>
      </c>
      <c r="FJ13" t="s">
        <v>3625</v>
      </c>
      <c r="FK13">
        <v>10.0378692150116</v>
      </c>
      <c r="FL13">
        <v>364</v>
      </c>
      <c r="FM13" s="2"/>
      <c r="FN13">
        <f t="shared" si="28"/>
        <v>28</v>
      </c>
      <c r="FO13" t="s">
        <v>3626</v>
      </c>
      <c r="FP13" t="s">
        <v>3627</v>
      </c>
      <c r="FQ13">
        <v>13.60560894012451</v>
      </c>
      <c r="FR13">
        <v>492</v>
      </c>
      <c r="FS13" s="1"/>
      <c r="FT13">
        <f t="shared" si="29"/>
        <v>16</v>
      </c>
      <c r="FU13" t="s">
        <v>3628</v>
      </c>
      <c r="FV13" t="s">
        <v>3629</v>
      </c>
      <c r="FW13">
        <v>55.451219797134399</v>
      </c>
      <c r="FX13">
        <v>441</v>
      </c>
      <c r="FY13" s="2"/>
      <c r="FZ13">
        <f t="shared" si="30"/>
        <v>29</v>
      </c>
      <c r="GA13" t="s">
        <v>3534</v>
      </c>
      <c r="GB13" t="s">
        <v>3630</v>
      </c>
      <c r="GC13">
        <v>19.976682186126709</v>
      </c>
      <c r="GD13">
        <v>429</v>
      </c>
      <c r="GE13" s="1"/>
      <c r="GF13">
        <f t="shared" si="31"/>
        <v>39</v>
      </c>
      <c r="GG13" t="s">
        <v>66</v>
      </c>
      <c r="GH13" t="s">
        <v>3631</v>
      </c>
      <c r="GI13">
        <v>37.544054746627808</v>
      </c>
      <c r="GJ13">
        <v>414</v>
      </c>
      <c r="GK13" s="2"/>
      <c r="GL13">
        <f t="shared" si="32"/>
        <v>31</v>
      </c>
      <c r="GM13" t="s">
        <v>3632</v>
      </c>
      <c r="GN13" t="s">
        <v>3633</v>
      </c>
      <c r="GO13">
        <v>123.1550049781799</v>
      </c>
      <c r="GP13">
        <v>402</v>
      </c>
      <c r="GQ13" s="1"/>
      <c r="GR13">
        <f t="shared" si="33"/>
        <v>13</v>
      </c>
      <c r="GS13" t="s">
        <v>3634</v>
      </c>
      <c r="GT13" t="s">
        <v>3635</v>
      </c>
      <c r="GU13">
        <v>35.097142457962043</v>
      </c>
      <c r="GV13">
        <v>358</v>
      </c>
      <c r="GW13" s="2"/>
      <c r="GX13">
        <f t="shared" si="34"/>
        <v>42</v>
      </c>
      <c r="GY13" t="s">
        <v>2956</v>
      </c>
      <c r="GZ13" t="s">
        <v>3636</v>
      </c>
      <c r="HA13">
        <v>10.206765174865721</v>
      </c>
      <c r="HB13">
        <v>358</v>
      </c>
      <c r="HC13" s="1"/>
      <c r="HD13">
        <f t="shared" si="35"/>
        <v>42</v>
      </c>
      <c r="HE13" t="s">
        <v>3637</v>
      </c>
      <c r="HF13" t="s">
        <v>3638</v>
      </c>
      <c r="HG13">
        <v>35.817934274673462</v>
      </c>
      <c r="HH13">
        <v>471</v>
      </c>
      <c r="HI13" s="2"/>
      <c r="HJ13">
        <f t="shared" si="36"/>
        <v>30</v>
      </c>
      <c r="HK13" t="s">
        <v>3639</v>
      </c>
      <c r="HL13" t="s">
        <v>3640</v>
      </c>
      <c r="HM13">
        <v>38.217205762863159</v>
      </c>
      <c r="HN13">
        <v>401</v>
      </c>
      <c r="HO13" s="1"/>
      <c r="HP13">
        <f t="shared" si="37"/>
        <v>58</v>
      </c>
      <c r="HQ13" t="s">
        <v>3641</v>
      </c>
      <c r="HR13" t="s">
        <v>3642</v>
      </c>
      <c r="HS13">
        <v>46.71132230758667</v>
      </c>
      <c r="HT13">
        <v>551</v>
      </c>
      <c r="HU13" s="2"/>
      <c r="HV13">
        <f t="shared" si="38"/>
        <v>30</v>
      </c>
      <c r="HW13" t="s">
        <v>3643</v>
      </c>
      <c r="HX13" t="s">
        <v>3644</v>
      </c>
      <c r="HY13">
        <v>24.751889944076542</v>
      </c>
      <c r="HZ13">
        <v>383</v>
      </c>
      <c r="IA13" s="1"/>
      <c r="IB13">
        <f t="shared" si="39"/>
        <v>45</v>
      </c>
      <c r="IC13" t="s">
        <v>3645</v>
      </c>
      <c r="ID13" t="s">
        <v>3646</v>
      </c>
      <c r="IE13">
        <v>20.479981184005741</v>
      </c>
      <c r="IF13">
        <v>416</v>
      </c>
      <c r="IG13" s="2"/>
      <c r="IH13">
        <f t="shared" si="40"/>
        <v>33</v>
      </c>
      <c r="II13" t="s">
        <v>3647</v>
      </c>
      <c r="IJ13" t="s">
        <v>3648</v>
      </c>
      <c r="IK13">
        <v>108.67674207687379</v>
      </c>
      <c r="IL13">
        <v>374</v>
      </c>
      <c r="IM13" s="1"/>
      <c r="IN13">
        <f t="shared" si="41"/>
        <v>26</v>
      </c>
      <c r="IO13" t="s">
        <v>3649</v>
      </c>
      <c r="IP13" t="s">
        <v>3650</v>
      </c>
      <c r="IQ13">
        <v>13.95343065261841</v>
      </c>
      <c r="IR13">
        <v>527</v>
      </c>
      <c r="IS13" s="2"/>
      <c r="IT13">
        <f t="shared" si="42"/>
        <v>22</v>
      </c>
      <c r="IU13" t="s">
        <v>3628</v>
      </c>
      <c r="IV13" t="s">
        <v>3651</v>
      </c>
      <c r="IW13">
        <v>13.16498589515686</v>
      </c>
      <c r="IX13">
        <v>425</v>
      </c>
      <c r="IY13" s="1"/>
      <c r="IZ13">
        <f t="shared" si="43"/>
        <v>25</v>
      </c>
      <c r="JA13" t="s">
        <v>3652</v>
      </c>
      <c r="JB13" t="s">
        <v>3653</v>
      </c>
      <c r="JC13">
        <v>23.77197623252869</v>
      </c>
      <c r="JD13">
        <v>339</v>
      </c>
      <c r="JE13" s="2"/>
      <c r="JF13">
        <f t="shared" si="44"/>
        <v>28</v>
      </c>
      <c r="JG13" t="s">
        <v>312</v>
      </c>
      <c r="JH13" t="s">
        <v>3654</v>
      </c>
      <c r="JI13">
        <v>11.873395204544069</v>
      </c>
      <c r="JJ13">
        <v>304</v>
      </c>
      <c r="JK13" s="1"/>
      <c r="JL13">
        <f t="shared" si="45"/>
        <v>24</v>
      </c>
      <c r="JM13" t="s">
        <v>1969</v>
      </c>
      <c r="JN13" t="s">
        <v>3655</v>
      </c>
      <c r="JO13">
        <v>20.224454879760739</v>
      </c>
      <c r="JP13">
        <v>459</v>
      </c>
      <c r="JQ13" s="2"/>
      <c r="JR13">
        <f t="shared" si="46"/>
        <v>26</v>
      </c>
      <c r="JS13" t="s">
        <v>3656</v>
      </c>
      <c r="JT13" t="s">
        <v>3657</v>
      </c>
      <c r="JU13">
        <v>10.67208242416382</v>
      </c>
      <c r="JV13">
        <v>284</v>
      </c>
      <c r="JW13" s="1"/>
      <c r="JX13">
        <f t="shared" si="47"/>
        <v>19</v>
      </c>
      <c r="JY13" t="s">
        <v>3658</v>
      </c>
      <c r="JZ13" t="s">
        <v>3659</v>
      </c>
      <c r="KA13">
        <v>76.444778442382813</v>
      </c>
      <c r="KB13">
        <v>489</v>
      </c>
      <c r="KC13" s="2"/>
      <c r="KD13">
        <f t="shared" si="48"/>
        <v>35</v>
      </c>
      <c r="KE13" t="s">
        <v>3660</v>
      </c>
      <c r="KF13" t="s">
        <v>3661</v>
      </c>
      <c r="KG13">
        <v>13.841878890991209</v>
      </c>
      <c r="KH13">
        <v>483</v>
      </c>
      <c r="KI13" s="1"/>
      <c r="KJ13">
        <f t="shared" si="49"/>
        <v>18</v>
      </c>
      <c r="KK13" t="s">
        <v>3662</v>
      </c>
      <c r="KL13" t="s">
        <v>3663</v>
      </c>
      <c r="KM13">
        <v>35.417167901992798</v>
      </c>
      <c r="KN13">
        <v>471</v>
      </c>
      <c r="KO13" s="2"/>
      <c r="KP13">
        <f t="shared" si="50"/>
        <v>22</v>
      </c>
      <c r="KQ13" t="s">
        <v>3196</v>
      </c>
      <c r="KR13" t="s">
        <v>3664</v>
      </c>
      <c r="KS13">
        <v>7.3956100940704346</v>
      </c>
      <c r="KT13">
        <v>349</v>
      </c>
      <c r="KU13" s="1"/>
      <c r="KV13">
        <f t="shared" si="51"/>
        <v>18</v>
      </c>
      <c r="KW13" t="s">
        <v>3030</v>
      </c>
      <c r="KX13" t="s">
        <v>3665</v>
      </c>
      <c r="KY13">
        <v>116.92342305183411</v>
      </c>
      <c r="KZ13">
        <v>337</v>
      </c>
      <c r="LA13" s="2"/>
      <c r="LB13">
        <f t="shared" si="52"/>
        <v>22</v>
      </c>
      <c r="LC13" t="s">
        <v>1329</v>
      </c>
      <c r="LD13" t="s">
        <v>3666</v>
      </c>
      <c r="LE13">
        <v>17.619076251983639</v>
      </c>
      <c r="LF13">
        <v>484</v>
      </c>
      <c r="LG13" s="1"/>
      <c r="LH13">
        <f t="shared" si="53"/>
        <v>17</v>
      </c>
      <c r="LI13" t="s">
        <v>3667</v>
      </c>
      <c r="LJ13" t="s">
        <v>3668</v>
      </c>
      <c r="LK13">
        <v>22.886842250823971</v>
      </c>
      <c r="LL13">
        <v>460</v>
      </c>
      <c r="LM13" s="2"/>
      <c r="LN13">
        <f t="shared" si="54"/>
        <v>29</v>
      </c>
      <c r="LO13" t="s">
        <v>3669</v>
      </c>
      <c r="LP13" t="s">
        <v>3670</v>
      </c>
      <c r="LQ13">
        <v>20.914026021957401</v>
      </c>
      <c r="LR13">
        <v>356</v>
      </c>
      <c r="LS13" s="1"/>
      <c r="LT13">
        <f t="shared" si="55"/>
        <v>24</v>
      </c>
      <c r="LU13" t="s">
        <v>2434</v>
      </c>
      <c r="LV13" t="s">
        <v>3671</v>
      </c>
      <c r="LW13">
        <v>7.4569942951202393</v>
      </c>
      <c r="LX13">
        <v>408</v>
      </c>
      <c r="LY13" s="2"/>
      <c r="LZ13">
        <f t="shared" si="56"/>
        <v>17</v>
      </c>
      <c r="MA13" t="s">
        <v>3672</v>
      </c>
      <c r="MB13" t="s">
        <v>3673</v>
      </c>
      <c r="MC13">
        <v>3.9384863376617432</v>
      </c>
      <c r="MD13">
        <v>272</v>
      </c>
      <c r="ME13" s="1"/>
      <c r="MF13">
        <f t="shared" si="57"/>
        <v>9</v>
      </c>
      <c r="MG13" t="s">
        <v>1752</v>
      </c>
      <c r="MH13" t="s">
        <v>3674</v>
      </c>
      <c r="MI13">
        <v>144.84855508804321</v>
      </c>
      <c r="MJ13">
        <v>292</v>
      </c>
      <c r="MK13" s="2"/>
      <c r="ML13">
        <f t="shared" si="58"/>
        <v>24</v>
      </c>
      <c r="MM13" t="s">
        <v>1591</v>
      </c>
      <c r="MN13" t="s">
        <v>3675</v>
      </c>
      <c r="MO13">
        <v>8.3007194995880127</v>
      </c>
      <c r="MP13">
        <v>401</v>
      </c>
      <c r="MQ13" s="1"/>
      <c r="MR13">
        <f t="shared" si="59"/>
        <v>36</v>
      </c>
      <c r="MS13" t="s">
        <v>3676</v>
      </c>
      <c r="MT13" t="s">
        <v>3677</v>
      </c>
      <c r="MU13">
        <v>26.956115007400509</v>
      </c>
      <c r="MV13">
        <v>460</v>
      </c>
      <c r="MW13" s="2"/>
      <c r="MX13">
        <f t="shared" si="60"/>
        <v>31</v>
      </c>
      <c r="MY13" t="s">
        <v>1437</v>
      </c>
      <c r="MZ13" t="s">
        <v>3678</v>
      </c>
      <c r="NA13">
        <v>7.7556722164154053</v>
      </c>
      <c r="NB13">
        <v>312</v>
      </c>
      <c r="NC13" s="1"/>
      <c r="ND13">
        <f t="shared" si="61"/>
        <v>35</v>
      </c>
      <c r="NE13" t="s">
        <v>3679</v>
      </c>
      <c r="NF13" t="s">
        <v>3680</v>
      </c>
      <c r="NG13">
        <v>31.930747032165531</v>
      </c>
      <c r="NH13">
        <v>321</v>
      </c>
      <c r="NI13" s="2"/>
      <c r="NJ13">
        <f t="shared" si="62"/>
        <v>39</v>
      </c>
      <c r="NK13" t="s">
        <v>3681</v>
      </c>
      <c r="NL13" t="s">
        <v>3682</v>
      </c>
      <c r="NM13">
        <v>72.872525930404663</v>
      </c>
      <c r="NN13">
        <v>286</v>
      </c>
      <c r="NO13" s="1"/>
      <c r="NP13">
        <f t="shared" si="63"/>
        <v>34</v>
      </c>
      <c r="NQ13" t="s">
        <v>3683</v>
      </c>
      <c r="NR13" t="s">
        <v>3684</v>
      </c>
      <c r="NS13">
        <v>23.691802978515621</v>
      </c>
      <c r="NT13">
        <v>485</v>
      </c>
      <c r="NU13" s="2"/>
      <c r="NV13">
        <f t="shared" si="64"/>
        <v>34</v>
      </c>
      <c r="NW13" t="s">
        <v>3685</v>
      </c>
      <c r="NX13" t="s">
        <v>3686</v>
      </c>
      <c r="NY13">
        <v>18.50510668754578</v>
      </c>
      <c r="NZ13">
        <v>443</v>
      </c>
      <c r="OA13" s="1"/>
      <c r="OB13">
        <f t="shared" si="65"/>
        <v>42</v>
      </c>
      <c r="OC13" t="s">
        <v>93</v>
      </c>
      <c r="OD13" t="s">
        <v>3687</v>
      </c>
      <c r="OE13">
        <v>24.15601754188538</v>
      </c>
      <c r="OF13">
        <v>365</v>
      </c>
      <c r="OG13" s="2"/>
      <c r="OH13">
        <f t="shared" si="66"/>
        <v>30</v>
      </c>
      <c r="OI13" t="s">
        <v>3217</v>
      </c>
      <c r="OJ13" t="s">
        <v>3688</v>
      </c>
      <c r="OK13">
        <v>18.753564119338989</v>
      </c>
      <c r="OL13">
        <v>456</v>
      </c>
      <c r="OM13" s="1"/>
      <c r="ON13">
        <f t="shared" si="67"/>
        <v>25</v>
      </c>
      <c r="OO13" t="s">
        <v>1437</v>
      </c>
      <c r="OP13" t="s">
        <v>3689</v>
      </c>
      <c r="OQ13">
        <v>22.79981350898743</v>
      </c>
      <c r="OR13">
        <v>395</v>
      </c>
      <c r="OS13" s="2"/>
      <c r="OT13">
        <f t="shared" si="68"/>
        <v>48</v>
      </c>
      <c r="OU13" t="s">
        <v>3690</v>
      </c>
      <c r="OV13" t="s">
        <v>3691</v>
      </c>
      <c r="OW13">
        <v>20.13589262962341</v>
      </c>
      <c r="OX13">
        <v>399</v>
      </c>
      <c r="OY13" s="1"/>
      <c r="OZ13">
        <f t="shared" si="69"/>
        <v>37</v>
      </c>
      <c r="PA13" t="s">
        <v>3692</v>
      </c>
      <c r="PB13" t="s">
        <v>3693</v>
      </c>
      <c r="PC13">
        <v>24.53759407997131</v>
      </c>
      <c r="PD13">
        <v>360</v>
      </c>
      <c r="PE13" s="2"/>
      <c r="PF13">
        <f t="shared" si="70"/>
        <v>24</v>
      </c>
      <c r="PG13" t="s">
        <v>3694</v>
      </c>
      <c r="PH13" t="s">
        <v>3695</v>
      </c>
      <c r="PI13">
        <v>17.897928476333622</v>
      </c>
      <c r="PJ13">
        <v>367</v>
      </c>
      <c r="PK13" s="1"/>
      <c r="PL13">
        <f t="shared" si="71"/>
        <v>42</v>
      </c>
      <c r="PM13" t="s">
        <v>3696</v>
      </c>
      <c r="PN13" t="s">
        <v>3697</v>
      </c>
      <c r="PO13">
        <v>20.431269645690922</v>
      </c>
      <c r="PP13">
        <v>421</v>
      </c>
      <c r="PQ13" s="2"/>
      <c r="PR13">
        <f t="shared" si="72"/>
        <v>33</v>
      </c>
      <c r="PS13" t="s">
        <v>3508</v>
      </c>
      <c r="PT13" t="s">
        <v>3698</v>
      </c>
      <c r="PU13">
        <v>22.858036994934078</v>
      </c>
      <c r="PV13">
        <v>438</v>
      </c>
      <c r="PW13" s="1"/>
      <c r="PX13">
        <f t="shared" si="73"/>
        <v>24</v>
      </c>
      <c r="PY13" t="s">
        <v>3699</v>
      </c>
      <c r="PZ13" t="s">
        <v>3700</v>
      </c>
      <c r="QA13">
        <v>16.207670927047729</v>
      </c>
      <c r="QB13">
        <v>467</v>
      </c>
      <c r="QC13" s="2"/>
      <c r="QD13">
        <f t="shared" si="74"/>
        <v>96</v>
      </c>
      <c r="QE13" t="s">
        <v>3701</v>
      </c>
      <c r="QF13" t="s">
        <v>3702</v>
      </c>
      <c r="QG13">
        <v>22.660005331039429</v>
      </c>
      <c r="QH13">
        <v>474</v>
      </c>
      <c r="QI13" s="1"/>
      <c r="QJ13">
        <f t="shared" si="75"/>
        <v>24</v>
      </c>
      <c r="QK13" t="s">
        <v>3652</v>
      </c>
      <c r="QL13" t="s">
        <v>3703</v>
      </c>
      <c r="QM13">
        <v>19.126891613006588</v>
      </c>
      <c r="QN13">
        <v>421</v>
      </c>
      <c r="QO13" s="2"/>
      <c r="QP13">
        <f t="shared" si="76"/>
        <v>17</v>
      </c>
      <c r="QQ13" t="s">
        <v>2139</v>
      </c>
      <c r="QR13" t="s">
        <v>3704</v>
      </c>
      <c r="QS13">
        <v>3.752773523330688</v>
      </c>
      <c r="QT13">
        <v>310</v>
      </c>
      <c r="QU13" s="1"/>
      <c r="QV13">
        <f t="shared" si="77"/>
        <v>30</v>
      </c>
      <c r="QW13" t="s">
        <v>3705</v>
      </c>
      <c r="QX13" t="s">
        <v>3706</v>
      </c>
      <c r="QY13">
        <v>22.408950805664059</v>
      </c>
      <c r="QZ13">
        <v>361</v>
      </c>
      <c r="RA13" s="2"/>
      <c r="RB13">
        <f t="shared" si="78"/>
        <v>34</v>
      </c>
      <c r="RC13" t="s">
        <v>3707</v>
      </c>
      <c r="RD13" t="s">
        <v>3708</v>
      </c>
      <c r="RE13">
        <v>31.154550075531009</v>
      </c>
      <c r="RF13">
        <v>502</v>
      </c>
      <c r="RG13" s="1"/>
      <c r="RH13">
        <f t="shared" si="79"/>
        <v>27</v>
      </c>
      <c r="RI13" t="s">
        <v>3709</v>
      </c>
      <c r="RJ13" t="s">
        <v>3710</v>
      </c>
      <c r="RK13">
        <v>8.9941840171813965</v>
      </c>
      <c r="RL13">
        <v>432</v>
      </c>
      <c r="RM13" s="2"/>
      <c r="RN13">
        <f t="shared" si="80"/>
        <v>32</v>
      </c>
      <c r="RO13" t="s">
        <v>692</v>
      </c>
      <c r="RP13" t="s">
        <v>3711</v>
      </c>
      <c r="RQ13">
        <v>14.106735944747919</v>
      </c>
      <c r="RR13">
        <v>545</v>
      </c>
      <c r="RS13" s="1"/>
      <c r="RT13">
        <f t="shared" si="81"/>
        <v>11</v>
      </c>
      <c r="RU13" t="s">
        <v>3099</v>
      </c>
      <c r="RV13" t="s">
        <v>3712</v>
      </c>
      <c r="RW13">
        <v>5.6966631412506104</v>
      </c>
      <c r="RX13">
        <v>411</v>
      </c>
      <c r="RY13" s="2"/>
      <c r="RZ13">
        <f t="shared" si="82"/>
        <v>22</v>
      </c>
      <c r="SA13" t="s">
        <v>3713</v>
      </c>
      <c r="SB13" t="s">
        <v>3714</v>
      </c>
      <c r="SC13">
        <v>6.157634973526001</v>
      </c>
      <c r="SD13">
        <v>419</v>
      </c>
      <c r="SE13" s="1"/>
      <c r="SF13">
        <f t="shared" si="83"/>
        <v>26</v>
      </c>
      <c r="SG13" t="s">
        <v>3715</v>
      </c>
      <c r="SH13" t="s">
        <v>3716</v>
      </c>
      <c r="SI13">
        <v>35.727851867675781</v>
      </c>
      <c r="SJ13">
        <v>366</v>
      </c>
      <c r="SK13" s="2"/>
      <c r="SL13">
        <f t="shared" si="84"/>
        <v>24</v>
      </c>
      <c r="SM13" t="s">
        <v>3717</v>
      </c>
      <c r="SN13" t="s">
        <v>3718</v>
      </c>
      <c r="SO13">
        <v>13.150271415710449</v>
      </c>
      <c r="SP13">
        <v>361</v>
      </c>
      <c r="SQ13" s="1"/>
      <c r="SR13">
        <f t="shared" si="85"/>
        <v>30</v>
      </c>
      <c r="SS13" t="s">
        <v>3719</v>
      </c>
      <c r="ST13" t="s">
        <v>3720</v>
      </c>
      <c r="SU13">
        <v>18.528266668319699</v>
      </c>
      <c r="SV13">
        <v>457</v>
      </c>
      <c r="SW13" s="2"/>
      <c r="SX13">
        <f t="shared" si="86"/>
        <v>79</v>
      </c>
      <c r="SY13" t="s">
        <v>3721</v>
      </c>
      <c r="SZ13" t="s">
        <v>3722</v>
      </c>
      <c r="TA13">
        <v>257.21091151237488</v>
      </c>
      <c r="TB13">
        <v>347</v>
      </c>
      <c r="TC13" s="1"/>
      <c r="TD13">
        <f t="shared" si="87"/>
        <v>42</v>
      </c>
      <c r="TE13" t="s">
        <v>3723</v>
      </c>
      <c r="TF13" t="s">
        <v>3724</v>
      </c>
      <c r="TG13">
        <v>155.99157547950739</v>
      </c>
      <c r="TH13">
        <v>515</v>
      </c>
      <c r="TI13" s="2"/>
      <c r="TJ13">
        <f t="shared" si="88"/>
        <v>42</v>
      </c>
      <c r="TK13" t="s">
        <v>3725</v>
      </c>
      <c r="TL13" t="s">
        <v>3726</v>
      </c>
      <c r="TM13">
        <v>25.012763500213619</v>
      </c>
      <c r="TN13">
        <v>559</v>
      </c>
      <c r="TO13" s="1"/>
      <c r="TP13">
        <f t="shared" si="89"/>
        <v>42</v>
      </c>
      <c r="TQ13" t="s">
        <v>3727</v>
      </c>
      <c r="TR13" t="s">
        <v>3728</v>
      </c>
      <c r="TS13">
        <v>22.14470267295837</v>
      </c>
      <c r="TT13">
        <v>364</v>
      </c>
      <c r="TU13" s="2"/>
      <c r="TV13">
        <f t="shared" si="90"/>
        <v>33</v>
      </c>
      <c r="TW13" t="s">
        <v>1345</v>
      </c>
      <c r="TX13" t="s">
        <v>3729</v>
      </c>
      <c r="TY13">
        <v>13.287193775177</v>
      </c>
      <c r="TZ13">
        <v>398</v>
      </c>
      <c r="UA13" s="1"/>
      <c r="UB13">
        <f t="shared" si="91"/>
        <v>43</v>
      </c>
      <c r="UC13" t="s">
        <v>3730</v>
      </c>
      <c r="UD13" t="s">
        <v>3731</v>
      </c>
      <c r="UE13">
        <v>22.55711913108826</v>
      </c>
      <c r="UF13">
        <v>566</v>
      </c>
      <c r="UG13" s="2"/>
      <c r="UH13">
        <f t="shared" si="92"/>
        <v>25</v>
      </c>
      <c r="UI13" t="s">
        <v>3732</v>
      </c>
      <c r="UJ13" t="s">
        <v>3733</v>
      </c>
      <c r="UK13">
        <v>8.850956916809082</v>
      </c>
      <c r="UL13">
        <v>215</v>
      </c>
      <c r="UM13" s="1"/>
      <c r="UN13">
        <f t="shared" si="93"/>
        <v>42</v>
      </c>
      <c r="UO13" t="s">
        <v>3734</v>
      </c>
      <c r="UP13" t="s">
        <v>3735</v>
      </c>
      <c r="UQ13">
        <v>24.932674169540409</v>
      </c>
      <c r="UR13">
        <v>522</v>
      </c>
      <c r="US13" s="2"/>
      <c r="UT13">
        <f t="shared" si="94"/>
        <v>34</v>
      </c>
      <c r="UU13" t="s">
        <v>3736</v>
      </c>
      <c r="UV13" t="s">
        <v>3737</v>
      </c>
      <c r="UW13">
        <v>26.834717512130741</v>
      </c>
      <c r="UX13">
        <v>404</v>
      </c>
      <c r="UY13" s="1"/>
      <c r="UZ13">
        <f t="shared" si="95"/>
        <v>33</v>
      </c>
      <c r="VA13" t="s">
        <v>3738</v>
      </c>
      <c r="VB13" t="s">
        <v>3739</v>
      </c>
      <c r="VC13">
        <v>14.26034235954285</v>
      </c>
      <c r="VD13">
        <v>373</v>
      </c>
      <c r="VE13" s="2"/>
      <c r="VF13">
        <f t="shared" si="96"/>
        <v>26</v>
      </c>
      <c r="VG13" t="s">
        <v>3740</v>
      </c>
      <c r="VH13" t="s">
        <v>3741</v>
      </c>
      <c r="VI13">
        <v>14.913586378097531</v>
      </c>
      <c r="VJ13">
        <v>425</v>
      </c>
      <c r="VK13" s="1"/>
      <c r="VL13">
        <f t="shared" si="97"/>
        <v>18</v>
      </c>
      <c r="VM13" t="s">
        <v>2549</v>
      </c>
      <c r="VN13" t="s">
        <v>3742</v>
      </c>
      <c r="VO13">
        <v>28.313107013702389</v>
      </c>
      <c r="VP13">
        <v>447</v>
      </c>
      <c r="VQ13" s="2"/>
      <c r="VR13">
        <f t="shared" si="98"/>
        <v>38</v>
      </c>
      <c r="VS13" t="s">
        <v>3743</v>
      </c>
      <c r="VT13" t="s">
        <v>3744</v>
      </c>
      <c r="VU13">
        <v>15.200923681259161</v>
      </c>
      <c r="VV13">
        <v>262</v>
      </c>
      <c r="VW13" s="1"/>
      <c r="VX13">
        <f t="shared" si="99"/>
        <v>33</v>
      </c>
      <c r="VY13" t="s">
        <v>3745</v>
      </c>
      <c r="VZ13" t="s">
        <v>3746</v>
      </c>
      <c r="WA13">
        <v>17.785958051681519</v>
      </c>
      <c r="WB13">
        <v>455</v>
      </c>
      <c r="WC13" s="2"/>
      <c r="WD13">
        <f t="shared" si="100"/>
        <v>5</v>
      </c>
      <c r="WE13" t="s">
        <v>3747</v>
      </c>
      <c r="WF13" t="s">
        <v>3748</v>
      </c>
      <c r="WG13">
        <v>3.6084303855896001</v>
      </c>
      <c r="WH13">
        <v>476</v>
      </c>
      <c r="WI13" s="1"/>
      <c r="WJ13">
        <f t="shared" si="101"/>
        <v>21</v>
      </c>
      <c r="WK13" t="s">
        <v>3749</v>
      </c>
      <c r="WL13" t="s">
        <v>3750</v>
      </c>
      <c r="WM13">
        <v>4.265394926071167</v>
      </c>
      <c r="WN13">
        <v>492</v>
      </c>
      <c r="WO13" s="4"/>
      <c r="WP13">
        <f t="shared" si="102"/>
        <v>17</v>
      </c>
      <c r="WQ13" t="s">
        <v>3751</v>
      </c>
      <c r="WR13" t="s">
        <v>3752</v>
      </c>
      <c r="WS13">
        <v>12.98569393157959</v>
      </c>
      <c r="WT13">
        <v>456</v>
      </c>
      <c r="WU13" s="3"/>
      <c r="WV13">
        <f t="shared" si="103"/>
        <v>13</v>
      </c>
      <c r="WW13" t="s">
        <v>905</v>
      </c>
      <c r="WX13" t="s">
        <v>3753</v>
      </c>
      <c r="WY13">
        <v>5.6256639957427979</v>
      </c>
      <c r="WZ13">
        <v>431</v>
      </c>
      <c r="XA13" s="2"/>
      <c r="XB13">
        <f t="shared" si="104"/>
        <v>42</v>
      </c>
      <c r="XC13" t="s">
        <v>3754</v>
      </c>
      <c r="XD13" t="s">
        <v>3755</v>
      </c>
      <c r="XE13">
        <v>20.16510367393494</v>
      </c>
      <c r="XF13">
        <v>416</v>
      </c>
      <c r="XG13" s="5"/>
      <c r="XH13">
        <f t="shared" si="105"/>
        <v>88</v>
      </c>
      <c r="XI13" t="s">
        <v>3756</v>
      </c>
      <c r="XJ13" t="s">
        <v>3757</v>
      </c>
      <c r="XK13">
        <v>54.206057548522949</v>
      </c>
      <c r="XL13">
        <v>476</v>
      </c>
      <c r="XM13" s="2"/>
      <c r="XN13">
        <f t="shared" si="106"/>
        <v>24</v>
      </c>
      <c r="XO13" t="s">
        <v>869</v>
      </c>
      <c r="XP13" t="s">
        <v>3758</v>
      </c>
      <c r="XQ13">
        <v>12.56896233558655</v>
      </c>
      <c r="XR13">
        <v>480</v>
      </c>
      <c r="XS13" s="5"/>
      <c r="XT13">
        <f t="shared" si="107"/>
        <v>21</v>
      </c>
      <c r="XU13" t="s">
        <v>3759</v>
      </c>
      <c r="XV13" t="s">
        <v>3760</v>
      </c>
      <c r="XW13">
        <v>9.662330150604248</v>
      </c>
      <c r="XX13">
        <v>404</v>
      </c>
      <c r="XY13" s="2"/>
      <c r="XZ13">
        <f t="shared" si="108"/>
        <v>35</v>
      </c>
      <c r="YA13" t="s">
        <v>3761</v>
      </c>
      <c r="YB13" t="s">
        <v>3762</v>
      </c>
      <c r="YC13">
        <v>13.42482495307922</v>
      </c>
      <c r="YD13">
        <v>382</v>
      </c>
      <c r="YE13" s="5"/>
      <c r="YF13">
        <f t="shared" si="109"/>
        <v>21</v>
      </c>
      <c r="YG13" t="s">
        <v>3763</v>
      </c>
      <c r="YH13" t="s">
        <v>3764</v>
      </c>
      <c r="YI13">
        <v>21.527325868606571</v>
      </c>
      <c r="YJ13">
        <v>322</v>
      </c>
      <c r="YK13" s="2"/>
      <c r="YL13">
        <f t="shared" si="110"/>
        <v>22</v>
      </c>
      <c r="YM13" t="s">
        <v>3765</v>
      </c>
      <c r="YN13" t="s">
        <v>3766</v>
      </c>
      <c r="YO13">
        <v>163.43860483169561</v>
      </c>
      <c r="YP13">
        <v>366</v>
      </c>
      <c r="YQ13" s="5"/>
      <c r="YR13">
        <f t="shared" si="111"/>
        <v>23</v>
      </c>
      <c r="YS13" t="s">
        <v>3767</v>
      </c>
      <c r="YT13" t="s">
        <v>3768</v>
      </c>
      <c r="YU13">
        <v>9.7089993953704834</v>
      </c>
      <c r="YV13">
        <v>408</v>
      </c>
      <c r="YW13" s="2"/>
      <c r="YX13">
        <f t="shared" si="112"/>
        <v>40</v>
      </c>
      <c r="YY13" t="s">
        <v>3769</v>
      </c>
      <c r="YZ13" t="s">
        <v>3770</v>
      </c>
      <c r="ZA13">
        <v>18.007165193557739</v>
      </c>
      <c r="ZB13">
        <v>387</v>
      </c>
      <c r="ZC13" s="5"/>
      <c r="ZD13">
        <f t="shared" si="113"/>
        <v>23</v>
      </c>
      <c r="ZE13" t="s">
        <v>2753</v>
      </c>
      <c r="ZF13" t="s">
        <v>3771</v>
      </c>
      <c r="ZG13">
        <v>6.6097962856292716</v>
      </c>
      <c r="ZH13">
        <v>355</v>
      </c>
      <c r="ZI13" s="2"/>
      <c r="ZJ13">
        <f t="shared" si="114"/>
        <v>12</v>
      </c>
      <c r="ZK13" t="s">
        <v>3772</v>
      </c>
      <c r="ZL13" t="s">
        <v>3773</v>
      </c>
      <c r="ZM13">
        <v>191.55136013031009</v>
      </c>
      <c r="ZN13">
        <v>311</v>
      </c>
      <c r="ZO13" s="5"/>
      <c r="ZP13">
        <f t="shared" si="115"/>
        <v>54</v>
      </c>
      <c r="ZQ13" t="s">
        <v>3774</v>
      </c>
      <c r="ZR13" t="s">
        <v>3775</v>
      </c>
      <c r="ZS13">
        <v>26.22319865226746</v>
      </c>
      <c r="ZT13">
        <v>507</v>
      </c>
      <c r="ZU13" s="2"/>
      <c r="ZV13">
        <f t="shared" si="116"/>
        <v>21</v>
      </c>
      <c r="ZW13" t="s">
        <v>3776</v>
      </c>
      <c r="ZX13" t="s">
        <v>3777</v>
      </c>
      <c r="ZY13">
        <v>39.338061571121223</v>
      </c>
      <c r="ZZ13">
        <v>277</v>
      </c>
      <c r="AAA13" s="5"/>
      <c r="AAB13">
        <f t="shared" si="117"/>
        <v>30</v>
      </c>
      <c r="AAC13" t="s">
        <v>3778</v>
      </c>
      <c r="AAD13" t="s">
        <v>3779</v>
      </c>
      <c r="AAE13">
        <v>22.085491418838501</v>
      </c>
      <c r="AAF13">
        <v>403</v>
      </c>
      <c r="AAG13" s="2"/>
      <c r="AAH13">
        <f t="shared" si="118"/>
        <v>0</v>
      </c>
      <c r="AAJ13" t="s">
        <v>3780</v>
      </c>
      <c r="AAK13">
        <v>262.64824843406677</v>
      </c>
      <c r="AAL13">
        <v>450</v>
      </c>
      <c r="AAM13" s="5"/>
      <c r="AAN13">
        <f t="shared" si="119"/>
        <v>32</v>
      </c>
      <c r="AAO13" t="s">
        <v>3781</v>
      </c>
      <c r="AAP13" t="s">
        <v>3782</v>
      </c>
      <c r="AAQ13">
        <v>31.071951389312741</v>
      </c>
      <c r="AAR13">
        <v>318</v>
      </c>
      <c r="AAS13" s="2"/>
      <c r="AAT13">
        <f t="shared" si="120"/>
        <v>33</v>
      </c>
      <c r="AAU13" t="s">
        <v>3783</v>
      </c>
      <c r="AAV13" t="s">
        <v>3784</v>
      </c>
      <c r="AAW13">
        <v>12.671350717544559</v>
      </c>
      <c r="AAX13">
        <v>373</v>
      </c>
      <c r="AAY13" s="5"/>
      <c r="AAZ13">
        <f t="shared" si="121"/>
        <v>43</v>
      </c>
      <c r="ABA13" t="s">
        <v>3676</v>
      </c>
      <c r="ABB13" t="s">
        <v>3785</v>
      </c>
      <c r="ABC13">
        <v>14.85545063018799</v>
      </c>
      <c r="ABD13">
        <v>423</v>
      </c>
      <c r="ABE13" s="2"/>
      <c r="ABF13">
        <f t="shared" si="122"/>
        <v>166</v>
      </c>
      <c r="ABG13" t="s">
        <v>3786</v>
      </c>
      <c r="ABH13" t="s">
        <v>3787</v>
      </c>
      <c r="ABI13">
        <v>30.603760957717899</v>
      </c>
      <c r="ABJ13">
        <v>477</v>
      </c>
      <c r="ABK13" s="5"/>
      <c r="ABL13">
        <f t="shared" si="123"/>
        <v>38</v>
      </c>
      <c r="ABM13" t="s">
        <v>2994</v>
      </c>
      <c r="ABN13" t="s">
        <v>3788</v>
      </c>
      <c r="ABO13">
        <v>19.524465084075931</v>
      </c>
      <c r="ABP13">
        <v>546</v>
      </c>
      <c r="ABQ13" s="2"/>
      <c r="ABR13">
        <f t="shared" si="124"/>
        <v>14</v>
      </c>
      <c r="ABS13" t="s">
        <v>2408</v>
      </c>
      <c r="ABT13" t="s">
        <v>3789</v>
      </c>
      <c r="ABU13">
        <v>15.848613977432249</v>
      </c>
      <c r="ABV13">
        <v>505</v>
      </c>
      <c r="ABW13" s="5"/>
      <c r="ABX13">
        <f t="shared" si="125"/>
        <v>29</v>
      </c>
      <c r="ABY13" t="s">
        <v>3790</v>
      </c>
      <c r="ABZ13" t="s">
        <v>3791</v>
      </c>
      <c r="ACA13">
        <v>13.458115100860599</v>
      </c>
      <c r="ACB13">
        <v>283</v>
      </c>
      <c r="ACC13" s="2"/>
      <c r="ACD13">
        <f t="shared" si="126"/>
        <v>25</v>
      </c>
      <c r="ACE13" t="s">
        <v>3792</v>
      </c>
      <c r="ACF13" t="s">
        <v>3793</v>
      </c>
      <c r="ACG13">
        <v>25.13906812667847</v>
      </c>
      <c r="ACH13">
        <v>308</v>
      </c>
      <c r="ACI13" s="5"/>
      <c r="ACJ13">
        <f t="shared" si="127"/>
        <v>23</v>
      </c>
      <c r="ACK13" t="s">
        <v>3794</v>
      </c>
      <c r="ACL13" t="s">
        <v>3795</v>
      </c>
      <c r="ACM13">
        <v>9.3469429016113281</v>
      </c>
      <c r="ACN13">
        <v>470</v>
      </c>
      <c r="ACO13" s="2"/>
      <c r="ACP13">
        <f t="shared" si="128"/>
        <v>78</v>
      </c>
      <c r="ACQ13" t="s">
        <v>3796</v>
      </c>
      <c r="ACR13" t="s">
        <v>3797</v>
      </c>
      <c r="ACS13">
        <v>364.20043897628778</v>
      </c>
      <c r="ACT13">
        <v>453</v>
      </c>
      <c r="ACU13" s="5"/>
      <c r="ACV13">
        <f t="shared" si="129"/>
        <v>24</v>
      </c>
      <c r="ACW13" t="s">
        <v>3798</v>
      </c>
      <c r="ACX13" t="s">
        <v>3799</v>
      </c>
      <c r="ACY13">
        <v>10.53722310066223</v>
      </c>
      <c r="ACZ13">
        <v>412</v>
      </c>
      <c r="ADA13" s="2"/>
      <c r="ADB13">
        <f t="shared" si="130"/>
        <v>24</v>
      </c>
      <c r="ADC13" t="s">
        <v>3800</v>
      </c>
      <c r="ADD13" t="s">
        <v>3801</v>
      </c>
      <c r="ADE13">
        <v>8.9610891342163086</v>
      </c>
      <c r="ADF13">
        <v>483</v>
      </c>
      <c r="ADG13" s="5"/>
      <c r="ADH13">
        <f t="shared" si="131"/>
        <v>30</v>
      </c>
      <c r="ADI13" t="s">
        <v>3802</v>
      </c>
      <c r="ADJ13" t="s">
        <v>3803</v>
      </c>
      <c r="ADK13">
        <v>12.215014696121219</v>
      </c>
      <c r="ADL13">
        <v>395</v>
      </c>
      <c r="ADM13" s="2"/>
      <c r="ADN13">
        <f t="shared" si="132"/>
        <v>85</v>
      </c>
      <c r="ADO13" t="s">
        <v>3804</v>
      </c>
      <c r="ADP13" t="s">
        <v>3805</v>
      </c>
      <c r="ADQ13">
        <v>23.344420671463009</v>
      </c>
      <c r="ADR13">
        <v>454</v>
      </c>
      <c r="ADS13" s="5"/>
      <c r="ADT13">
        <f t="shared" si="133"/>
        <v>27</v>
      </c>
      <c r="ADU13" t="s">
        <v>3806</v>
      </c>
      <c r="ADV13" t="s">
        <v>3807</v>
      </c>
      <c r="ADW13">
        <v>14.178123235702509</v>
      </c>
      <c r="ADX13">
        <v>324</v>
      </c>
      <c r="ADY13" s="2"/>
      <c r="ADZ13">
        <f t="shared" si="134"/>
        <v>17</v>
      </c>
      <c r="AEA13" t="s">
        <v>643</v>
      </c>
      <c r="AEB13" t="s">
        <v>3808</v>
      </c>
      <c r="AEC13">
        <v>10.82592153549194</v>
      </c>
      <c r="AED13">
        <v>321</v>
      </c>
      <c r="AEE13" s="5"/>
      <c r="AEF13">
        <f t="shared" si="135"/>
        <v>20</v>
      </c>
      <c r="AEG13" t="s">
        <v>3809</v>
      </c>
      <c r="AEH13" t="s">
        <v>3810</v>
      </c>
      <c r="AEI13">
        <v>8.3451735973358154</v>
      </c>
      <c r="AEJ13">
        <v>344</v>
      </c>
      <c r="AEK13" s="2"/>
      <c r="AEL13">
        <f t="shared" si="136"/>
        <v>39</v>
      </c>
      <c r="AEM13" t="s">
        <v>3811</v>
      </c>
      <c r="AEN13" t="s">
        <v>3812</v>
      </c>
      <c r="AEO13">
        <v>14.851115226745611</v>
      </c>
      <c r="AEP13">
        <v>482</v>
      </c>
      <c r="AEQ13" s="5"/>
      <c r="AER13">
        <f t="shared" si="137"/>
        <v>36</v>
      </c>
      <c r="AES13" t="s">
        <v>2722</v>
      </c>
      <c r="AET13" t="s">
        <v>3813</v>
      </c>
      <c r="AEU13">
        <v>13.14371085166931</v>
      </c>
      <c r="AEV13">
        <v>393</v>
      </c>
      <c r="AEW13" s="2"/>
      <c r="AEX13">
        <f t="shared" si="138"/>
        <v>29</v>
      </c>
      <c r="AEY13" t="s">
        <v>354</v>
      </c>
      <c r="AEZ13" t="s">
        <v>3814</v>
      </c>
      <c r="AFA13">
        <v>316.51461625099182</v>
      </c>
      <c r="AFB13">
        <v>334</v>
      </c>
      <c r="AFC13" s="5"/>
      <c r="AFD13">
        <f t="shared" si="139"/>
        <v>38</v>
      </c>
      <c r="AFE13" t="s">
        <v>3815</v>
      </c>
      <c r="AFF13" t="s">
        <v>3816</v>
      </c>
      <c r="AFG13">
        <v>22.72029280662537</v>
      </c>
      <c r="AFH13">
        <v>371</v>
      </c>
      <c r="AFI13" s="2"/>
      <c r="AFJ13">
        <f t="shared" si="140"/>
        <v>54</v>
      </c>
      <c r="AFK13" t="s">
        <v>3817</v>
      </c>
      <c r="AFL13" t="s">
        <v>3818</v>
      </c>
      <c r="AFM13">
        <v>59.870925664901733</v>
      </c>
      <c r="AFN13">
        <v>471</v>
      </c>
      <c r="AFO13" s="5"/>
      <c r="AFP13">
        <f t="shared" si="141"/>
        <v>34</v>
      </c>
      <c r="AFQ13" t="s">
        <v>3819</v>
      </c>
      <c r="AFR13" t="s">
        <v>3820</v>
      </c>
      <c r="AFS13">
        <v>15.027545690536501</v>
      </c>
      <c r="AFT13">
        <v>464</v>
      </c>
      <c r="AFU13" s="2"/>
      <c r="AFV13">
        <f t="shared" si="142"/>
        <v>39</v>
      </c>
      <c r="AFW13" t="s">
        <v>3821</v>
      </c>
      <c r="AFX13" t="s">
        <v>3822</v>
      </c>
      <c r="AFY13">
        <v>28.961750030517582</v>
      </c>
      <c r="AFZ13">
        <v>463</v>
      </c>
      <c r="AGA13" s="5"/>
      <c r="AGB13">
        <f t="shared" si="143"/>
        <v>25</v>
      </c>
      <c r="AGC13" t="s">
        <v>1539</v>
      </c>
      <c r="AGD13" t="s">
        <v>3823</v>
      </c>
      <c r="AGE13">
        <v>16.109808206558231</v>
      </c>
      <c r="AGF13">
        <v>432</v>
      </c>
      <c r="AGG13" s="2"/>
      <c r="AGH13">
        <f t="shared" si="144"/>
        <v>33</v>
      </c>
      <c r="AGI13" t="s">
        <v>3824</v>
      </c>
      <c r="AGJ13" t="s">
        <v>3825</v>
      </c>
      <c r="AGK13">
        <v>15.70734477043152</v>
      </c>
      <c r="AGL13">
        <v>355</v>
      </c>
      <c r="AGM13" s="5"/>
      <c r="AGN13">
        <f t="shared" si="145"/>
        <v>31</v>
      </c>
      <c r="AGO13" t="s">
        <v>13</v>
      </c>
      <c r="AGP13" t="s">
        <v>3826</v>
      </c>
      <c r="AGQ13">
        <v>7.1273069381713867</v>
      </c>
      <c r="AGR13">
        <v>442</v>
      </c>
      <c r="AGS13" s="2"/>
      <c r="AGT13">
        <f t="shared" si="146"/>
        <v>8</v>
      </c>
      <c r="AGU13" t="s">
        <v>3827</v>
      </c>
      <c r="AGV13" t="s">
        <v>3828</v>
      </c>
      <c r="AGW13">
        <v>40.835153341293328</v>
      </c>
      <c r="AGX13">
        <v>309</v>
      </c>
      <c r="AGY13" s="5"/>
      <c r="AGZ13">
        <f t="shared" si="147"/>
        <v>33</v>
      </c>
      <c r="AHA13" t="s">
        <v>3829</v>
      </c>
      <c r="AHB13" t="s">
        <v>3830</v>
      </c>
      <c r="AHC13">
        <v>13.233810424804689</v>
      </c>
      <c r="AHD13">
        <v>376</v>
      </c>
      <c r="AHE13" s="2"/>
      <c r="AHF13">
        <f t="shared" si="148"/>
        <v>34</v>
      </c>
      <c r="AHG13" t="s">
        <v>3831</v>
      </c>
      <c r="AHH13" t="s">
        <v>3832</v>
      </c>
      <c r="AHI13">
        <v>16.511624574661251</v>
      </c>
      <c r="AHJ13">
        <v>317</v>
      </c>
      <c r="AHK13" s="5"/>
      <c r="AHL13">
        <f t="shared" si="149"/>
        <v>31</v>
      </c>
      <c r="AHM13" t="s">
        <v>873</v>
      </c>
      <c r="AHN13" t="s">
        <v>3833</v>
      </c>
      <c r="AHO13">
        <v>14.7071430683136</v>
      </c>
      <c r="AHP13">
        <v>378</v>
      </c>
      <c r="AHQ13" s="2"/>
      <c r="AHR13">
        <f t="shared" si="150"/>
        <v>28</v>
      </c>
      <c r="AHS13" t="s">
        <v>3834</v>
      </c>
      <c r="AHT13" t="s">
        <v>3835</v>
      </c>
      <c r="AHU13">
        <v>19.806146860122681</v>
      </c>
      <c r="AHV13">
        <v>387</v>
      </c>
      <c r="AHW13" s="5"/>
      <c r="AHX13">
        <f t="shared" si="151"/>
        <v>24</v>
      </c>
      <c r="AHY13" t="s">
        <v>3836</v>
      </c>
      <c r="AHZ13" t="s">
        <v>3837</v>
      </c>
      <c r="AIA13">
        <v>12.35940194129944</v>
      </c>
      <c r="AIB13">
        <v>289</v>
      </c>
      <c r="AIC13" s="2"/>
      <c r="AID13">
        <f t="shared" si="152"/>
        <v>14</v>
      </c>
      <c r="AIE13" t="s">
        <v>3838</v>
      </c>
      <c r="AIF13" t="s">
        <v>3839</v>
      </c>
      <c r="AIG13">
        <v>31.05541825294495</v>
      </c>
      <c r="AIH13">
        <v>466</v>
      </c>
      <c r="AII13" s="5"/>
      <c r="AIJ13">
        <f t="shared" si="153"/>
        <v>61</v>
      </c>
      <c r="AIK13" t="s">
        <v>332</v>
      </c>
      <c r="AIL13" t="s">
        <v>3840</v>
      </c>
      <c r="AIM13">
        <v>10.35026788711548</v>
      </c>
      <c r="AIN13">
        <v>419</v>
      </c>
      <c r="AIO13" s="2"/>
      <c r="AIP13">
        <f t="shared" si="154"/>
        <v>21</v>
      </c>
      <c r="AIQ13" t="s">
        <v>728</v>
      </c>
      <c r="AIR13" t="s">
        <v>3841</v>
      </c>
      <c r="AIS13">
        <v>10.40311598777771</v>
      </c>
      <c r="AIT13">
        <v>469</v>
      </c>
      <c r="AIU13" s="5"/>
      <c r="AIV13">
        <f t="shared" si="155"/>
        <v>30</v>
      </c>
      <c r="AIW13" t="s">
        <v>3842</v>
      </c>
      <c r="AIX13" t="s">
        <v>3843</v>
      </c>
      <c r="AIY13">
        <v>14.720398187637331</v>
      </c>
      <c r="AIZ13">
        <v>371</v>
      </c>
      <c r="AJA13" s="2"/>
      <c r="AJB13">
        <f t="shared" si="156"/>
        <v>23</v>
      </c>
      <c r="AJC13" t="s">
        <v>1967</v>
      </c>
      <c r="AJD13" t="s">
        <v>3844</v>
      </c>
      <c r="AJE13">
        <v>19.059384346008301</v>
      </c>
      <c r="AJF13">
        <v>310</v>
      </c>
      <c r="AJG13" s="5"/>
      <c r="AJH13">
        <f t="shared" si="157"/>
        <v>40</v>
      </c>
      <c r="AJI13" t="s">
        <v>3845</v>
      </c>
      <c r="AJJ13" t="s">
        <v>3846</v>
      </c>
      <c r="AJK13">
        <v>144.57915043830869</v>
      </c>
      <c r="AJL13">
        <v>374</v>
      </c>
      <c r="AJM13" s="2"/>
      <c r="AJN13">
        <f t="shared" si="158"/>
        <v>10</v>
      </c>
      <c r="AJO13" t="s">
        <v>3847</v>
      </c>
      <c r="AJP13" t="s">
        <v>3848</v>
      </c>
      <c r="AJQ13">
        <v>9.6817739009857178</v>
      </c>
      <c r="AJR13">
        <v>479</v>
      </c>
      <c r="AJS13" s="5"/>
      <c r="AJT13">
        <f t="shared" si="159"/>
        <v>90</v>
      </c>
      <c r="AJU13" t="s">
        <v>3849</v>
      </c>
      <c r="AJV13" t="s">
        <v>3850</v>
      </c>
      <c r="AJW13">
        <v>15.4582953453064</v>
      </c>
      <c r="AJX13">
        <v>573</v>
      </c>
      <c r="AJY13" s="2"/>
      <c r="AJZ13">
        <f t="shared" si="160"/>
        <v>13</v>
      </c>
      <c r="AKA13" t="s">
        <v>3851</v>
      </c>
      <c r="AKB13" t="s">
        <v>3852</v>
      </c>
      <c r="AKC13">
        <v>39.377614259719849</v>
      </c>
      <c r="AKD13">
        <v>448</v>
      </c>
      <c r="AKE13" s="5"/>
      <c r="AKF13">
        <f t="shared" si="161"/>
        <v>28</v>
      </c>
      <c r="AKG13" t="s">
        <v>3853</v>
      </c>
      <c r="AKH13" t="s">
        <v>3854</v>
      </c>
      <c r="AKI13">
        <v>7.5994076728820801</v>
      </c>
      <c r="AKJ13">
        <v>565</v>
      </c>
      <c r="AKK13" s="2"/>
      <c r="AKL13">
        <f t="shared" si="162"/>
        <v>48</v>
      </c>
      <c r="AKM13" t="s">
        <v>3855</v>
      </c>
      <c r="AKN13" t="s">
        <v>3856</v>
      </c>
      <c r="AKO13">
        <v>8.393934965133667</v>
      </c>
      <c r="AKP13">
        <v>421</v>
      </c>
      <c r="AKQ13" s="5"/>
      <c r="AKR13">
        <f t="shared" si="163"/>
        <v>39</v>
      </c>
      <c r="AKS13" t="s">
        <v>3857</v>
      </c>
      <c r="AKT13" t="s">
        <v>3858</v>
      </c>
      <c r="AKU13">
        <v>22.854637622833248</v>
      </c>
      <c r="AKV13">
        <v>457</v>
      </c>
      <c r="AKW13" s="2"/>
      <c r="AKX13">
        <f t="shared" si="164"/>
        <v>15</v>
      </c>
      <c r="AKY13" t="s">
        <v>2159</v>
      </c>
      <c r="AKZ13" t="s">
        <v>3859</v>
      </c>
      <c r="ALA13">
        <v>15.24564003944397</v>
      </c>
      <c r="ALB13">
        <v>474</v>
      </c>
      <c r="ALC13" s="5"/>
      <c r="ALD13">
        <f t="shared" si="165"/>
        <v>12</v>
      </c>
      <c r="ALE13" t="s">
        <v>3860</v>
      </c>
      <c r="ALF13" t="s">
        <v>3861</v>
      </c>
      <c r="ALG13">
        <v>8.1811201572418213</v>
      </c>
      <c r="ALH13">
        <v>357</v>
      </c>
      <c r="ALI13" s="2"/>
      <c r="ALJ13">
        <f t="shared" si="166"/>
        <v>9</v>
      </c>
      <c r="ALK13" t="s">
        <v>189</v>
      </c>
      <c r="ALL13" t="s">
        <v>3862</v>
      </c>
      <c r="ALM13">
        <v>26.117637157440189</v>
      </c>
      <c r="ALN13">
        <v>339</v>
      </c>
      <c r="ALO13" s="5"/>
      <c r="ALP13">
        <f t="shared" si="167"/>
        <v>30</v>
      </c>
      <c r="ALQ13" t="s">
        <v>1880</v>
      </c>
      <c r="ALR13" t="s">
        <v>3863</v>
      </c>
      <c r="ALS13">
        <v>11.471483945846559</v>
      </c>
      <c r="ALT13">
        <v>261</v>
      </c>
      <c r="ALU13" s="2"/>
      <c r="ALV13">
        <f t="shared" si="168"/>
        <v>9</v>
      </c>
      <c r="ALW13" t="s">
        <v>3864</v>
      </c>
      <c r="ALX13" t="s">
        <v>3865</v>
      </c>
      <c r="ALY13">
        <v>21.08486723899841</v>
      </c>
      <c r="ALZ13">
        <v>372</v>
      </c>
      <c r="AMA13" s="5"/>
      <c r="AMB13">
        <f t="shared" si="169"/>
        <v>19</v>
      </c>
      <c r="AMC13" t="s">
        <v>3866</v>
      </c>
      <c r="AMD13" t="s">
        <v>3867</v>
      </c>
      <c r="AME13">
        <v>11.473191499710079</v>
      </c>
      <c r="AMF13">
        <v>403</v>
      </c>
      <c r="AMG13" s="2"/>
      <c r="AMH13">
        <f t="shared" si="170"/>
        <v>14</v>
      </c>
      <c r="AMI13" t="s">
        <v>3868</v>
      </c>
      <c r="AMJ13" t="s">
        <v>3869</v>
      </c>
      <c r="AMK13">
        <v>8.1549785137176514</v>
      </c>
      <c r="AML13">
        <v>510</v>
      </c>
      <c r="AMM13" s="5"/>
      <c r="AMN13">
        <f t="shared" si="171"/>
        <v>76</v>
      </c>
      <c r="AMO13" t="s">
        <v>3870</v>
      </c>
      <c r="AMP13" t="s">
        <v>3871</v>
      </c>
      <c r="AMQ13">
        <v>40.482861042022712</v>
      </c>
      <c r="AMR13">
        <v>495</v>
      </c>
      <c r="AMS13" s="2"/>
      <c r="AMT13">
        <f t="shared" si="172"/>
        <v>36</v>
      </c>
      <c r="AMU13" t="s">
        <v>3872</v>
      </c>
      <c r="AMV13" t="s">
        <v>3873</v>
      </c>
      <c r="AMW13">
        <v>27.162022590637211</v>
      </c>
      <c r="AMX13">
        <v>564</v>
      </c>
      <c r="AMY13" s="5"/>
      <c r="AMZ13">
        <f t="shared" si="173"/>
        <v>30</v>
      </c>
      <c r="ANA13" t="s">
        <v>1630</v>
      </c>
      <c r="ANB13" t="s">
        <v>3874</v>
      </c>
      <c r="ANC13">
        <v>11.46911931037903</v>
      </c>
      <c r="AND13">
        <v>396</v>
      </c>
      <c r="ANE13" s="2"/>
      <c r="ANF13">
        <f t="shared" si="174"/>
        <v>30</v>
      </c>
      <c r="ANG13" t="s">
        <v>3875</v>
      </c>
      <c r="ANH13" t="s">
        <v>3876</v>
      </c>
      <c r="ANI13">
        <v>20.124075174331669</v>
      </c>
      <c r="ANJ13">
        <v>514</v>
      </c>
      <c r="ANK13" s="5"/>
      <c r="ANL13">
        <f t="shared" si="175"/>
        <v>23</v>
      </c>
      <c r="ANM13" t="s">
        <v>2828</v>
      </c>
      <c r="ANN13" t="s">
        <v>3877</v>
      </c>
      <c r="ANO13">
        <v>21.1656494140625</v>
      </c>
      <c r="ANP13">
        <v>339</v>
      </c>
      <c r="ANQ13" s="2"/>
      <c r="ANR13">
        <f t="shared" si="176"/>
        <v>10</v>
      </c>
      <c r="ANS13" t="s">
        <v>1586</v>
      </c>
      <c r="ANT13" t="s">
        <v>3878</v>
      </c>
      <c r="ANU13">
        <v>14.914554119110109</v>
      </c>
      <c r="ANV13">
        <v>384</v>
      </c>
      <c r="ANW13" s="5"/>
      <c r="ANX13">
        <f t="shared" si="177"/>
        <v>22</v>
      </c>
      <c r="ANY13" t="s">
        <v>3879</v>
      </c>
      <c r="ANZ13" t="s">
        <v>3880</v>
      </c>
      <c r="AOA13">
        <v>11.50570821762085</v>
      </c>
      <c r="AOB13">
        <v>423</v>
      </c>
      <c r="AOC13" s="2"/>
      <c r="AOD13">
        <f t="shared" si="178"/>
        <v>57</v>
      </c>
      <c r="AOE13" t="s">
        <v>3881</v>
      </c>
      <c r="AOF13" t="s">
        <v>3882</v>
      </c>
      <c r="AOG13">
        <v>43.501041412353523</v>
      </c>
      <c r="AOH13">
        <v>485</v>
      </c>
      <c r="AOI13" s="5"/>
      <c r="AOJ13">
        <f t="shared" si="179"/>
        <v>23</v>
      </c>
      <c r="AOK13" t="s">
        <v>3883</v>
      </c>
      <c r="AOL13" t="s">
        <v>3884</v>
      </c>
      <c r="AOM13">
        <v>19.760314464569088</v>
      </c>
      <c r="AON13">
        <v>427</v>
      </c>
      <c r="AOO13" s="2"/>
      <c r="AOP13">
        <f t="shared" si="180"/>
        <v>28</v>
      </c>
      <c r="AOQ13" t="s">
        <v>3885</v>
      </c>
      <c r="AOR13" t="s">
        <v>3886</v>
      </c>
      <c r="AOS13">
        <v>10.69461464881897</v>
      </c>
      <c r="AOT13">
        <v>621</v>
      </c>
      <c r="AOU13" s="5"/>
      <c r="AOV13">
        <f t="shared" si="181"/>
        <v>25</v>
      </c>
      <c r="AOW13" t="s">
        <v>3887</v>
      </c>
      <c r="AOX13" t="s">
        <v>3888</v>
      </c>
      <c r="AOY13">
        <v>20.943303108215328</v>
      </c>
      <c r="AOZ13">
        <v>373</v>
      </c>
      <c r="APA13" s="2"/>
      <c r="APB13">
        <f t="shared" si="182"/>
        <v>42</v>
      </c>
      <c r="APC13" t="s">
        <v>3889</v>
      </c>
      <c r="APD13" t="s">
        <v>3890</v>
      </c>
      <c r="APE13">
        <v>14.78551983833313</v>
      </c>
      <c r="APF13">
        <v>473</v>
      </c>
      <c r="APG13" s="5"/>
      <c r="APH13">
        <f t="shared" si="183"/>
        <v>29</v>
      </c>
      <c r="API13" t="s">
        <v>3891</v>
      </c>
      <c r="APJ13" t="s">
        <v>3892</v>
      </c>
      <c r="APK13">
        <v>33.139214754104607</v>
      </c>
      <c r="APL13">
        <v>461</v>
      </c>
      <c r="APM13" s="2"/>
      <c r="APN13">
        <f t="shared" si="184"/>
        <v>17</v>
      </c>
      <c r="APO13" t="s">
        <v>3893</v>
      </c>
      <c r="APP13" t="s">
        <v>3894</v>
      </c>
      <c r="APQ13">
        <v>15.590866804122919</v>
      </c>
      <c r="APR13">
        <v>384</v>
      </c>
      <c r="APS13" s="5"/>
      <c r="APT13">
        <f t="shared" si="185"/>
        <v>31</v>
      </c>
      <c r="APU13" t="s">
        <v>3895</v>
      </c>
      <c r="APV13" t="s">
        <v>3896</v>
      </c>
      <c r="APW13">
        <v>120.046875</v>
      </c>
      <c r="APX13">
        <v>481</v>
      </c>
      <c r="APY13" s="2"/>
      <c r="APZ13">
        <f t="shared" si="186"/>
        <v>18</v>
      </c>
      <c r="AQA13" t="s">
        <v>873</v>
      </c>
      <c r="AQB13" t="s">
        <v>3897</v>
      </c>
      <c r="AQC13">
        <v>223.91748905181879</v>
      </c>
      <c r="AQD13">
        <v>470</v>
      </c>
      <c r="AQE13" s="5"/>
      <c r="AQF13">
        <f t="shared" si="187"/>
        <v>47</v>
      </c>
      <c r="AQG13" t="s">
        <v>3898</v>
      </c>
      <c r="AQH13" t="s">
        <v>3899</v>
      </c>
      <c r="AQI13">
        <v>115.1866693496704</v>
      </c>
      <c r="AQJ13">
        <v>508</v>
      </c>
      <c r="AQK13" s="2"/>
      <c r="AQL13">
        <f t="shared" si="188"/>
        <v>29</v>
      </c>
      <c r="AQM13" t="s">
        <v>3900</v>
      </c>
      <c r="AQN13" t="s">
        <v>3901</v>
      </c>
      <c r="AQO13">
        <v>15.33586978912354</v>
      </c>
      <c r="AQP13">
        <v>464</v>
      </c>
      <c r="AQQ13" s="5"/>
      <c r="AQR13">
        <f t="shared" si="189"/>
        <v>58</v>
      </c>
      <c r="AQS13" t="s">
        <v>3902</v>
      </c>
      <c r="AQT13" t="s">
        <v>3903</v>
      </c>
      <c r="AQU13">
        <v>38.684118032455437</v>
      </c>
      <c r="AQV13">
        <v>517</v>
      </c>
      <c r="AQW13" s="2"/>
      <c r="AQX13">
        <f t="shared" si="190"/>
        <v>20</v>
      </c>
      <c r="AQY13" t="s">
        <v>3904</v>
      </c>
      <c r="AQZ13" t="s">
        <v>3905</v>
      </c>
      <c r="ARA13">
        <v>14.276518583297729</v>
      </c>
      <c r="ARB13">
        <v>403</v>
      </c>
      <c r="ARC13" s="5"/>
      <c r="ARD13">
        <f t="shared" si="191"/>
        <v>30</v>
      </c>
      <c r="ARE13" t="s">
        <v>3906</v>
      </c>
      <c r="ARF13" t="s">
        <v>3907</v>
      </c>
      <c r="ARG13">
        <v>10.157299757003781</v>
      </c>
      <c r="ARH13">
        <v>432</v>
      </c>
      <c r="ARI13" s="2"/>
      <c r="ARJ13">
        <f t="shared" si="192"/>
        <v>26</v>
      </c>
      <c r="ARK13" t="s">
        <v>3908</v>
      </c>
      <c r="ARL13" t="s">
        <v>3909</v>
      </c>
      <c r="ARM13">
        <v>29.98497748374939</v>
      </c>
      <c r="ARN13">
        <v>335</v>
      </c>
      <c r="ARO13" s="5"/>
      <c r="ARP13">
        <f t="shared" si="193"/>
        <v>30</v>
      </c>
      <c r="ARQ13" t="s">
        <v>3910</v>
      </c>
      <c r="ARR13" t="s">
        <v>3911</v>
      </c>
      <c r="ARS13">
        <v>30.682758092880249</v>
      </c>
      <c r="ART13">
        <v>361</v>
      </c>
      <c r="ARU13" s="2"/>
      <c r="ARV13">
        <f t="shared" si="194"/>
        <v>35</v>
      </c>
      <c r="ARW13" t="s">
        <v>3912</v>
      </c>
      <c r="ARX13" t="s">
        <v>3913</v>
      </c>
      <c r="ARY13">
        <v>222.10386490821841</v>
      </c>
      <c r="ARZ13">
        <v>575</v>
      </c>
      <c r="ASA13" s="5"/>
      <c r="ASB13">
        <f t="shared" si="195"/>
        <v>36</v>
      </c>
      <c r="ASC13" t="s">
        <v>3914</v>
      </c>
      <c r="ASD13" t="s">
        <v>3915</v>
      </c>
      <c r="ASE13">
        <v>9.4750602245330811</v>
      </c>
      <c r="ASF13">
        <v>406</v>
      </c>
      <c r="ASG13" s="2"/>
      <c r="ASH13">
        <f t="shared" si="196"/>
        <v>15</v>
      </c>
      <c r="ASI13" t="s">
        <v>3453</v>
      </c>
      <c r="ASJ13" t="s">
        <v>3916</v>
      </c>
      <c r="ASK13">
        <v>122.6799964904785</v>
      </c>
      <c r="ASL13">
        <v>394</v>
      </c>
      <c r="ASM13" s="5"/>
      <c r="ASN13">
        <f t="shared" si="197"/>
        <v>12</v>
      </c>
      <c r="ASO13" t="s">
        <v>108</v>
      </c>
      <c r="ASP13" t="s">
        <v>3917</v>
      </c>
      <c r="ASQ13">
        <v>3.707452535629272</v>
      </c>
      <c r="ASR13">
        <v>325</v>
      </c>
      <c r="ASS13" s="2"/>
      <c r="AST13">
        <f t="shared" si="198"/>
        <v>60</v>
      </c>
      <c r="ASU13" t="s">
        <v>3918</v>
      </c>
      <c r="ASV13" t="s">
        <v>3919</v>
      </c>
      <c r="ASW13">
        <v>46.078336715698242</v>
      </c>
      <c r="ASX13">
        <v>323</v>
      </c>
      <c r="ASY13" s="5"/>
      <c r="ASZ13">
        <f t="shared" si="199"/>
        <v>42</v>
      </c>
      <c r="ATA13" t="s">
        <v>3920</v>
      </c>
      <c r="ATB13" t="s">
        <v>3921</v>
      </c>
      <c r="ATC13">
        <v>58.659317016601563</v>
      </c>
      <c r="ATD13">
        <v>289</v>
      </c>
      <c r="ATE13" s="2"/>
      <c r="ATF13">
        <f t="shared" si="200"/>
        <v>4</v>
      </c>
      <c r="ATG13" t="s">
        <v>673</v>
      </c>
      <c r="ATH13" t="s">
        <v>3922</v>
      </c>
      <c r="ATI13">
        <v>45.709337472915649</v>
      </c>
      <c r="ATJ13">
        <v>437</v>
      </c>
      <c r="ATK13" s="5"/>
      <c r="ATL13">
        <f t="shared" si="201"/>
        <v>7</v>
      </c>
      <c r="ATM13" t="s">
        <v>3750</v>
      </c>
      <c r="ATN13" t="s">
        <v>3923</v>
      </c>
      <c r="ATO13">
        <v>3.3410181999206539</v>
      </c>
      <c r="ATP13">
        <v>486</v>
      </c>
      <c r="ATQ13" s="2"/>
      <c r="ATR13">
        <f t="shared" si="202"/>
        <v>17</v>
      </c>
      <c r="ATS13" t="s">
        <v>1437</v>
      </c>
      <c r="ATT13" t="s">
        <v>3924</v>
      </c>
      <c r="ATU13">
        <v>21.104200601577759</v>
      </c>
      <c r="ATV13">
        <v>377</v>
      </c>
      <c r="ATW13" s="5"/>
      <c r="ATX13">
        <f t="shared" si="203"/>
        <v>22</v>
      </c>
      <c r="ATY13" t="s">
        <v>3925</v>
      </c>
      <c r="ATZ13" t="s">
        <v>3926</v>
      </c>
      <c r="AUA13">
        <v>9.766432523727417</v>
      </c>
      <c r="AUB13">
        <v>504</v>
      </c>
      <c r="AUC13" s="2"/>
    </row>
    <row r="14" spans="2:1225" x14ac:dyDescent="0.25">
      <c r="B14">
        <f t="shared" si="0"/>
        <v>28</v>
      </c>
      <c r="C14" t="s">
        <v>3927</v>
      </c>
      <c r="D14" t="s">
        <v>3928</v>
      </c>
      <c r="E14">
        <v>7.9574928283691406</v>
      </c>
      <c r="F14">
        <v>262</v>
      </c>
      <c r="G14" s="1"/>
      <c r="H14">
        <f t="shared" si="1"/>
        <v>29</v>
      </c>
      <c r="I14" t="s">
        <v>2535</v>
      </c>
      <c r="J14" t="s">
        <v>3929</v>
      </c>
      <c r="K14">
        <v>22.07959342002869</v>
      </c>
      <c r="L14">
        <v>519</v>
      </c>
      <c r="M14" s="2"/>
      <c r="N14">
        <f t="shared" si="2"/>
        <v>25</v>
      </c>
      <c r="O14" t="s">
        <v>694</v>
      </c>
      <c r="P14" t="s">
        <v>3930</v>
      </c>
      <c r="Q14">
        <v>15.91756939888</v>
      </c>
      <c r="R14">
        <v>459</v>
      </c>
      <c r="S14" s="1"/>
      <c r="T14">
        <f t="shared" si="3"/>
        <v>29</v>
      </c>
      <c r="U14" t="s">
        <v>1739</v>
      </c>
      <c r="V14" t="s">
        <v>3931</v>
      </c>
      <c r="W14">
        <v>6.9632022380828857</v>
      </c>
      <c r="X14">
        <v>589</v>
      </c>
      <c r="Y14" s="2"/>
      <c r="Z14">
        <f t="shared" si="4"/>
        <v>51</v>
      </c>
      <c r="AA14" t="s">
        <v>3932</v>
      </c>
      <c r="AB14" t="s">
        <v>3933</v>
      </c>
      <c r="AC14">
        <v>9.7810029983520508</v>
      </c>
      <c r="AD14">
        <v>345</v>
      </c>
      <c r="AE14" s="1"/>
      <c r="AF14">
        <f t="shared" si="5"/>
        <v>22</v>
      </c>
      <c r="AG14" t="s">
        <v>3934</v>
      </c>
      <c r="AH14" t="s">
        <v>3935</v>
      </c>
      <c r="AI14">
        <v>34.040877103805542</v>
      </c>
      <c r="AJ14">
        <v>422</v>
      </c>
      <c r="AK14" s="2"/>
      <c r="AL14">
        <f t="shared" si="6"/>
        <v>15</v>
      </c>
      <c r="AM14" t="s">
        <v>3936</v>
      </c>
      <c r="AN14" t="s">
        <v>3937</v>
      </c>
      <c r="AO14">
        <v>3.8776504993438721</v>
      </c>
      <c r="AP14">
        <v>424</v>
      </c>
      <c r="AQ14" s="1"/>
      <c r="AR14">
        <f t="shared" si="7"/>
        <v>10</v>
      </c>
      <c r="AS14" t="s">
        <v>1492</v>
      </c>
      <c r="AT14" t="s">
        <v>3938</v>
      </c>
      <c r="AU14">
        <v>3.2618026733398442</v>
      </c>
      <c r="AV14">
        <v>578</v>
      </c>
      <c r="AW14" s="2"/>
      <c r="AX14">
        <f t="shared" si="8"/>
        <v>23</v>
      </c>
      <c r="AY14" t="s">
        <v>3939</v>
      </c>
      <c r="AZ14" t="s">
        <v>3940</v>
      </c>
      <c r="BA14">
        <v>9.2108480930328369</v>
      </c>
      <c r="BB14">
        <v>370</v>
      </c>
      <c r="BC14" s="1"/>
      <c r="BD14">
        <f t="shared" si="9"/>
        <v>22</v>
      </c>
      <c r="BE14" t="s">
        <v>3941</v>
      </c>
      <c r="BF14" t="s">
        <v>3942</v>
      </c>
      <c r="BG14">
        <v>40.125588417053223</v>
      </c>
      <c r="BH14">
        <v>462</v>
      </c>
      <c r="BI14" s="2"/>
      <c r="BJ14">
        <f t="shared" si="10"/>
        <v>45</v>
      </c>
      <c r="BK14" t="s">
        <v>3943</v>
      </c>
      <c r="BL14" t="s">
        <v>3944</v>
      </c>
      <c r="BM14">
        <v>23.398457288742069</v>
      </c>
      <c r="BN14">
        <v>402</v>
      </c>
      <c r="BO14" s="1"/>
      <c r="BP14">
        <f t="shared" si="11"/>
        <v>20</v>
      </c>
      <c r="BQ14" t="s">
        <v>3945</v>
      </c>
      <c r="BR14" t="s">
        <v>3946</v>
      </c>
      <c r="BS14">
        <v>6.606865406036377</v>
      </c>
      <c r="BT14">
        <v>508</v>
      </c>
      <c r="BU14" s="2"/>
      <c r="BV14">
        <f t="shared" si="12"/>
        <v>23</v>
      </c>
      <c r="BW14" t="s">
        <v>3947</v>
      </c>
      <c r="BX14" t="s">
        <v>3948</v>
      </c>
      <c r="BY14">
        <v>3.8580303192138672</v>
      </c>
      <c r="BZ14">
        <v>613</v>
      </c>
      <c r="CA14" s="1"/>
      <c r="CB14">
        <f t="shared" si="13"/>
        <v>17</v>
      </c>
      <c r="CC14" t="s">
        <v>2328</v>
      </c>
      <c r="CD14" t="s">
        <v>3949</v>
      </c>
      <c r="CE14">
        <v>6.2194826602935791</v>
      </c>
      <c r="CF14">
        <v>433</v>
      </c>
      <c r="CG14" s="2"/>
      <c r="CJ14" t="s">
        <v>3950</v>
      </c>
      <c r="CL14">
        <v>479</v>
      </c>
      <c r="CR14">
        <v>456</v>
      </c>
      <c r="CT14">
        <f t="shared" si="16"/>
        <v>23</v>
      </c>
      <c r="CU14" t="s">
        <v>3951</v>
      </c>
      <c r="CV14" t="s">
        <v>3952</v>
      </c>
      <c r="CW14">
        <v>11.317163705825809</v>
      </c>
      <c r="CX14">
        <v>387</v>
      </c>
      <c r="CY14" s="1"/>
      <c r="CZ14">
        <f t="shared" si="17"/>
        <v>19</v>
      </c>
      <c r="DA14" t="s">
        <v>3953</v>
      </c>
      <c r="DB14" t="s">
        <v>3954</v>
      </c>
      <c r="DC14">
        <v>10.17432117462158</v>
      </c>
      <c r="DD14">
        <v>450</v>
      </c>
      <c r="DE14" s="2"/>
      <c r="DF14">
        <f t="shared" si="18"/>
        <v>25</v>
      </c>
      <c r="DG14" t="s">
        <v>3955</v>
      </c>
      <c r="DH14" t="s">
        <v>3956</v>
      </c>
      <c r="DI14">
        <v>15.00293397903442</v>
      </c>
      <c r="DJ14">
        <v>525</v>
      </c>
      <c r="DK14" s="1"/>
      <c r="DL14">
        <f t="shared" si="19"/>
        <v>10</v>
      </c>
      <c r="DM14" t="s">
        <v>3957</v>
      </c>
      <c r="DN14" t="s">
        <v>3958</v>
      </c>
      <c r="DO14">
        <v>8.7986166477203369</v>
      </c>
      <c r="DP14">
        <v>387</v>
      </c>
      <c r="DQ14" s="2"/>
      <c r="DR14">
        <f t="shared" si="20"/>
        <v>39</v>
      </c>
      <c r="DS14" t="s">
        <v>3959</v>
      </c>
      <c r="DT14" t="s">
        <v>3960</v>
      </c>
      <c r="DU14">
        <v>22.88509917259216</v>
      </c>
      <c r="DV14">
        <v>476</v>
      </c>
      <c r="DW14" s="1"/>
      <c r="DX14">
        <f t="shared" si="21"/>
        <v>30</v>
      </c>
      <c r="DY14" t="s">
        <v>1127</v>
      </c>
      <c r="DZ14" t="s">
        <v>3961</v>
      </c>
      <c r="EA14">
        <v>231.26559638977051</v>
      </c>
      <c r="EB14">
        <v>432</v>
      </c>
      <c r="EC14" s="2"/>
      <c r="ED14">
        <f t="shared" si="22"/>
        <v>28</v>
      </c>
      <c r="EE14" t="s">
        <v>3962</v>
      </c>
      <c r="EF14" t="s">
        <v>3963</v>
      </c>
      <c r="EG14">
        <v>9.3523445129394531</v>
      </c>
      <c r="EH14">
        <v>365</v>
      </c>
      <c r="EI14" s="1"/>
      <c r="EJ14">
        <f t="shared" si="23"/>
        <v>62</v>
      </c>
      <c r="EK14" t="s">
        <v>3964</v>
      </c>
      <c r="EL14" t="s">
        <v>3965</v>
      </c>
      <c r="EM14">
        <v>17.356771469116211</v>
      </c>
      <c r="EN14">
        <v>532</v>
      </c>
      <c r="EO14" s="2"/>
      <c r="EP14">
        <f t="shared" si="24"/>
        <v>32</v>
      </c>
      <c r="EQ14" t="s">
        <v>3966</v>
      </c>
      <c r="ER14" t="s">
        <v>3967</v>
      </c>
      <c r="ES14">
        <v>16.09845948219299</v>
      </c>
      <c r="ET14">
        <v>345</v>
      </c>
      <c r="EU14" s="1"/>
      <c r="EV14">
        <f t="shared" si="25"/>
        <v>40</v>
      </c>
      <c r="EW14" t="s">
        <v>145</v>
      </c>
      <c r="EX14" t="s">
        <v>3968</v>
      </c>
      <c r="EY14">
        <v>11.466208934783941</v>
      </c>
      <c r="EZ14">
        <v>470</v>
      </c>
      <c r="FA14" s="2"/>
      <c r="FB14">
        <f t="shared" si="26"/>
        <v>17</v>
      </c>
      <c r="FC14" t="s">
        <v>3749</v>
      </c>
      <c r="FD14" t="s">
        <v>3969</v>
      </c>
      <c r="FE14">
        <v>4.0149400234222412</v>
      </c>
      <c r="FF14">
        <v>503</v>
      </c>
      <c r="FG14" s="1"/>
      <c r="FH14">
        <f t="shared" si="27"/>
        <v>17</v>
      </c>
      <c r="FI14" t="s">
        <v>3970</v>
      </c>
      <c r="FJ14" t="s">
        <v>3971</v>
      </c>
      <c r="FK14">
        <v>6.1570925712585449</v>
      </c>
      <c r="FL14">
        <v>381</v>
      </c>
      <c r="FM14" s="2"/>
      <c r="FN14">
        <f t="shared" si="28"/>
        <v>55</v>
      </c>
      <c r="FO14" t="s">
        <v>569</v>
      </c>
      <c r="FP14" t="s">
        <v>3972</v>
      </c>
      <c r="FQ14">
        <v>14.03676176071167</v>
      </c>
      <c r="FR14">
        <v>547</v>
      </c>
      <c r="FS14" s="1"/>
      <c r="FT14">
        <f t="shared" si="29"/>
        <v>39</v>
      </c>
      <c r="FU14" t="s">
        <v>3973</v>
      </c>
      <c r="FV14" t="s">
        <v>3974</v>
      </c>
      <c r="FW14">
        <v>59.285702466964722</v>
      </c>
      <c r="FX14">
        <v>480</v>
      </c>
      <c r="FY14" s="2"/>
      <c r="FZ14">
        <f t="shared" si="30"/>
        <v>28</v>
      </c>
      <c r="GA14" t="s">
        <v>3975</v>
      </c>
      <c r="GB14" t="s">
        <v>3976</v>
      </c>
      <c r="GC14">
        <v>22.848847389221191</v>
      </c>
      <c r="GD14">
        <v>457</v>
      </c>
      <c r="GE14" s="1"/>
      <c r="GF14">
        <f t="shared" si="31"/>
        <v>36</v>
      </c>
      <c r="GG14" t="s">
        <v>3977</v>
      </c>
      <c r="GH14" t="s">
        <v>3978</v>
      </c>
      <c r="GI14">
        <v>131.64351415634161</v>
      </c>
      <c r="GJ14">
        <v>450</v>
      </c>
      <c r="GK14" s="2"/>
      <c r="GL14">
        <f t="shared" si="32"/>
        <v>39</v>
      </c>
      <c r="GM14" t="s">
        <v>3979</v>
      </c>
      <c r="GN14" t="s">
        <v>3980</v>
      </c>
      <c r="GO14">
        <v>153.74089193344119</v>
      </c>
      <c r="GP14">
        <v>441</v>
      </c>
      <c r="GQ14" s="1"/>
      <c r="GR14">
        <f t="shared" si="33"/>
        <v>20</v>
      </c>
      <c r="GS14" t="s">
        <v>3981</v>
      </c>
      <c r="GT14" t="s">
        <v>3982</v>
      </c>
      <c r="GU14">
        <v>34.955947875976563</v>
      </c>
      <c r="GV14">
        <v>378</v>
      </c>
      <c r="GW14" s="2"/>
      <c r="GX14">
        <f t="shared" si="34"/>
        <v>30</v>
      </c>
      <c r="GY14" t="s">
        <v>2934</v>
      </c>
      <c r="GZ14" t="s">
        <v>3983</v>
      </c>
      <c r="HA14">
        <v>27.775689125061039</v>
      </c>
      <c r="HB14">
        <v>388</v>
      </c>
      <c r="HC14" s="1"/>
      <c r="HD14">
        <f t="shared" si="35"/>
        <v>32</v>
      </c>
      <c r="HE14" t="s">
        <v>2072</v>
      </c>
      <c r="HF14" t="s">
        <v>3984</v>
      </c>
      <c r="HG14">
        <v>20.06575870513916</v>
      </c>
      <c r="HH14">
        <v>503</v>
      </c>
      <c r="HI14" s="2"/>
      <c r="HL14" t="s">
        <v>3985</v>
      </c>
      <c r="HN14">
        <v>388</v>
      </c>
      <c r="HT14">
        <v>564</v>
      </c>
      <c r="HV14">
        <f t="shared" si="38"/>
        <v>42</v>
      </c>
      <c r="HW14" t="s">
        <v>3986</v>
      </c>
      <c r="HX14" t="s">
        <v>3987</v>
      </c>
      <c r="HY14">
        <v>75.496929407119751</v>
      </c>
      <c r="HZ14">
        <v>425</v>
      </c>
      <c r="IA14" s="1"/>
      <c r="IB14">
        <f t="shared" si="39"/>
        <v>39</v>
      </c>
      <c r="IC14" t="s">
        <v>3988</v>
      </c>
      <c r="ID14" t="s">
        <v>3989</v>
      </c>
      <c r="IE14">
        <v>26.77185153961182</v>
      </c>
      <c r="IF14">
        <v>455</v>
      </c>
      <c r="IG14" s="2"/>
      <c r="IH14">
        <f t="shared" si="40"/>
        <v>22</v>
      </c>
      <c r="II14" t="s">
        <v>3255</v>
      </c>
      <c r="IJ14" t="s">
        <v>3990</v>
      </c>
      <c r="IK14">
        <v>7.7411398887634277</v>
      </c>
      <c r="IL14">
        <v>396</v>
      </c>
      <c r="IM14" s="1"/>
      <c r="IN14">
        <f t="shared" si="41"/>
        <v>20</v>
      </c>
      <c r="IO14" t="s">
        <v>3991</v>
      </c>
      <c r="IP14" t="s">
        <v>3992</v>
      </c>
      <c r="IQ14">
        <v>13.58528423309326</v>
      </c>
      <c r="IR14">
        <v>547</v>
      </c>
      <c r="IS14" s="2"/>
      <c r="IT14">
        <f t="shared" si="42"/>
        <v>18</v>
      </c>
      <c r="IU14" t="s">
        <v>3993</v>
      </c>
      <c r="IV14" t="s">
        <v>3994</v>
      </c>
      <c r="IW14">
        <v>7.1408977508544922</v>
      </c>
      <c r="IX14">
        <v>443</v>
      </c>
      <c r="IY14" s="1"/>
      <c r="IZ14">
        <f t="shared" si="43"/>
        <v>12</v>
      </c>
      <c r="JA14" t="s">
        <v>36</v>
      </c>
      <c r="JB14" t="s">
        <v>3995</v>
      </c>
      <c r="JC14">
        <v>9.5033016204833984</v>
      </c>
      <c r="JD14">
        <v>351</v>
      </c>
      <c r="JE14" s="2"/>
      <c r="JF14">
        <f t="shared" si="44"/>
        <v>25</v>
      </c>
      <c r="JG14" t="s">
        <v>3996</v>
      </c>
      <c r="JH14" t="s">
        <v>3997</v>
      </c>
      <c r="JI14">
        <v>15.085381746292111</v>
      </c>
      <c r="JJ14">
        <v>329</v>
      </c>
      <c r="JK14" s="1"/>
      <c r="JL14">
        <f t="shared" si="45"/>
        <v>36</v>
      </c>
      <c r="JM14" t="s">
        <v>2509</v>
      </c>
      <c r="JN14" t="s">
        <v>3998</v>
      </c>
      <c r="JO14">
        <v>22.726953983306881</v>
      </c>
      <c r="JP14">
        <v>495</v>
      </c>
      <c r="JQ14" s="2"/>
      <c r="JR14">
        <f t="shared" si="46"/>
        <v>25</v>
      </c>
      <c r="JS14" t="s">
        <v>3999</v>
      </c>
      <c r="JT14" t="s">
        <v>4000</v>
      </c>
      <c r="JU14">
        <v>9.9583566188812256</v>
      </c>
      <c r="JV14">
        <v>309</v>
      </c>
      <c r="JW14" s="1"/>
      <c r="JX14">
        <f t="shared" si="47"/>
        <v>8</v>
      </c>
      <c r="JY14" t="s">
        <v>1591</v>
      </c>
      <c r="JZ14" t="s">
        <v>4001</v>
      </c>
      <c r="KA14">
        <v>185.73508191108701</v>
      </c>
      <c r="KB14">
        <v>497</v>
      </c>
      <c r="KC14" s="2"/>
      <c r="KD14">
        <f t="shared" si="48"/>
        <v>41</v>
      </c>
      <c r="KE14" t="s">
        <v>4002</v>
      </c>
      <c r="KF14" t="s">
        <v>4003</v>
      </c>
      <c r="KG14">
        <v>13.547111988067631</v>
      </c>
      <c r="KH14">
        <v>524</v>
      </c>
      <c r="KI14" s="1"/>
      <c r="KJ14">
        <f t="shared" si="49"/>
        <v>22</v>
      </c>
      <c r="KK14" t="s">
        <v>4004</v>
      </c>
      <c r="KL14" t="s">
        <v>4005</v>
      </c>
      <c r="KM14">
        <v>30.981216430664059</v>
      </c>
      <c r="KN14">
        <v>493</v>
      </c>
      <c r="KO14" s="2"/>
      <c r="KP14">
        <f t="shared" si="50"/>
        <v>28</v>
      </c>
      <c r="KQ14" t="s">
        <v>4006</v>
      </c>
      <c r="KR14" t="s">
        <v>4007</v>
      </c>
      <c r="KS14">
        <v>9.6612894535064697</v>
      </c>
      <c r="KT14">
        <v>377</v>
      </c>
      <c r="KU14" s="1"/>
      <c r="KV14">
        <f t="shared" si="51"/>
        <v>102</v>
      </c>
      <c r="KW14" t="s">
        <v>4008</v>
      </c>
      <c r="KX14" t="s">
        <v>4009</v>
      </c>
      <c r="KY14">
        <v>271.53134107589722</v>
      </c>
      <c r="KZ14">
        <v>439</v>
      </c>
      <c r="LA14" s="2"/>
      <c r="LB14">
        <f t="shared" si="52"/>
        <v>11</v>
      </c>
      <c r="LC14" t="s">
        <v>4010</v>
      </c>
      <c r="LD14" t="s">
        <v>4011</v>
      </c>
      <c r="LE14">
        <v>4.5081007480621338</v>
      </c>
      <c r="LF14">
        <v>495</v>
      </c>
      <c r="LG14" s="1"/>
      <c r="LH14">
        <f t="shared" si="53"/>
        <v>16</v>
      </c>
      <c r="LI14" t="s">
        <v>2257</v>
      </c>
      <c r="LJ14" t="s">
        <v>4012</v>
      </c>
      <c r="LK14">
        <v>9.3896098136901855</v>
      </c>
      <c r="LL14">
        <v>476</v>
      </c>
      <c r="LM14" s="2"/>
      <c r="LN14">
        <f t="shared" si="54"/>
        <v>18</v>
      </c>
      <c r="LO14" t="s">
        <v>13</v>
      </c>
      <c r="LP14" t="s">
        <v>4013</v>
      </c>
      <c r="LQ14">
        <v>4.8864071369171143</v>
      </c>
      <c r="LR14">
        <v>374</v>
      </c>
      <c r="LS14" s="1"/>
      <c r="LT14">
        <f t="shared" si="55"/>
        <v>16</v>
      </c>
      <c r="LU14" t="s">
        <v>1602</v>
      </c>
      <c r="LV14" t="s">
        <v>4014</v>
      </c>
      <c r="LW14">
        <v>4.6050384044647217</v>
      </c>
      <c r="LX14">
        <v>424</v>
      </c>
      <c r="LY14" s="2"/>
      <c r="LZ14">
        <f t="shared" si="56"/>
        <v>18</v>
      </c>
      <c r="MA14" t="s">
        <v>2295</v>
      </c>
      <c r="MB14" t="s">
        <v>4015</v>
      </c>
      <c r="MC14">
        <v>5.0246238708496094</v>
      </c>
      <c r="MD14">
        <v>290</v>
      </c>
      <c r="ME14" s="1"/>
      <c r="MF14">
        <f t="shared" si="57"/>
        <v>112</v>
      </c>
      <c r="MG14" t="s">
        <v>4016</v>
      </c>
      <c r="MH14" t="s">
        <v>4017</v>
      </c>
      <c r="MI14">
        <v>170.05989837646479</v>
      </c>
      <c r="MJ14">
        <v>404</v>
      </c>
      <c r="MK14" s="2"/>
      <c r="ML14">
        <f t="shared" si="58"/>
        <v>28</v>
      </c>
      <c r="MM14" t="s">
        <v>1437</v>
      </c>
      <c r="MN14" t="s">
        <v>4018</v>
      </c>
      <c r="MO14">
        <v>13.54088521003723</v>
      </c>
      <c r="MP14">
        <v>429</v>
      </c>
      <c r="MQ14" s="1"/>
      <c r="MR14">
        <f t="shared" si="59"/>
        <v>21</v>
      </c>
      <c r="MS14" t="s">
        <v>4019</v>
      </c>
      <c r="MT14" t="s">
        <v>4020</v>
      </c>
      <c r="MU14">
        <v>10.086730241775509</v>
      </c>
      <c r="MV14">
        <v>481</v>
      </c>
      <c r="MW14" s="2"/>
      <c r="MX14">
        <f t="shared" si="60"/>
        <v>28</v>
      </c>
      <c r="MY14" t="s">
        <v>4021</v>
      </c>
      <c r="MZ14" t="s">
        <v>4022</v>
      </c>
      <c r="NA14">
        <v>8.6934614181518555</v>
      </c>
      <c r="NB14">
        <v>340</v>
      </c>
      <c r="NC14" s="1"/>
      <c r="ND14">
        <f t="shared" si="61"/>
        <v>0</v>
      </c>
      <c r="NF14" t="s">
        <v>4023</v>
      </c>
      <c r="NG14">
        <v>108.5553138256073</v>
      </c>
      <c r="NH14">
        <v>321</v>
      </c>
      <c r="NI14" s="2"/>
      <c r="NJ14">
        <f t="shared" si="62"/>
        <v>40</v>
      </c>
      <c r="NK14" t="s">
        <v>4024</v>
      </c>
      <c r="NL14" t="s">
        <v>4025</v>
      </c>
      <c r="NM14">
        <v>14.36127686500549</v>
      </c>
      <c r="NN14">
        <v>326</v>
      </c>
      <c r="NO14" s="1"/>
      <c r="NP14">
        <f t="shared" si="63"/>
        <v>28</v>
      </c>
      <c r="NQ14" t="s">
        <v>4026</v>
      </c>
      <c r="NR14" t="s">
        <v>4027</v>
      </c>
      <c r="NS14">
        <v>11.10000562667847</v>
      </c>
      <c r="NT14">
        <v>513</v>
      </c>
      <c r="NU14" s="2"/>
      <c r="NV14">
        <f t="shared" si="64"/>
        <v>32</v>
      </c>
      <c r="NW14" t="s">
        <v>4028</v>
      </c>
      <c r="NX14" t="s">
        <v>4029</v>
      </c>
      <c r="NY14">
        <v>33.102190732955933</v>
      </c>
      <c r="NZ14">
        <v>475</v>
      </c>
      <c r="OA14" s="1"/>
      <c r="OB14">
        <f t="shared" si="65"/>
        <v>23</v>
      </c>
      <c r="OC14" t="s">
        <v>1127</v>
      </c>
      <c r="OD14" t="s">
        <v>4030</v>
      </c>
      <c r="OE14">
        <v>31.976522922515869</v>
      </c>
      <c r="OF14">
        <v>388</v>
      </c>
      <c r="OG14" s="2"/>
      <c r="OH14">
        <f t="shared" si="66"/>
        <v>21</v>
      </c>
      <c r="OI14" t="s">
        <v>4031</v>
      </c>
      <c r="OJ14" t="s">
        <v>4032</v>
      </c>
      <c r="OK14">
        <v>8.4305510520935059</v>
      </c>
      <c r="OL14">
        <v>477</v>
      </c>
      <c r="OM14" s="1"/>
      <c r="ON14">
        <f t="shared" si="67"/>
        <v>13</v>
      </c>
      <c r="OO14" t="s">
        <v>4033</v>
      </c>
      <c r="OP14" t="s">
        <v>4034</v>
      </c>
      <c r="OQ14">
        <v>13.09321975708008</v>
      </c>
      <c r="OR14">
        <v>408</v>
      </c>
      <c r="OS14" s="2"/>
      <c r="OT14">
        <f t="shared" si="68"/>
        <v>30</v>
      </c>
      <c r="OU14" t="s">
        <v>4035</v>
      </c>
      <c r="OV14" t="s">
        <v>4036</v>
      </c>
      <c r="OW14">
        <v>29.067410707473751</v>
      </c>
      <c r="OX14">
        <v>429</v>
      </c>
      <c r="OY14" s="1"/>
      <c r="OZ14">
        <f t="shared" si="69"/>
        <v>46</v>
      </c>
      <c r="PA14" t="s">
        <v>4037</v>
      </c>
      <c r="PB14" t="s">
        <v>4038</v>
      </c>
      <c r="PC14">
        <v>15.460607290267941</v>
      </c>
      <c r="PD14">
        <v>406</v>
      </c>
      <c r="PE14" s="2"/>
      <c r="PF14">
        <f t="shared" si="70"/>
        <v>20</v>
      </c>
      <c r="PG14" t="s">
        <v>4039</v>
      </c>
      <c r="PH14" t="s">
        <v>4040</v>
      </c>
      <c r="PI14">
        <v>8.5109107494354248</v>
      </c>
      <c r="PJ14">
        <v>387</v>
      </c>
      <c r="PK14" s="1"/>
      <c r="PL14">
        <f t="shared" si="71"/>
        <v>57</v>
      </c>
      <c r="PM14" t="s">
        <v>4041</v>
      </c>
      <c r="PN14" t="s">
        <v>4042</v>
      </c>
      <c r="PO14">
        <v>18.28463792800903</v>
      </c>
      <c r="PP14">
        <v>478</v>
      </c>
      <c r="PQ14" s="2"/>
      <c r="PR14">
        <f t="shared" si="72"/>
        <v>42</v>
      </c>
      <c r="PS14" t="s">
        <v>4043</v>
      </c>
      <c r="PT14" t="s">
        <v>4044</v>
      </c>
      <c r="PU14">
        <v>176.45502376556399</v>
      </c>
      <c r="PV14">
        <v>480</v>
      </c>
      <c r="PW14" s="1"/>
      <c r="PX14">
        <f t="shared" si="73"/>
        <v>22</v>
      </c>
      <c r="PY14" t="s">
        <v>4045</v>
      </c>
      <c r="PZ14" t="s">
        <v>4046</v>
      </c>
      <c r="QA14">
        <v>10.6254563331604</v>
      </c>
      <c r="QB14">
        <v>489</v>
      </c>
      <c r="QC14" s="2"/>
      <c r="QD14">
        <f t="shared" si="74"/>
        <v>26</v>
      </c>
      <c r="QE14" t="s">
        <v>1294</v>
      </c>
      <c r="QF14" t="s">
        <v>4047</v>
      </c>
      <c r="QG14">
        <v>22.276979684829708</v>
      </c>
      <c r="QH14">
        <v>500</v>
      </c>
      <c r="QI14" s="1"/>
      <c r="QJ14">
        <f t="shared" si="75"/>
        <v>17</v>
      </c>
      <c r="QK14" t="s">
        <v>4048</v>
      </c>
      <c r="QL14" t="s">
        <v>4049</v>
      </c>
      <c r="QM14">
        <v>5.2846133708953857</v>
      </c>
      <c r="QN14">
        <v>438</v>
      </c>
      <c r="QO14" s="2"/>
      <c r="QP14">
        <f t="shared" si="76"/>
        <v>33</v>
      </c>
      <c r="QQ14" t="s">
        <v>4050</v>
      </c>
      <c r="QR14" t="s">
        <v>4051</v>
      </c>
      <c r="QS14">
        <v>8.3895814418792725</v>
      </c>
      <c r="QT14">
        <v>343</v>
      </c>
      <c r="QU14" s="1"/>
      <c r="QV14">
        <f t="shared" si="77"/>
        <v>28</v>
      </c>
      <c r="QW14" t="s">
        <v>3738</v>
      </c>
      <c r="QX14" t="s">
        <v>4052</v>
      </c>
      <c r="QY14">
        <v>23.25688815116882</v>
      </c>
      <c r="QZ14">
        <v>389</v>
      </c>
      <c r="RA14" s="2"/>
      <c r="RB14">
        <f t="shared" si="78"/>
        <v>26</v>
      </c>
      <c r="RC14" t="s">
        <v>2584</v>
      </c>
      <c r="RD14" t="s">
        <v>4053</v>
      </c>
      <c r="RE14">
        <v>7.993262767791748</v>
      </c>
      <c r="RF14">
        <v>528</v>
      </c>
      <c r="RG14" s="1"/>
      <c r="RH14">
        <f t="shared" si="79"/>
        <v>16</v>
      </c>
      <c r="RI14" t="s">
        <v>4054</v>
      </c>
      <c r="RJ14" t="s">
        <v>4055</v>
      </c>
      <c r="RK14">
        <v>3.9476525783538818</v>
      </c>
      <c r="RL14">
        <v>448</v>
      </c>
      <c r="RM14" s="2"/>
      <c r="RN14">
        <f t="shared" si="80"/>
        <v>14</v>
      </c>
      <c r="RO14" t="s">
        <v>614</v>
      </c>
      <c r="RP14" t="s">
        <v>4056</v>
      </c>
      <c r="RQ14">
        <v>5.9864089488983154</v>
      </c>
      <c r="RR14">
        <v>559</v>
      </c>
      <c r="RS14" s="1"/>
      <c r="RT14">
        <f t="shared" si="81"/>
        <v>8</v>
      </c>
      <c r="RU14" t="s">
        <v>4057</v>
      </c>
      <c r="RV14" t="s">
        <v>4058</v>
      </c>
      <c r="RW14">
        <v>4.3685824871063232</v>
      </c>
      <c r="RX14">
        <v>419</v>
      </c>
      <c r="RY14" s="2"/>
      <c r="RZ14">
        <f t="shared" si="82"/>
        <v>25</v>
      </c>
      <c r="SA14" t="s">
        <v>4059</v>
      </c>
      <c r="SB14" t="s">
        <v>4060</v>
      </c>
      <c r="SC14">
        <v>16.08239316940308</v>
      </c>
      <c r="SD14">
        <v>444</v>
      </c>
      <c r="SE14" s="1"/>
      <c r="SF14">
        <f t="shared" si="83"/>
        <v>21</v>
      </c>
      <c r="SG14" t="s">
        <v>643</v>
      </c>
      <c r="SH14" t="s">
        <v>4061</v>
      </c>
      <c r="SI14">
        <v>26.11700797080994</v>
      </c>
      <c r="SJ14">
        <v>387</v>
      </c>
      <c r="SK14" s="2"/>
      <c r="SL14">
        <f t="shared" si="84"/>
        <v>30</v>
      </c>
      <c r="SM14" t="s">
        <v>4062</v>
      </c>
      <c r="SN14" t="s">
        <v>4063</v>
      </c>
      <c r="SO14">
        <v>9.1482970714569092</v>
      </c>
      <c r="SP14">
        <v>391</v>
      </c>
      <c r="SQ14" s="1"/>
      <c r="SR14">
        <f t="shared" si="85"/>
        <v>13</v>
      </c>
      <c r="SS14" t="s">
        <v>905</v>
      </c>
      <c r="ST14" t="s">
        <v>905</v>
      </c>
      <c r="SU14">
        <v>3.6899409294128418</v>
      </c>
      <c r="SV14">
        <v>470</v>
      </c>
      <c r="SW14" s="2"/>
      <c r="SX14">
        <f t="shared" si="86"/>
        <v>39</v>
      </c>
      <c r="SY14" t="s">
        <v>4064</v>
      </c>
      <c r="SZ14" t="s">
        <v>4065</v>
      </c>
      <c r="TA14">
        <v>7.3340296745300293</v>
      </c>
      <c r="TB14">
        <v>386</v>
      </c>
      <c r="TC14" s="1"/>
      <c r="TD14">
        <f t="shared" si="87"/>
        <v>14</v>
      </c>
      <c r="TE14" t="s">
        <v>1967</v>
      </c>
      <c r="TF14" t="s">
        <v>4066</v>
      </c>
      <c r="TG14">
        <v>3.5998940467834468</v>
      </c>
      <c r="TH14">
        <v>529</v>
      </c>
      <c r="TI14" s="2"/>
      <c r="TJ14">
        <f t="shared" si="88"/>
        <v>23</v>
      </c>
      <c r="TK14" t="s">
        <v>4067</v>
      </c>
      <c r="TL14" t="s">
        <v>4068</v>
      </c>
      <c r="TM14">
        <v>10.77157330513</v>
      </c>
      <c r="TN14">
        <v>582</v>
      </c>
      <c r="TO14" s="1"/>
      <c r="TP14">
        <f t="shared" si="89"/>
        <v>21</v>
      </c>
      <c r="TQ14" t="s">
        <v>1050</v>
      </c>
      <c r="TR14" t="s">
        <v>4069</v>
      </c>
      <c r="TS14">
        <v>5.2388007640838623</v>
      </c>
      <c r="TT14">
        <v>385</v>
      </c>
      <c r="TU14" s="2"/>
      <c r="TV14">
        <f t="shared" si="90"/>
        <v>34</v>
      </c>
      <c r="TW14" t="s">
        <v>4070</v>
      </c>
      <c r="TX14" t="s">
        <v>4071</v>
      </c>
      <c r="TY14">
        <v>21.649907112121578</v>
      </c>
      <c r="TZ14">
        <v>432</v>
      </c>
      <c r="UA14" s="1"/>
      <c r="UB14">
        <f t="shared" si="91"/>
        <v>49</v>
      </c>
      <c r="UC14" t="s">
        <v>4072</v>
      </c>
      <c r="UD14" t="s">
        <v>4073</v>
      </c>
      <c r="UE14">
        <v>191.9526207447052</v>
      </c>
      <c r="UF14">
        <v>615</v>
      </c>
      <c r="UG14" s="2"/>
      <c r="UH14">
        <f t="shared" si="92"/>
        <v>30</v>
      </c>
      <c r="UI14" t="s">
        <v>4074</v>
      </c>
      <c r="UJ14" t="s">
        <v>4075</v>
      </c>
      <c r="UK14">
        <v>11.60624361038208</v>
      </c>
      <c r="UL14">
        <v>245</v>
      </c>
      <c r="UM14" s="1"/>
      <c r="UN14">
        <f t="shared" si="93"/>
        <v>24</v>
      </c>
      <c r="UO14" t="s">
        <v>2282</v>
      </c>
      <c r="UP14" t="s">
        <v>4076</v>
      </c>
      <c r="UQ14">
        <v>13.777824401855471</v>
      </c>
      <c r="UR14">
        <v>546</v>
      </c>
      <c r="US14" s="2"/>
      <c r="UT14">
        <f t="shared" si="94"/>
        <v>30</v>
      </c>
      <c r="UU14" t="s">
        <v>4077</v>
      </c>
      <c r="UV14" t="s">
        <v>4078</v>
      </c>
      <c r="UW14">
        <v>28.695572137832642</v>
      </c>
      <c r="UX14">
        <v>434</v>
      </c>
      <c r="UY14" s="1"/>
      <c r="UZ14">
        <f t="shared" si="95"/>
        <v>29</v>
      </c>
      <c r="VA14" t="s">
        <v>4079</v>
      </c>
      <c r="VB14" t="s">
        <v>4080</v>
      </c>
      <c r="VC14">
        <v>10.43035840988159</v>
      </c>
      <c r="VD14">
        <v>402</v>
      </c>
      <c r="VE14" s="2"/>
      <c r="VF14">
        <f t="shared" si="96"/>
        <v>34</v>
      </c>
      <c r="VG14" t="s">
        <v>272</v>
      </c>
      <c r="VH14" t="s">
        <v>4081</v>
      </c>
      <c r="VI14">
        <v>15.670234203338619</v>
      </c>
      <c r="VJ14">
        <v>459</v>
      </c>
      <c r="VK14" s="1"/>
      <c r="VL14">
        <f t="shared" si="97"/>
        <v>63</v>
      </c>
      <c r="VM14" t="s">
        <v>4082</v>
      </c>
      <c r="VN14" t="s">
        <v>4083</v>
      </c>
      <c r="VO14">
        <v>36.170408010482788</v>
      </c>
      <c r="VP14">
        <v>510</v>
      </c>
      <c r="VQ14" s="2"/>
      <c r="VR14">
        <f t="shared" si="98"/>
        <v>40</v>
      </c>
      <c r="VS14" t="s">
        <v>4084</v>
      </c>
      <c r="VT14" t="s">
        <v>4085</v>
      </c>
      <c r="VU14">
        <v>11.166194677352911</v>
      </c>
      <c r="VV14">
        <v>302</v>
      </c>
      <c r="VW14" s="1"/>
      <c r="VX14">
        <f t="shared" si="99"/>
        <v>84</v>
      </c>
      <c r="VY14" t="s">
        <v>4086</v>
      </c>
      <c r="VZ14" t="s">
        <v>4087</v>
      </c>
      <c r="WA14">
        <v>29.687151670455929</v>
      </c>
      <c r="WB14">
        <v>539</v>
      </c>
      <c r="WC14" s="2"/>
      <c r="WD14">
        <f t="shared" si="100"/>
        <v>5</v>
      </c>
      <c r="WE14" t="s">
        <v>1901</v>
      </c>
      <c r="WF14" t="s">
        <v>4088</v>
      </c>
      <c r="WG14">
        <v>3.2828269004821782</v>
      </c>
      <c r="WH14">
        <v>481</v>
      </c>
      <c r="WI14" s="1"/>
      <c r="WJ14">
        <f t="shared" si="101"/>
        <v>7</v>
      </c>
      <c r="WK14" t="s">
        <v>3293</v>
      </c>
      <c r="WL14" t="s">
        <v>1102</v>
      </c>
      <c r="WM14">
        <v>3.25627613067627</v>
      </c>
      <c r="WN14">
        <v>499</v>
      </c>
      <c r="WO14" s="4"/>
      <c r="WP14">
        <f t="shared" si="102"/>
        <v>29</v>
      </c>
      <c r="WQ14" t="s">
        <v>4089</v>
      </c>
      <c r="WR14" t="s">
        <v>4090</v>
      </c>
      <c r="WS14">
        <v>20.684799194335941</v>
      </c>
      <c r="WT14">
        <v>485</v>
      </c>
      <c r="WU14" s="3"/>
      <c r="WV14">
        <f t="shared" si="103"/>
        <v>10</v>
      </c>
      <c r="WW14" t="s">
        <v>1102</v>
      </c>
      <c r="WX14" t="s">
        <v>4091</v>
      </c>
      <c r="WY14">
        <v>5.4833426475524902</v>
      </c>
      <c r="WZ14">
        <v>441</v>
      </c>
      <c r="XA14" s="2"/>
      <c r="XB14">
        <f t="shared" si="104"/>
        <v>28</v>
      </c>
      <c r="XC14" t="s">
        <v>4092</v>
      </c>
      <c r="XD14" t="s">
        <v>4093</v>
      </c>
      <c r="XE14">
        <v>28.746489524841309</v>
      </c>
      <c r="XF14">
        <v>444</v>
      </c>
      <c r="XG14" s="5"/>
      <c r="XH14">
        <f t="shared" si="105"/>
        <v>20</v>
      </c>
      <c r="XI14" t="s">
        <v>4094</v>
      </c>
      <c r="XJ14" t="s">
        <v>4095</v>
      </c>
      <c r="XK14">
        <v>4.0393693447113037</v>
      </c>
      <c r="XL14">
        <v>496</v>
      </c>
      <c r="XM14" s="2"/>
      <c r="XN14">
        <f t="shared" si="106"/>
        <v>20</v>
      </c>
      <c r="XO14" t="s">
        <v>4096</v>
      </c>
      <c r="XP14" t="s">
        <v>4097</v>
      </c>
      <c r="XQ14">
        <v>10.646896362304689</v>
      </c>
      <c r="XR14">
        <v>500</v>
      </c>
      <c r="XS14" s="5"/>
      <c r="XT14">
        <f t="shared" si="107"/>
        <v>13</v>
      </c>
      <c r="XU14" t="s">
        <v>4098</v>
      </c>
      <c r="XV14" t="s">
        <v>4099</v>
      </c>
      <c r="XW14">
        <v>3.994680643081665</v>
      </c>
      <c r="XX14">
        <v>417</v>
      </c>
      <c r="XY14" s="2"/>
      <c r="XZ14">
        <f t="shared" si="108"/>
        <v>56</v>
      </c>
      <c r="YA14" t="s">
        <v>843</v>
      </c>
      <c r="YB14" t="s">
        <v>4100</v>
      </c>
      <c r="YC14">
        <v>19.313651323318481</v>
      </c>
      <c r="YD14">
        <v>438</v>
      </c>
      <c r="YE14" s="5"/>
      <c r="YF14">
        <f t="shared" si="109"/>
        <v>26</v>
      </c>
      <c r="YG14" t="s">
        <v>4101</v>
      </c>
      <c r="YH14" t="s">
        <v>4102</v>
      </c>
      <c r="YI14">
        <v>10.74351644515991</v>
      </c>
      <c r="YJ14">
        <v>348</v>
      </c>
      <c r="YK14" s="2"/>
      <c r="YL14">
        <f t="shared" si="110"/>
        <v>27</v>
      </c>
      <c r="YM14" t="s">
        <v>4103</v>
      </c>
      <c r="YN14" t="s">
        <v>4104</v>
      </c>
      <c r="YO14">
        <v>700.53673410415649</v>
      </c>
      <c r="YP14">
        <v>393</v>
      </c>
      <c r="YQ14" s="5"/>
      <c r="YR14">
        <f t="shared" si="111"/>
        <v>30</v>
      </c>
      <c r="YS14" t="s">
        <v>4105</v>
      </c>
      <c r="YT14" t="s">
        <v>4106</v>
      </c>
      <c r="YU14">
        <v>17.004291534423832</v>
      </c>
      <c r="YV14">
        <v>438</v>
      </c>
      <c r="YW14" s="2"/>
      <c r="YX14">
        <f t="shared" si="112"/>
        <v>42</v>
      </c>
      <c r="YY14" t="s">
        <v>24</v>
      </c>
      <c r="YZ14" t="s">
        <v>4107</v>
      </c>
      <c r="ZA14">
        <v>92.016019105911255</v>
      </c>
      <c r="ZB14">
        <v>429</v>
      </c>
      <c r="ZC14" s="5"/>
      <c r="ZD14">
        <f t="shared" si="113"/>
        <v>46</v>
      </c>
      <c r="ZE14" t="s">
        <v>4108</v>
      </c>
      <c r="ZF14" t="s">
        <v>4109</v>
      </c>
      <c r="ZG14">
        <v>18.659417390823361</v>
      </c>
      <c r="ZH14">
        <v>401</v>
      </c>
      <c r="ZI14" s="2"/>
      <c r="ZJ14">
        <f t="shared" si="114"/>
        <v>104</v>
      </c>
      <c r="ZK14" t="s">
        <v>1665</v>
      </c>
      <c r="ZL14" t="s">
        <v>4110</v>
      </c>
      <c r="ZM14">
        <v>195.34419965744021</v>
      </c>
      <c r="ZN14">
        <v>415</v>
      </c>
      <c r="ZO14" s="5"/>
      <c r="ZR14" t="s">
        <v>4111</v>
      </c>
      <c r="ZT14">
        <v>485</v>
      </c>
      <c r="ZV14">
        <f t="shared" si="116"/>
        <v>12</v>
      </c>
      <c r="ZW14" t="s">
        <v>1437</v>
      </c>
      <c r="ZX14" t="s">
        <v>4112</v>
      </c>
      <c r="ZY14">
        <v>36.721824884414673</v>
      </c>
      <c r="ZZ14">
        <v>289</v>
      </c>
      <c r="AAA14" s="5"/>
      <c r="AAB14">
        <f t="shared" si="117"/>
        <v>43</v>
      </c>
      <c r="AAC14" t="s">
        <v>4113</v>
      </c>
      <c r="AAD14" t="s">
        <v>4114</v>
      </c>
      <c r="AAE14">
        <v>19.732878684997559</v>
      </c>
      <c r="AAF14">
        <v>446</v>
      </c>
      <c r="AAG14" s="2"/>
      <c r="AAH14">
        <f t="shared" si="118"/>
        <v>25</v>
      </c>
      <c r="AAI14" t="s">
        <v>4115</v>
      </c>
      <c r="AAJ14" t="s">
        <v>4116</v>
      </c>
      <c r="AAK14">
        <v>287.62269306182861</v>
      </c>
      <c r="AAL14">
        <v>475</v>
      </c>
      <c r="AAM14" s="5"/>
      <c r="AAN14">
        <f t="shared" si="119"/>
        <v>34</v>
      </c>
      <c r="AAO14" t="s">
        <v>4117</v>
      </c>
      <c r="AAP14" t="s">
        <v>4118</v>
      </c>
      <c r="AAQ14">
        <v>10.547709703445429</v>
      </c>
      <c r="AAR14">
        <v>352</v>
      </c>
      <c r="AAS14" s="2"/>
      <c r="AAT14">
        <f t="shared" si="120"/>
        <v>28</v>
      </c>
      <c r="AAU14" t="s">
        <v>4119</v>
      </c>
      <c r="AAV14" t="s">
        <v>4120</v>
      </c>
      <c r="AAW14">
        <v>5.5639841556549072</v>
      </c>
      <c r="AAX14">
        <v>401</v>
      </c>
      <c r="AAY14" s="5"/>
      <c r="AAZ14">
        <f t="shared" si="121"/>
        <v>28</v>
      </c>
      <c r="ABA14" t="s">
        <v>4121</v>
      </c>
      <c r="ABB14" t="s">
        <v>4122</v>
      </c>
      <c r="ABC14">
        <v>12.87711715698242</v>
      </c>
      <c r="ABD14">
        <v>451</v>
      </c>
      <c r="ABE14" s="2"/>
      <c r="ABF14">
        <f t="shared" si="122"/>
        <v>11</v>
      </c>
      <c r="ABG14" t="s">
        <v>4123</v>
      </c>
      <c r="ABH14" t="s">
        <v>4124</v>
      </c>
      <c r="ABI14">
        <v>18.345432996749881</v>
      </c>
      <c r="ABJ14">
        <v>488</v>
      </c>
      <c r="ABK14" s="5"/>
      <c r="ABL14">
        <f t="shared" si="123"/>
        <v>31</v>
      </c>
      <c r="ABM14" t="s">
        <v>835</v>
      </c>
      <c r="ABN14" t="s">
        <v>4125</v>
      </c>
      <c r="ABO14">
        <v>30.16803073883057</v>
      </c>
      <c r="ABP14">
        <v>577</v>
      </c>
      <c r="ABQ14" s="2"/>
      <c r="ABR14">
        <f t="shared" si="124"/>
        <v>24</v>
      </c>
      <c r="ABS14" t="s">
        <v>4126</v>
      </c>
      <c r="ABT14" t="s">
        <v>4127</v>
      </c>
      <c r="ABU14">
        <v>18.400136470794681</v>
      </c>
      <c r="ABV14">
        <v>529</v>
      </c>
      <c r="ABW14" s="5"/>
      <c r="ABX14">
        <f t="shared" si="125"/>
        <v>35</v>
      </c>
      <c r="ABY14" t="s">
        <v>4128</v>
      </c>
      <c r="ABZ14" t="s">
        <v>4129</v>
      </c>
      <c r="ACA14">
        <v>17.256020545959469</v>
      </c>
      <c r="ACB14">
        <v>318</v>
      </c>
      <c r="ACC14" s="2"/>
      <c r="ACD14">
        <f t="shared" si="126"/>
        <v>78</v>
      </c>
      <c r="ACE14" t="s">
        <v>4130</v>
      </c>
      <c r="ACF14" t="s">
        <v>4131</v>
      </c>
      <c r="ACG14">
        <v>41.994760036468513</v>
      </c>
      <c r="ACH14">
        <v>386</v>
      </c>
      <c r="ACI14" s="5"/>
      <c r="ACJ14">
        <f t="shared" si="127"/>
        <v>27</v>
      </c>
      <c r="ACK14" t="s">
        <v>4132</v>
      </c>
      <c r="ACL14" t="s">
        <v>4133</v>
      </c>
      <c r="ACM14">
        <v>14.18424391746521</v>
      </c>
      <c r="ACN14">
        <v>497</v>
      </c>
      <c r="ACO14" s="2"/>
      <c r="ACP14">
        <f t="shared" si="128"/>
        <v>11</v>
      </c>
      <c r="ACQ14" t="s">
        <v>1437</v>
      </c>
      <c r="ACR14" t="s">
        <v>4134</v>
      </c>
      <c r="ACS14">
        <v>28.21357893943787</v>
      </c>
      <c r="ACT14">
        <v>464</v>
      </c>
      <c r="ACU14" s="5"/>
      <c r="ACV14">
        <f t="shared" si="129"/>
        <v>22</v>
      </c>
      <c r="ACW14" t="s">
        <v>2212</v>
      </c>
      <c r="ACX14" t="s">
        <v>4135</v>
      </c>
      <c r="ACY14">
        <v>7.7315137386322021</v>
      </c>
      <c r="ACZ14">
        <v>434</v>
      </c>
      <c r="ADA14" s="2"/>
      <c r="ADB14">
        <f t="shared" si="130"/>
        <v>20</v>
      </c>
      <c r="ADC14" t="s">
        <v>4136</v>
      </c>
      <c r="ADD14" t="s">
        <v>4137</v>
      </c>
      <c r="ADE14">
        <v>15.12739324569702</v>
      </c>
      <c r="ADF14">
        <v>503</v>
      </c>
      <c r="ADG14" s="5"/>
      <c r="ADH14">
        <f t="shared" si="131"/>
        <v>44</v>
      </c>
      <c r="ADI14" t="s">
        <v>4138</v>
      </c>
      <c r="ADJ14" t="s">
        <v>4139</v>
      </c>
      <c r="ADK14">
        <v>9.85970139503479</v>
      </c>
      <c r="ADL14">
        <v>439</v>
      </c>
      <c r="ADM14" s="2"/>
      <c r="ADN14">
        <f t="shared" si="132"/>
        <v>73</v>
      </c>
      <c r="ADO14" t="s">
        <v>4140</v>
      </c>
      <c r="ADP14" t="s">
        <v>4141</v>
      </c>
      <c r="ADQ14">
        <v>21.98042988777161</v>
      </c>
      <c r="ADR14">
        <v>527</v>
      </c>
      <c r="ADS14" s="5"/>
      <c r="ADT14">
        <f t="shared" si="133"/>
        <v>17</v>
      </c>
      <c r="ADU14" t="s">
        <v>276</v>
      </c>
      <c r="ADV14" t="s">
        <v>4142</v>
      </c>
      <c r="ADW14">
        <v>10.29925584793091</v>
      </c>
      <c r="ADX14">
        <v>341</v>
      </c>
      <c r="ADY14" s="2"/>
      <c r="ADZ14">
        <f t="shared" si="134"/>
        <v>16</v>
      </c>
      <c r="AEA14" t="s">
        <v>673</v>
      </c>
      <c r="AEB14" t="s">
        <v>4143</v>
      </c>
      <c r="AEC14">
        <v>11.26269173622131</v>
      </c>
      <c r="AED14">
        <v>337</v>
      </c>
      <c r="AEE14" s="5"/>
      <c r="AEF14">
        <f t="shared" si="135"/>
        <v>36</v>
      </c>
      <c r="AEG14" t="s">
        <v>4144</v>
      </c>
      <c r="AEH14" t="s">
        <v>4145</v>
      </c>
      <c r="AEI14">
        <v>17.960958957672119</v>
      </c>
      <c r="AEJ14">
        <v>380</v>
      </c>
      <c r="AEK14" s="2"/>
      <c r="AEL14">
        <f t="shared" si="136"/>
        <v>30</v>
      </c>
      <c r="AEM14" t="s">
        <v>2390</v>
      </c>
      <c r="AEN14" t="s">
        <v>4146</v>
      </c>
      <c r="AEO14">
        <v>21.78151178359985</v>
      </c>
      <c r="AEP14">
        <v>512</v>
      </c>
      <c r="AEQ14" s="5"/>
      <c r="AER14">
        <f t="shared" si="137"/>
        <v>31</v>
      </c>
      <c r="AES14" t="s">
        <v>4147</v>
      </c>
      <c r="AET14" t="s">
        <v>4148</v>
      </c>
      <c r="AEU14">
        <v>15.75676560401917</v>
      </c>
      <c r="AEV14">
        <v>424</v>
      </c>
      <c r="AEW14" s="2"/>
      <c r="AEX14">
        <f t="shared" si="138"/>
        <v>76</v>
      </c>
      <c r="AEY14" t="s">
        <v>4149</v>
      </c>
      <c r="AEZ14" t="s">
        <v>4150</v>
      </c>
      <c r="AFA14">
        <v>275.87468910217291</v>
      </c>
      <c r="AFB14">
        <v>410</v>
      </c>
      <c r="AFC14" s="5"/>
      <c r="AFD14">
        <f t="shared" si="139"/>
        <v>90</v>
      </c>
      <c r="AFE14" t="s">
        <v>4151</v>
      </c>
      <c r="AFF14" t="s">
        <v>4152</v>
      </c>
      <c r="AFG14">
        <v>23.197558164596561</v>
      </c>
      <c r="AFH14">
        <v>461</v>
      </c>
      <c r="AFI14" s="2"/>
      <c r="AFJ14">
        <f t="shared" si="140"/>
        <v>38</v>
      </c>
      <c r="AFK14" t="s">
        <v>4153</v>
      </c>
      <c r="AFL14" t="s">
        <v>4154</v>
      </c>
      <c r="AFM14">
        <v>12.81753039360046</v>
      </c>
      <c r="AFN14">
        <v>509</v>
      </c>
      <c r="AFO14" s="5"/>
      <c r="AFP14">
        <f t="shared" si="141"/>
        <v>22</v>
      </c>
      <c r="AFQ14" t="s">
        <v>13</v>
      </c>
      <c r="AFR14" t="s">
        <v>4155</v>
      </c>
      <c r="AFS14">
        <v>4.4783627986907959</v>
      </c>
      <c r="AFT14">
        <v>486</v>
      </c>
      <c r="AFU14" s="2"/>
      <c r="AFV14">
        <f t="shared" si="142"/>
        <v>37</v>
      </c>
      <c r="AFW14" t="s">
        <v>4156</v>
      </c>
      <c r="AFX14" t="s">
        <v>4157</v>
      </c>
      <c r="AFY14">
        <v>22.076145172119141</v>
      </c>
      <c r="AFZ14">
        <v>500</v>
      </c>
      <c r="AGA14" s="5"/>
      <c r="AGB14">
        <f t="shared" si="143"/>
        <v>33</v>
      </c>
      <c r="AGC14" t="s">
        <v>28</v>
      </c>
      <c r="AGD14" t="s">
        <v>4158</v>
      </c>
      <c r="AGE14">
        <v>9.0035474300384521</v>
      </c>
      <c r="AGF14">
        <v>465</v>
      </c>
      <c r="AGG14" s="2"/>
      <c r="AGH14">
        <f t="shared" si="144"/>
        <v>26</v>
      </c>
      <c r="AGI14" t="s">
        <v>4159</v>
      </c>
      <c r="AGJ14" t="s">
        <v>4160</v>
      </c>
      <c r="AGK14">
        <v>14.01441717147827</v>
      </c>
      <c r="AGL14">
        <v>381</v>
      </c>
      <c r="AGM14" s="5"/>
      <c r="AGN14">
        <f t="shared" si="145"/>
        <v>16</v>
      </c>
      <c r="AGO14" t="s">
        <v>4161</v>
      </c>
      <c r="AGP14" t="s">
        <v>4162</v>
      </c>
      <c r="AGQ14">
        <v>5.7428419589996338</v>
      </c>
      <c r="AGR14">
        <v>458</v>
      </c>
      <c r="AGS14" s="2"/>
      <c r="AGT14">
        <f t="shared" si="146"/>
        <v>9</v>
      </c>
      <c r="AGU14" t="s">
        <v>3936</v>
      </c>
      <c r="AGV14" t="s">
        <v>4163</v>
      </c>
      <c r="AGW14">
        <v>30.48684740066528</v>
      </c>
      <c r="AGX14">
        <v>318</v>
      </c>
      <c r="AGY14" s="5"/>
      <c r="AGZ14">
        <f t="shared" si="147"/>
        <v>29</v>
      </c>
      <c r="AHA14" t="s">
        <v>4164</v>
      </c>
      <c r="AHB14" t="s">
        <v>4165</v>
      </c>
      <c r="AHC14">
        <v>150.50918841362</v>
      </c>
      <c r="AHD14">
        <v>405</v>
      </c>
      <c r="AHE14" s="2"/>
      <c r="AHF14">
        <f t="shared" si="148"/>
        <v>40</v>
      </c>
      <c r="AHG14" t="s">
        <v>2762</v>
      </c>
      <c r="AHH14" t="s">
        <v>4166</v>
      </c>
      <c r="AHI14">
        <v>16.472356557846069</v>
      </c>
      <c r="AHJ14">
        <v>357</v>
      </c>
      <c r="AHK14" s="5"/>
      <c r="AHL14">
        <f t="shared" si="149"/>
        <v>36</v>
      </c>
      <c r="AHM14" t="s">
        <v>4167</v>
      </c>
      <c r="AHN14" t="s">
        <v>4168</v>
      </c>
      <c r="AHO14">
        <v>17.18880558013916</v>
      </c>
      <c r="AHP14">
        <v>414</v>
      </c>
      <c r="AHQ14" s="2"/>
      <c r="AHR14">
        <f t="shared" si="150"/>
        <v>16</v>
      </c>
      <c r="AHS14" t="s">
        <v>4169</v>
      </c>
      <c r="AHT14" t="s">
        <v>4170</v>
      </c>
      <c r="AHU14">
        <v>22.281327486038212</v>
      </c>
      <c r="AHV14">
        <v>403</v>
      </c>
      <c r="AHW14" s="5"/>
      <c r="AHX14">
        <f t="shared" si="151"/>
        <v>23</v>
      </c>
      <c r="AHY14" t="s">
        <v>4171</v>
      </c>
      <c r="AHZ14" t="s">
        <v>4172</v>
      </c>
      <c r="AIA14">
        <v>10.75080442428589</v>
      </c>
      <c r="AIB14">
        <v>312</v>
      </c>
      <c r="AIC14" s="2"/>
      <c r="AID14">
        <f t="shared" si="152"/>
        <v>81</v>
      </c>
      <c r="AIE14" t="s">
        <v>4173</v>
      </c>
      <c r="AIF14" t="s">
        <v>4174</v>
      </c>
      <c r="AIG14">
        <v>43.17052173614502</v>
      </c>
      <c r="AIH14">
        <v>547</v>
      </c>
      <c r="AII14" s="5"/>
      <c r="AIL14" t="s">
        <v>4175</v>
      </c>
      <c r="AIN14">
        <v>397</v>
      </c>
      <c r="AIP14">
        <f t="shared" si="154"/>
        <v>72</v>
      </c>
      <c r="AIQ14" t="s">
        <v>4176</v>
      </c>
      <c r="AIR14" t="s">
        <v>4177</v>
      </c>
      <c r="AIS14">
        <v>14.51783275604248</v>
      </c>
      <c r="AIT14">
        <v>541</v>
      </c>
      <c r="AIU14" s="5"/>
      <c r="AIV14">
        <f t="shared" si="155"/>
        <v>28</v>
      </c>
      <c r="AIW14" t="s">
        <v>4178</v>
      </c>
      <c r="AIX14" t="s">
        <v>4179</v>
      </c>
      <c r="AIY14">
        <v>19.07471132278442</v>
      </c>
      <c r="AIZ14">
        <v>399</v>
      </c>
      <c r="AJA14" s="2"/>
      <c r="AJB14">
        <f t="shared" si="156"/>
        <v>15</v>
      </c>
      <c r="AJC14" t="s">
        <v>4180</v>
      </c>
      <c r="AJD14" t="s">
        <v>4181</v>
      </c>
      <c r="AJE14">
        <v>13.38605856895447</v>
      </c>
      <c r="AJF14">
        <v>325</v>
      </c>
      <c r="AJG14" s="5"/>
      <c r="AJH14">
        <f t="shared" si="157"/>
        <v>34</v>
      </c>
      <c r="AJI14" t="s">
        <v>4182</v>
      </c>
      <c r="AJJ14" t="s">
        <v>4183</v>
      </c>
      <c r="AJK14">
        <v>36.263871908187873</v>
      </c>
      <c r="AJL14">
        <v>408</v>
      </c>
      <c r="AJM14" s="2"/>
      <c r="AJN14">
        <f t="shared" si="158"/>
        <v>33</v>
      </c>
      <c r="AJO14" t="s">
        <v>4184</v>
      </c>
      <c r="AJP14" t="s">
        <v>4185</v>
      </c>
      <c r="AJQ14">
        <v>19.767238140106201</v>
      </c>
      <c r="AJR14">
        <v>512</v>
      </c>
      <c r="AJS14" s="5"/>
      <c r="AJT14">
        <f t="shared" si="159"/>
        <v>10</v>
      </c>
      <c r="AJU14" t="s">
        <v>4057</v>
      </c>
      <c r="AJV14" t="s">
        <v>3749</v>
      </c>
      <c r="AJW14">
        <v>3.5285663604736328</v>
      </c>
      <c r="AJX14">
        <v>583</v>
      </c>
      <c r="AJY14" s="2"/>
      <c r="AJZ14">
        <f t="shared" si="160"/>
        <v>26</v>
      </c>
      <c r="AKA14" t="s">
        <v>4186</v>
      </c>
      <c r="AKB14" t="s">
        <v>4187</v>
      </c>
      <c r="AKC14">
        <v>10.44447183609009</v>
      </c>
      <c r="AKD14">
        <v>474</v>
      </c>
      <c r="AKE14" s="5"/>
      <c r="AKF14">
        <f t="shared" si="161"/>
        <v>24</v>
      </c>
      <c r="AKG14" t="s">
        <v>4188</v>
      </c>
      <c r="AKH14" t="s">
        <v>4189</v>
      </c>
      <c r="AKI14">
        <v>3.9736804962158199</v>
      </c>
      <c r="AKJ14">
        <v>589</v>
      </c>
      <c r="AKK14" s="2"/>
      <c r="AKL14">
        <f t="shared" si="162"/>
        <v>16</v>
      </c>
      <c r="AKM14" t="s">
        <v>4190</v>
      </c>
      <c r="AKN14" t="s">
        <v>4191</v>
      </c>
      <c r="AKO14">
        <v>6.8960092067718506</v>
      </c>
      <c r="AKP14">
        <v>437</v>
      </c>
      <c r="AKQ14" s="5"/>
      <c r="AKR14">
        <f t="shared" si="163"/>
        <v>9</v>
      </c>
      <c r="AKS14" t="s">
        <v>1586</v>
      </c>
      <c r="AKT14" t="s">
        <v>4192</v>
      </c>
      <c r="AKU14">
        <v>2.9623351097106929</v>
      </c>
      <c r="AKV14">
        <v>466</v>
      </c>
      <c r="AKW14" s="2"/>
      <c r="AKX14">
        <f t="shared" si="164"/>
        <v>25</v>
      </c>
      <c r="AKY14" t="s">
        <v>4193</v>
      </c>
      <c r="AKZ14" t="s">
        <v>4194</v>
      </c>
      <c r="ALA14">
        <v>16.867563724517819</v>
      </c>
      <c r="ALB14">
        <v>499</v>
      </c>
      <c r="ALC14" s="5"/>
      <c r="ALD14">
        <f t="shared" si="165"/>
        <v>23</v>
      </c>
      <c r="ALE14" t="s">
        <v>4195</v>
      </c>
      <c r="ALF14" t="s">
        <v>4196</v>
      </c>
      <c r="ALG14">
        <v>11.92300724983215</v>
      </c>
      <c r="ALH14">
        <v>380</v>
      </c>
      <c r="ALI14" s="2"/>
      <c r="ALJ14">
        <f t="shared" si="166"/>
        <v>125</v>
      </c>
      <c r="ALK14" t="s">
        <v>4197</v>
      </c>
      <c r="ALL14" t="s">
        <v>4198</v>
      </c>
      <c r="ALM14">
        <v>40.847851037979133</v>
      </c>
      <c r="ALN14">
        <v>464</v>
      </c>
      <c r="ALO14" s="5"/>
      <c r="ALP14">
        <f t="shared" si="167"/>
        <v>38</v>
      </c>
      <c r="ALQ14" t="s">
        <v>4199</v>
      </c>
      <c r="ALR14" t="s">
        <v>4200</v>
      </c>
      <c r="ALS14">
        <v>10.339879035949711</v>
      </c>
      <c r="ALT14">
        <v>299</v>
      </c>
      <c r="ALU14" s="2"/>
      <c r="ALV14">
        <f t="shared" si="168"/>
        <v>13</v>
      </c>
      <c r="ALW14" t="s">
        <v>278</v>
      </c>
      <c r="ALX14" t="s">
        <v>4201</v>
      </c>
      <c r="ALY14">
        <v>23.420019388198849</v>
      </c>
      <c r="ALZ14">
        <v>385</v>
      </c>
      <c r="AMA14" s="5"/>
      <c r="AMB14">
        <f t="shared" si="169"/>
        <v>16</v>
      </c>
      <c r="AMC14" t="s">
        <v>4202</v>
      </c>
      <c r="AMD14" t="s">
        <v>4203</v>
      </c>
      <c r="AME14">
        <v>10.10800313949585</v>
      </c>
      <c r="AMF14">
        <v>419</v>
      </c>
      <c r="AMG14" s="2"/>
      <c r="AMH14">
        <f t="shared" si="170"/>
        <v>20</v>
      </c>
      <c r="AMI14" t="s">
        <v>4204</v>
      </c>
      <c r="AMJ14" t="s">
        <v>4205</v>
      </c>
      <c r="AMK14">
        <v>6.5538225173950204</v>
      </c>
      <c r="AML14">
        <v>530</v>
      </c>
      <c r="AMM14" s="5"/>
      <c r="AMN14">
        <f t="shared" si="171"/>
        <v>28</v>
      </c>
      <c r="AMO14" t="s">
        <v>4206</v>
      </c>
      <c r="AMP14" t="s">
        <v>4207</v>
      </c>
      <c r="AMQ14">
        <v>12.00439286231995</v>
      </c>
      <c r="AMR14">
        <v>523</v>
      </c>
      <c r="AMS14" s="2"/>
      <c r="AMT14">
        <f t="shared" si="172"/>
        <v>26</v>
      </c>
      <c r="AMU14" t="s">
        <v>4208</v>
      </c>
      <c r="AMV14" t="s">
        <v>4209</v>
      </c>
      <c r="AMW14">
        <v>5.5079138278961182</v>
      </c>
      <c r="AMX14">
        <v>590</v>
      </c>
      <c r="AMY14" s="5"/>
      <c r="AMZ14">
        <f t="shared" si="173"/>
        <v>45</v>
      </c>
      <c r="ANA14" t="s">
        <v>728</v>
      </c>
      <c r="ANB14" t="s">
        <v>4210</v>
      </c>
      <c r="ANC14">
        <v>5.9565205574035636</v>
      </c>
      <c r="AND14">
        <v>441</v>
      </c>
      <c r="ANE14" s="2"/>
      <c r="ANF14">
        <f t="shared" si="174"/>
        <v>20</v>
      </c>
      <c r="ANG14" t="s">
        <v>4211</v>
      </c>
      <c r="ANH14" t="s">
        <v>4212</v>
      </c>
      <c r="ANI14">
        <v>9.6565179824829102</v>
      </c>
      <c r="ANJ14">
        <v>534</v>
      </c>
      <c r="ANK14" s="5"/>
      <c r="ANL14">
        <f t="shared" si="175"/>
        <v>25</v>
      </c>
      <c r="ANM14" t="s">
        <v>4213</v>
      </c>
      <c r="ANN14" t="s">
        <v>4214</v>
      </c>
      <c r="ANO14">
        <v>18.14977931976318</v>
      </c>
      <c r="ANP14">
        <v>364</v>
      </c>
      <c r="ANQ14" s="2"/>
      <c r="ANR14">
        <f t="shared" si="176"/>
        <v>15</v>
      </c>
      <c r="ANS14" t="s">
        <v>4215</v>
      </c>
      <c r="ANT14" t="s">
        <v>4216</v>
      </c>
      <c r="ANU14">
        <v>11.641110897064211</v>
      </c>
      <c r="ANV14">
        <v>399</v>
      </c>
      <c r="ANW14" s="5"/>
      <c r="ANX14">
        <f t="shared" si="177"/>
        <v>17</v>
      </c>
      <c r="ANY14" t="s">
        <v>728</v>
      </c>
      <c r="ANZ14" t="s">
        <v>4217</v>
      </c>
      <c r="AOA14">
        <v>11.83916616439819</v>
      </c>
      <c r="AOB14">
        <v>440</v>
      </c>
      <c r="AOC14" s="2"/>
      <c r="AOD14">
        <f t="shared" si="178"/>
        <v>33</v>
      </c>
      <c r="AOE14" t="s">
        <v>4218</v>
      </c>
      <c r="AOF14" t="s">
        <v>4219</v>
      </c>
      <c r="AOG14">
        <v>8.8648960590362549</v>
      </c>
      <c r="AOH14">
        <v>518</v>
      </c>
      <c r="AOI14" s="5"/>
      <c r="AOJ14">
        <f t="shared" si="179"/>
        <v>13</v>
      </c>
      <c r="AOK14" t="s">
        <v>254</v>
      </c>
      <c r="AOL14" t="s">
        <v>4220</v>
      </c>
      <c r="AOM14">
        <v>3.993226051330566</v>
      </c>
      <c r="AON14">
        <v>440</v>
      </c>
      <c r="AOO14" s="2"/>
      <c r="AOP14">
        <f t="shared" si="180"/>
        <v>39</v>
      </c>
      <c r="AOQ14" t="s">
        <v>4221</v>
      </c>
      <c r="AOR14" t="s">
        <v>4222</v>
      </c>
      <c r="AOS14">
        <v>11.95169687271118</v>
      </c>
      <c r="AOT14">
        <v>660</v>
      </c>
      <c r="AOU14" s="5"/>
      <c r="AOV14">
        <f t="shared" si="181"/>
        <v>13</v>
      </c>
      <c r="AOW14" t="s">
        <v>2732</v>
      </c>
      <c r="AOX14" t="s">
        <v>4223</v>
      </c>
      <c r="AOY14">
        <v>4.7291464805603027</v>
      </c>
      <c r="AOZ14">
        <v>386</v>
      </c>
      <c r="APA14" s="2"/>
      <c r="APB14">
        <f t="shared" si="182"/>
        <v>29</v>
      </c>
      <c r="APC14" t="s">
        <v>4224</v>
      </c>
      <c r="APD14" t="s">
        <v>4225</v>
      </c>
      <c r="APE14">
        <v>11.15896964073181</v>
      </c>
      <c r="APF14">
        <v>502</v>
      </c>
      <c r="APG14" s="5"/>
      <c r="APH14">
        <f t="shared" si="183"/>
        <v>20</v>
      </c>
      <c r="API14" t="s">
        <v>4226</v>
      </c>
      <c r="APJ14" t="s">
        <v>4227</v>
      </c>
      <c r="APK14">
        <v>8.6591823101043701</v>
      </c>
      <c r="APL14">
        <v>481</v>
      </c>
      <c r="APM14" s="2"/>
      <c r="APN14">
        <f t="shared" si="184"/>
        <v>19</v>
      </c>
      <c r="APO14" t="s">
        <v>4228</v>
      </c>
      <c r="APP14" t="s">
        <v>4229</v>
      </c>
      <c r="APQ14">
        <v>8.0109531879425049</v>
      </c>
      <c r="APR14">
        <v>403</v>
      </c>
      <c r="APS14" s="5"/>
      <c r="APT14">
        <f t="shared" si="185"/>
        <v>23</v>
      </c>
      <c r="APU14" t="s">
        <v>4230</v>
      </c>
      <c r="APV14" t="s">
        <v>4231</v>
      </c>
      <c r="APW14">
        <v>9.1484780311584473</v>
      </c>
      <c r="APX14">
        <v>504</v>
      </c>
      <c r="APY14" s="2"/>
      <c r="APZ14">
        <f t="shared" si="186"/>
        <v>79</v>
      </c>
      <c r="AQA14" t="s">
        <v>4232</v>
      </c>
      <c r="AQB14" t="s">
        <v>4233</v>
      </c>
      <c r="AQC14">
        <v>294.6009669303894</v>
      </c>
      <c r="AQD14">
        <v>549</v>
      </c>
      <c r="AQE14" s="5"/>
      <c r="AQH14" t="s">
        <v>4234</v>
      </c>
      <c r="AQJ14">
        <v>487</v>
      </c>
      <c r="AQL14">
        <f t="shared" si="188"/>
        <v>28</v>
      </c>
      <c r="AQM14" t="s">
        <v>98</v>
      </c>
      <c r="AQN14" t="s">
        <v>4235</v>
      </c>
      <c r="AQO14">
        <v>12.10359621047974</v>
      </c>
      <c r="AQP14">
        <v>492</v>
      </c>
      <c r="AQQ14" s="5"/>
      <c r="AQR14">
        <f t="shared" si="189"/>
        <v>16</v>
      </c>
      <c r="AQS14" t="s">
        <v>4236</v>
      </c>
      <c r="AQT14" t="s">
        <v>4237</v>
      </c>
      <c r="AQU14">
        <v>4.1481583118438721</v>
      </c>
      <c r="AQV14">
        <v>533</v>
      </c>
      <c r="AQW14" s="2"/>
      <c r="AQX14">
        <f t="shared" si="190"/>
        <v>51</v>
      </c>
      <c r="AQY14" t="s">
        <v>4238</v>
      </c>
      <c r="AQZ14" t="s">
        <v>4239</v>
      </c>
      <c r="ARA14">
        <v>32.168470621109009</v>
      </c>
      <c r="ARB14">
        <v>454</v>
      </c>
      <c r="ARC14" s="5"/>
      <c r="ARD14">
        <f t="shared" si="191"/>
        <v>48</v>
      </c>
      <c r="ARE14" t="s">
        <v>4240</v>
      </c>
      <c r="ARF14" t="s">
        <v>4241</v>
      </c>
      <c r="ARG14">
        <v>4.5981361865997306</v>
      </c>
      <c r="ARH14">
        <v>480</v>
      </c>
      <c r="ARI14" s="2"/>
      <c r="ARJ14">
        <f t="shared" si="192"/>
        <v>22</v>
      </c>
      <c r="ARK14" t="s">
        <v>4242</v>
      </c>
      <c r="ARL14" t="s">
        <v>4243</v>
      </c>
      <c r="ARM14">
        <v>22.23561787605286</v>
      </c>
      <c r="ARN14">
        <v>357</v>
      </c>
      <c r="ARO14" s="5"/>
      <c r="ARP14">
        <f t="shared" si="193"/>
        <v>26</v>
      </c>
      <c r="ARQ14" t="s">
        <v>4244</v>
      </c>
      <c r="ARR14" t="s">
        <v>4245</v>
      </c>
      <c r="ARS14">
        <v>23.982544183731079</v>
      </c>
      <c r="ART14">
        <v>387</v>
      </c>
      <c r="ARU14" s="2"/>
      <c r="ARV14">
        <f t="shared" si="194"/>
        <v>14</v>
      </c>
      <c r="ARW14" t="s">
        <v>4246</v>
      </c>
      <c r="ARX14" t="s">
        <v>4247</v>
      </c>
      <c r="ARY14">
        <v>5.5372979640960693</v>
      </c>
      <c r="ARZ14">
        <v>589</v>
      </c>
      <c r="ASA14" s="5"/>
      <c r="ASB14">
        <f t="shared" si="195"/>
        <v>32</v>
      </c>
      <c r="ASC14" t="s">
        <v>1387</v>
      </c>
      <c r="ASD14" t="s">
        <v>4248</v>
      </c>
      <c r="ASE14">
        <v>6.3602488040924072</v>
      </c>
      <c r="ASF14">
        <v>438</v>
      </c>
      <c r="ASG14" s="2"/>
      <c r="ASH14">
        <f t="shared" si="196"/>
        <v>60</v>
      </c>
      <c r="ASI14" t="s">
        <v>4249</v>
      </c>
      <c r="ASJ14" t="s">
        <v>4250</v>
      </c>
      <c r="ASK14">
        <v>131.4146234989166</v>
      </c>
      <c r="ASL14">
        <v>454</v>
      </c>
      <c r="ASM14" s="5"/>
      <c r="ASN14">
        <f t="shared" si="197"/>
        <v>27</v>
      </c>
      <c r="ASO14" t="s">
        <v>1673</v>
      </c>
      <c r="ASP14" t="s">
        <v>4251</v>
      </c>
      <c r="ASQ14">
        <v>6.0465786457061768</v>
      </c>
      <c r="ASR14">
        <v>352</v>
      </c>
      <c r="ASS14" s="2"/>
      <c r="AST14">
        <f t="shared" si="198"/>
        <v>36</v>
      </c>
      <c r="ASU14" t="s">
        <v>312</v>
      </c>
      <c r="ASV14" t="s">
        <v>4252</v>
      </c>
      <c r="ASW14">
        <v>15.61587166786194</v>
      </c>
      <c r="ASX14">
        <v>359</v>
      </c>
      <c r="ASY14" s="5"/>
      <c r="ASZ14">
        <f t="shared" si="199"/>
        <v>32</v>
      </c>
      <c r="ATA14" t="s">
        <v>4253</v>
      </c>
      <c r="ATB14" t="s">
        <v>4254</v>
      </c>
      <c r="ATC14">
        <v>31.33459901809692</v>
      </c>
      <c r="ATD14">
        <v>321</v>
      </c>
      <c r="ATE14" s="2"/>
      <c r="ATF14">
        <f t="shared" si="200"/>
        <v>27</v>
      </c>
      <c r="ATG14" t="s">
        <v>4255</v>
      </c>
      <c r="ATH14" t="s">
        <v>4256</v>
      </c>
      <c r="ATI14">
        <v>25.179038763046261</v>
      </c>
      <c r="ATJ14">
        <v>464</v>
      </c>
      <c r="ATK14" s="5"/>
      <c r="ATL14">
        <f t="shared" si="201"/>
        <v>0</v>
      </c>
      <c r="ATN14" t="s">
        <v>4257</v>
      </c>
      <c r="ATO14">
        <v>3.083903312683105</v>
      </c>
      <c r="ATP14">
        <v>486</v>
      </c>
      <c r="ATQ14" s="2"/>
      <c r="ATR14">
        <f t="shared" si="202"/>
        <v>6</v>
      </c>
      <c r="ATS14" t="s">
        <v>1722</v>
      </c>
      <c r="ATT14" t="s">
        <v>4258</v>
      </c>
      <c r="ATU14">
        <v>9.2473244667053223</v>
      </c>
      <c r="ATV14">
        <v>383</v>
      </c>
      <c r="ATW14" s="5"/>
      <c r="ATX14">
        <f t="shared" si="203"/>
        <v>18</v>
      </c>
      <c r="ATY14" t="s">
        <v>1786</v>
      </c>
      <c r="ATZ14" t="s">
        <v>354</v>
      </c>
      <c r="AUA14">
        <v>4.0881743431091309</v>
      </c>
      <c r="AUB14">
        <v>522</v>
      </c>
      <c r="AUC14" s="2"/>
    </row>
    <row r="15" spans="2:1225" x14ac:dyDescent="0.25">
      <c r="B15">
        <f t="shared" si="0"/>
        <v>24</v>
      </c>
      <c r="C15" t="s">
        <v>4259</v>
      </c>
      <c r="D15" t="s">
        <v>4260</v>
      </c>
      <c r="E15">
        <v>15.40277147293091</v>
      </c>
      <c r="F15">
        <v>286</v>
      </c>
      <c r="G15" s="1"/>
      <c r="H15">
        <f t="shared" si="1"/>
        <v>58</v>
      </c>
      <c r="I15" t="s">
        <v>4261</v>
      </c>
      <c r="J15" t="s">
        <v>4262</v>
      </c>
      <c r="K15">
        <v>26.683941602706909</v>
      </c>
      <c r="L15">
        <v>577</v>
      </c>
      <c r="M15" s="2"/>
      <c r="N15">
        <f t="shared" si="2"/>
        <v>25</v>
      </c>
      <c r="O15" t="s">
        <v>4263</v>
      </c>
      <c r="P15" t="s">
        <v>4264</v>
      </c>
      <c r="Q15">
        <v>7.9641568660736084</v>
      </c>
      <c r="R15">
        <v>484</v>
      </c>
      <c r="S15" s="1"/>
      <c r="T15">
        <f t="shared" si="3"/>
        <v>10</v>
      </c>
      <c r="U15" t="s">
        <v>709</v>
      </c>
      <c r="V15" t="s">
        <v>4265</v>
      </c>
      <c r="W15">
        <v>3.8197784423828121</v>
      </c>
      <c r="X15">
        <v>599</v>
      </c>
      <c r="Y15" s="2"/>
      <c r="Z15">
        <f t="shared" si="4"/>
        <v>29</v>
      </c>
      <c r="AA15" t="s">
        <v>4266</v>
      </c>
      <c r="AB15" t="s">
        <v>4267</v>
      </c>
      <c r="AC15">
        <v>66.139599561691284</v>
      </c>
      <c r="AD15">
        <v>374</v>
      </c>
      <c r="AE15" s="1"/>
      <c r="AF15">
        <f t="shared" si="5"/>
        <v>30</v>
      </c>
      <c r="AG15" t="s">
        <v>4268</v>
      </c>
      <c r="AH15" t="s">
        <v>4269</v>
      </c>
      <c r="AI15">
        <v>12.281103849411011</v>
      </c>
      <c r="AJ15">
        <v>452</v>
      </c>
      <c r="AK15" s="2"/>
      <c r="AL15">
        <f t="shared" si="6"/>
        <v>20</v>
      </c>
      <c r="AM15" t="s">
        <v>4270</v>
      </c>
      <c r="AN15" t="s">
        <v>2549</v>
      </c>
      <c r="AO15">
        <v>3.390405416488647</v>
      </c>
      <c r="AP15">
        <v>444</v>
      </c>
      <c r="AQ15" s="1"/>
      <c r="AT15" t="s">
        <v>4257</v>
      </c>
      <c r="AV15">
        <v>568</v>
      </c>
      <c r="AX15">
        <f t="shared" si="8"/>
        <v>19</v>
      </c>
      <c r="AY15" t="s">
        <v>4271</v>
      </c>
      <c r="AZ15" t="s">
        <v>4272</v>
      </c>
      <c r="BA15">
        <v>11.68853759765625</v>
      </c>
      <c r="BB15">
        <v>389</v>
      </c>
      <c r="BC15" s="1"/>
      <c r="BD15">
        <f t="shared" si="9"/>
        <v>56</v>
      </c>
      <c r="BE15" t="s">
        <v>4273</v>
      </c>
      <c r="BF15" t="s">
        <v>4274</v>
      </c>
      <c r="BG15">
        <v>27.385980367660519</v>
      </c>
      <c r="BH15">
        <v>518</v>
      </c>
      <c r="BI15" s="2"/>
      <c r="BJ15">
        <f t="shared" si="10"/>
        <v>11</v>
      </c>
      <c r="BK15" t="s">
        <v>4275</v>
      </c>
      <c r="BL15" t="s">
        <v>4276</v>
      </c>
      <c r="BM15">
        <v>4.0023717880249023</v>
      </c>
      <c r="BN15">
        <v>413</v>
      </c>
      <c r="BO15" s="1"/>
      <c r="BP15">
        <f t="shared" si="11"/>
        <v>6</v>
      </c>
      <c r="BQ15" t="s">
        <v>232</v>
      </c>
      <c r="BR15" t="s">
        <v>4277</v>
      </c>
      <c r="BS15">
        <v>3.1937367916107182</v>
      </c>
      <c r="BT15">
        <v>514</v>
      </c>
      <c r="BU15" s="2"/>
      <c r="BV15">
        <f t="shared" si="12"/>
        <v>25</v>
      </c>
      <c r="BW15" t="s">
        <v>4278</v>
      </c>
      <c r="BX15" t="s">
        <v>232</v>
      </c>
      <c r="BY15">
        <v>3.0482079982757568</v>
      </c>
      <c r="BZ15">
        <v>638</v>
      </c>
      <c r="CA15" s="1"/>
      <c r="CD15" t="s">
        <v>4279</v>
      </c>
      <c r="CF15">
        <v>424</v>
      </c>
      <c r="CT15">
        <f t="shared" si="16"/>
        <v>15</v>
      </c>
      <c r="CU15" t="s">
        <v>1369</v>
      </c>
      <c r="CV15" t="s">
        <v>4280</v>
      </c>
      <c r="CW15">
        <v>8.8498063087463379</v>
      </c>
      <c r="CX15">
        <v>402</v>
      </c>
      <c r="CY15" s="1"/>
      <c r="CZ15">
        <f t="shared" si="17"/>
        <v>14</v>
      </c>
      <c r="DA15" t="s">
        <v>1052</v>
      </c>
      <c r="DB15" t="s">
        <v>4281</v>
      </c>
      <c r="DC15">
        <v>3.943709135055542</v>
      </c>
      <c r="DD15">
        <v>464</v>
      </c>
      <c r="DE15" s="2"/>
      <c r="DF15">
        <f t="shared" si="18"/>
        <v>30</v>
      </c>
      <c r="DG15" t="s">
        <v>4282</v>
      </c>
      <c r="DH15" t="s">
        <v>4283</v>
      </c>
      <c r="DI15">
        <v>9.0013530254364014</v>
      </c>
      <c r="DJ15">
        <v>555</v>
      </c>
      <c r="DK15" s="1"/>
      <c r="DL15">
        <f t="shared" si="19"/>
        <v>19</v>
      </c>
      <c r="DM15" t="s">
        <v>4284</v>
      </c>
      <c r="DN15" t="s">
        <v>4285</v>
      </c>
      <c r="DO15">
        <v>6.2894065380096444</v>
      </c>
      <c r="DP15">
        <v>406</v>
      </c>
      <c r="DQ15" s="2"/>
      <c r="DR15">
        <f t="shared" si="20"/>
        <v>28</v>
      </c>
      <c r="DS15" t="s">
        <v>4286</v>
      </c>
      <c r="DT15" t="s">
        <v>4287</v>
      </c>
      <c r="DU15">
        <v>22.595082759857181</v>
      </c>
      <c r="DV15">
        <v>504</v>
      </c>
      <c r="DW15" s="1"/>
      <c r="DX15">
        <f t="shared" si="21"/>
        <v>67</v>
      </c>
      <c r="DY15" t="s">
        <v>4288</v>
      </c>
      <c r="DZ15" t="s">
        <v>4289</v>
      </c>
      <c r="EA15">
        <v>226.29701209068301</v>
      </c>
      <c r="EB15">
        <v>499</v>
      </c>
      <c r="EC15" s="2"/>
      <c r="EF15" t="s">
        <v>4290</v>
      </c>
      <c r="EH15">
        <v>347</v>
      </c>
      <c r="EN15">
        <v>550</v>
      </c>
      <c r="EP15">
        <f t="shared" si="24"/>
        <v>21</v>
      </c>
      <c r="EQ15" t="s">
        <v>2361</v>
      </c>
      <c r="ER15" t="s">
        <v>4291</v>
      </c>
      <c r="ES15">
        <v>11.915029525756839</v>
      </c>
      <c r="ET15">
        <v>366</v>
      </c>
      <c r="EU15" s="1"/>
      <c r="EV15">
        <f t="shared" si="25"/>
        <v>14</v>
      </c>
      <c r="EW15" t="s">
        <v>3328</v>
      </c>
      <c r="EX15" t="s">
        <v>4292</v>
      </c>
      <c r="EY15">
        <v>4.5791256427764893</v>
      </c>
      <c r="EZ15">
        <v>484</v>
      </c>
      <c r="FA15" s="2"/>
      <c r="FB15">
        <f t="shared" si="26"/>
        <v>9</v>
      </c>
      <c r="FC15" t="s">
        <v>4211</v>
      </c>
      <c r="FD15" t="s">
        <v>4293</v>
      </c>
      <c r="FE15">
        <v>3.5768756866455078</v>
      </c>
      <c r="FF15">
        <v>512</v>
      </c>
      <c r="FG15" s="1"/>
      <c r="FH15">
        <f t="shared" si="27"/>
        <v>15</v>
      </c>
      <c r="FI15" t="s">
        <v>3180</v>
      </c>
      <c r="FJ15" t="s">
        <v>4294</v>
      </c>
      <c r="FK15">
        <v>4.6134300231933594</v>
      </c>
      <c r="FL15">
        <v>396</v>
      </c>
      <c r="FM15" s="2"/>
      <c r="FN15">
        <f t="shared" si="28"/>
        <v>31</v>
      </c>
      <c r="FO15" t="s">
        <v>4054</v>
      </c>
      <c r="FP15" t="s">
        <v>4295</v>
      </c>
      <c r="FQ15">
        <v>7.9149229526519784</v>
      </c>
      <c r="FR15">
        <v>578</v>
      </c>
      <c r="FS15" s="1"/>
      <c r="FT15">
        <f t="shared" si="29"/>
        <v>14</v>
      </c>
      <c r="FU15" t="s">
        <v>4296</v>
      </c>
      <c r="FV15" t="s">
        <v>4297</v>
      </c>
      <c r="FW15">
        <v>5.6016836166381836</v>
      </c>
      <c r="FX15">
        <v>494</v>
      </c>
      <c r="FY15" s="2"/>
      <c r="FZ15">
        <f t="shared" si="30"/>
        <v>56</v>
      </c>
      <c r="GA15" t="s">
        <v>843</v>
      </c>
      <c r="GB15" t="s">
        <v>4298</v>
      </c>
      <c r="GC15">
        <v>12.310094594955441</v>
      </c>
      <c r="GD15">
        <v>513</v>
      </c>
      <c r="GE15" s="1"/>
      <c r="GF15">
        <f t="shared" si="31"/>
        <v>19</v>
      </c>
      <c r="GG15" t="s">
        <v>97</v>
      </c>
      <c r="GH15" t="s">
        <v>4299</v>
      </c>
      <c r="GI15">
        <v>4.0725047588348389</v>
      </c>
      <c r="GJ15">
        <v>469</v>
      </c>
      <c r="GK15" s="2"/>
      <c r="GL15">
        <f t="shared" si="32"/>
        <v>11</v>
      </c>
      <c r="GM15" t="s">
        <v>4300</v>
      </c>
      <c r="GN15" t="s">
        <v>4301</v>
      </c>
      <c r="GO15">
        <v>3.5287847518920898</v>
      </c>
      <c r="GP15">
        <v>452</v>
      </c>
      <c r="GQ15" s="1"/>
      <c r="GR15">
        <f t="shared" si="33"/>
        <v>24</v>
      </c>
      <c r="GS15" t="s">
        <v>1996</v>
      </c>
      <c r="GT15" t="s">
        <v>4302</v>
      </c>
      <c r="GU15">
        <v>5.33378005027771</v>
      </c>
      <c r="GV15">
        <v>402</v>
      </c>
      <c r="GW15" s="2"/>
      <c r="GX15">
        <f t="shared" si="34"/>
        <v>37</v>
      </c>
      <c r="GY15" t="s">
        <v>4303</v>
      </c>
      <c r="GZ15" t="s">
        <v>4304</v>
      </c>
      <c r="HA15">
        <v>123.7180247306824</v>
      </c>
      <c r="HB15">
        <v>425</v>
      </c>
      <c r="HC15" s="1"/>
      <c r="HD15">
        <f t="shared" si="35"/>
        <v>26</v>
      </c>
      <c r="HE15" t="s">
        <v>2159</v>
      </c>
      <c r="HF15" t="s">
        <v>4305</v>
      </c>
      <c r="HG15">
        <v>11.17676210403442</v>
      </c>
      <c r="HH15">
        <v>529</v>
      </c>
      <c r="HI15" s="2"/>
      <c r="HV15">
        <f t="shared" si="38"/>
        <v>26</v>
      </c>
      <c r="HW15" t="s">
        <v>98</v>
      </c>
      <c r="HX15" t="s">
        <v>671</v>
      </c>
      <c r="HY15">
        <v>4.3238415718078613</v>
      </c>
      <c r="HZ15">
        <v>451</v>
      </c>
      <c r="IA15" s="1"/>
      <c r="ID15" t="s">
        <v>4306</v>
      </c>
      <c r="IF15">
        <v>450</v>
      </c>
      <c r="IH15">
        <f t="shared" si="40"/>
        <v>27</v>
      </c>
      <c r="II15" t="s">
        <v>4307</v>
      </c>
      <c r="IJ15" t="s">
        <v>4308</v>
      </c>
      <c r="IK15">
        <v>9.7835178375244141</v>
      </c>
      <c r="IL15">
        <v>423</v>
      </c>
      <c r="IM15" s="1"/>
      <c r="IN15">
        <f t="shared" si="41"/>
        <v>13</v>
      </c>
      <c r="IO15" t="s">
        <v>4309</v>
      </c>
      <c r="IP15" t="s">
        <v>4310</v>
      </c>
      <c r="IQ15">
        <v>4.9430592060089111</v>
      </c>
      <c r="IR15">
        <v>560</v>
      </c>
      <c r="IS15" s="2"/>
      <c r="IT15">
        <f t="shared" si="42"/>
        <v>21</v>
      </c>
      <c r="IU15" t="s">
        <v>4311</v>
      </c>
      <c r="IV15" t="s">
        <v>4312</v>
      </c>
      <c r="IW15">
        <v>6.211223840713501</v>
      </c>
      <c r="IX15">
        <v>464</v>
      </c>
      <c r="IY15" s="1"/>
      <c r="IZ15">
        <f t="shared" si="43"/>
        <v>48</v>
      </c>
      <c r="JA15" t="s">
        <v>4313</v>
      </c>
      <c r="JB15" t="s">
        <v>4314</v>
      </c>
      <c r="JC15">
        <v>21.913334131240841</v>
      </c>
      <c r="JD15">
        <v>399</v>
      </c>
      <c r="JE15" s="2"/>
      <c r="JF15">
        <f t="shared" si="44"/>
        <v>22</v>
      </c>
      <c r="JG15" t="s">
        <v>4315</v>
      </c>
      <c r="JH15" t="s">
        <v>4316</v>
      </c>
      <c r="JI15">
        <v>6.0990304946899414</v>
      </c>
      <c r="JJ15">
        <v>351</v>
      </c>
      <c r="JK15" s="1"/>
      <c r="JL15">
        <f t="shared" si="45"/>
        <v>11</v>
      </c>
      <c r="JM15" t="s">
        <v>1492</v>
      </c>
      <c r="JN15" t="s">
        <v>1492</v>
      </c>
      <c r="JO15">
        <v>3.366590261459351</v>
      </c>
      <c r="JP15">
        <v>506</v>
      </c>
      <c r="JQ15" s="2"/>
      <c r="JR15">
        <f t="shared" si="46"/>
        <v>50</v>
      </c>
      <c r="JS15" t="s">
        <v>4317</v>
      </c>
      <c r="JT15" t="s">
        <v>4318</v>
      </c>
      <c r="JU15">
        <v>28.071424007415771</v>
      </c>
      <c r="JV15">
        <v>359</v>
      </c>
      <c r="JW15" s="1"/>
      <c r="JX15">
        <f t="shared" si="47"/>
        <v>26</v>
      </c>
      <c r="JY15" t="s">
        <v>4319</v>
      </c>
      <c r="JZ15" t="s">
        <v>4320</v>
      </c>
      <c r="KA15">
        <v>114.497364282608</v>
      </c>
      <c r="KB15">
        <v>523</v>
      </c>
      <c r="KC15" s="2"/>
      <c r="KD15">
        <f t="shared" si="48"/>
        <v>19</v>
      </c>
      <c r="KE15" t="s">
        <v>1616</v>
      </c>
      <c r="KF15" t="s">
        <v>4321</v>
      </c>
      <c r="KG15">
        <v>5.2701399326324463</v>
      </c>
      <c r="KH15">
        <v>543</v>
      </c>
      <c r="KI15" s="1"/>
      <c r="KJ15">
        <f t="shared" si="49"/>
        <v>16</v>
      </c>
      <c r="KK15" t="s">
        <v>4322</v>
      </c>
      <c r="KL15" t="s">
        <v>4323</v>
      </c>
      <c r="KM15">
        <v>6.7692553997039786</v>
      </c>
      <c r="KN15">
        <v>509</v>
      </c>
      <c r="KO15" s="2"/>
      <c r="KP15">
        <f t="shared" si="50"/>
        <v>28</v>
      </c>
      <c r="KQ15" t="s">
        <v>705</v>
      </c>
      <c r="KR15" t="s">
        <v>4324</v>
      </c>
      <c r="KS15">
        <v>7.8144841194152832</v>
      </c>
      <c r="KT15">
        <v>405</v>
      </c>
      <c r="KU15" s="1"/>
      <c r="KV15">
        <f t="shared" si="51"/>
        <v>60</v>
      </c>
      <c r="KW15" t="s">
        <v>4325</v>
      </c>
      <c r="KX15" t="s">
        <v>4326</v>
      </c>
      <c r="KY15">
        <v>44.34345817565918</v>
      </c>
      <c r="KZ15">
        <v>499</v>
      </c>
      <c r="LA15" s="2"/>
      <c r="LB15">
        <f t="shared" si="52"/>
        <v>9</v>
      </c>
      <c r="LC15" t="s">
        <v>1752</v>
      </c>
      <c r="LD15" t="s">
        <v>4327</v>
      </c>
      <c r="LE15">
        <v>4.0840573310852051</v>
      </c>
      <c r="LF15">
        <v>504</v>
      </c>
      <c r="LG15" s="1"/>
      <c r="LH15">
        <f t="shared" si="53"/>
        <v>12</v>
      </c>
      <c r="LI15" t="s">
        <v>4328</v>
      </c>
      <c r="LJ15" t="s">
        <v>4329</v>
      </c>
      <c r="LK15">
        <v>5.9924285411834717</v>
      </c>
      <c r="LL15">
        <v>488</v>
      </c>
      <c r="LM15" s="2"/>
      <c r="LN15">
        <f t="shared" si="54"/>
        <v>6</v>
      </c>
      <c r="LO15" t="s">
        <v>232</v>
      </c>
      <c r="LP15" t="s">
        <v>4277</v>
      </c>
      <c r="LQ15">
        <v>3.693860530853271</v>
      </c>
      <c r="LR15">
        <v>380</v>
      </c>
      <c r="LS15" s="1"/>
      <c r="LT15">
        <f t="shared" si="55"/>
        <v>0</v>
      </c>
      <c r="LV15" t="s">
        <v>4257</v>
      </c>
      <c r="LW15">
        <v>3.058463335037231</v>
      </c>
      <c r="LX15">
        <v>424</v>
      </c>
      <c r="LY15" s="2"/>
      <c r="LZ15">
        <f t="shared" si="56"/>
        <v>16</v>
      </c>
      <c r="MA15" t="s">
        <v>4330</v>
      </c>
      <c r="MB15" t="s">
        <v>4331</v>
      </c>
      <c r="MC15">
        <v>4.2601957321166992</v>
      </c>
      <c r="MD15">
        <v>306</v>
      </c>
      <c r="ME15" s="1"/>
      <c r="MF15">
        <f t="shared" si="57"/>
        <v>39</v>
      </c>
      <c r="MG15" t="s">
        <v>4332</v>
      </c>
      <c r="MH15" t="s">
        <v>4333</v>
      </c>
      <c r="MI15">
        <v>37.680607795715332</v>
      </c>
      <c r="MJ15">
        <v>443</v>
      </c>
      <c r="MK15" s="2"/>
      <c r="ML15">
        <f t="shared" si="58"/>
        <v>16</v>
      </c>
      <c r="MM15" t="s">
        <v>3592</v>
      </c>
      <c r="MN15" t="s">
        <v>4334</v>
      </c>
      <c r="MO15">
        <v>11.789608478546141</v>
      </c>
      <c r="MP15">
        <v>445</v>
      </c>
      <c r="MQ15" s="1"/>
      <c r="MR15">
        <f t="shared" si="59"/>
        <v>27</v>
      </c>
      <c r="MS15" t="s">
        <v>4335</v>
      </c>
      <c r="MT15" t="s">
        <v>4336</v>
      </c>
      <c r="MU15">
        <v>17.07767915725708</v>
      </c>
      <c r="MV15">
        <v>508</v>
      </c>
      <c r="MW15" s="2"/>
      <c r="MX15">
        <f t="shared" si="60"/>
        <v>30</v>
      </c>
      <c r="MY15" t="s">
        <v>4337</v>
      </c>
      <c r="MZ15" t="s">
        <v>4338</v>
      </c>
      <c r="NA15">
        <v>9.4301695823669434</v>
      </c>
      <c r="NB15">
        <v>370</v>
      </c>
      <c r="NC15" s="1"/>
      <c r="ND15">
        <f t="shared" si="61"/>
        <v>13</v>
      </c>
      <c r="NE15" t="s">
        <v>1127</v>
      </c>
      <c r="NF15" t="s">
        <v>4339</v>
      </c>
      <c r="NG15">
        <v>166.48877000808719</v>
      </c>
      <c r="NH15">
        <v>334</v>
      </c>
      <c r="NI15" s="2"/>
      <c r="NJ15">
        <f t="shared" si="62"/>
        <v>40</v>
      </c>
      <c r="NK15" t="s">
        <v>4340</v>
      </c>
      <c r="NL15" t="s">
        <v>4341</v>
      </c>
      <c r="NM15">
        <v>19.389315605163571</v>
      </c>
      <c r="NN15">
        <v>366</v>
      </c>
      <c r="NO15" s="1"/>
      <c r="NP15">
        <f t="shared" si="63"/>
        <v>42</v>
      </c>
      <c r="NQ15" t="s">
        <v>4342</v>
      </c>
      <c r="NR15" t="s">
        <v>4343</v>
      </c>
      <c r="NS15">
        <v>24.827369928359989</v>
      </c>
      <c r="NT15">
        <v>555</v>
      </c>
      <c r="NU15" s="2"/>
      <c r="NV15">
        <f t="shared" si="64"/>
        <v>19</v>
      </c>
      <c r="NW15" t="s">
        <v>1062</v>
      </c>
      <c r="NX15" t="s">
        <v>4344</v>
      </c>
      <c r="NY15">
        <v>10.64195346832275</v>
      </c>
      <c r="NZ15">
        <v>494</v>
      </c>
      <c r="OA15" s="1"/>
      <c r="OB15">
        <f t="shared" si="65"/>
        <v>21</v>
      </c>
      <c r="OC15" t="s">
        <v>4345</v>
      </c>
      <c r="OD15" t="s">
        <v>4346</v>
      </c>
      <c r="OE15">
        <v>18.055342435836788</v>
      </c>
      <c r="OF15">
        <v>409</v>
      </c>
      <c r="OG15" s="2"/>
      <c r="OH15">
        <f t="shared" si="66"/>
        <v>15</v>
      </c>
      <c r="OI15" t="s">
        <v>4347</v>
      </c>
      <c r="OJ15" t="s">
        <v>4348</v>
      </c>
      <c r="OK15">
        <v>4.078040599822998</v>
      </c>
      <c r="OL15">
        <v>492</v>
      </c>
      <c r="OM15" s="1"/>
      <c r="ON15">
        <f t="shared" si="67"/>
        <v>17</v>
      </c>
      <c r="OO15" t="s">
        <v>3947</v>
      </c>
      <c r="OP15" t="s">
        <v>4349</v>
      </c>
      <c r="OQ15">
        <v>9.6535677909851074</v>
      </c>
      <c r="OR15">
        <v>425</v>
      </c>
      <c r="OS15" s="2"/>
      <c r="OT15">
        <f t="shared" si="68"/>
        <v>35</v>
      </c>
      <c r="OU15" t="s">
        <v>22</v>
      </c>
      <c r="OV15" t="s">
        <v>4350</v>
      </c>
      <c r="OW15">
        <v>20.074112415313721</v>
      </c>
      <c r="OX15">
        <v>464</v>
      </c>
      <c r="OY15" s="1"/>
      <c r="OZ15">
        <f t="shared" si="69"/>
        <v>12</v>
      </c>
      <c r="PA15" t="s">
        <v>2231</v>
      </c>
      <c r="PB15" t="s">
        <v>4351</v>
      </c>
      <c r="PC15">
        <v>4.639843225479126</v>
      </c>
      <c r="PD15">
        <v>418</v>
      </c>
      <c r="PE15" s="2"/>
      <c r="PF15">
        <f t="shared" si="70"/>
        <v>9</v>
      </c>
      <c r="PG15" t="s">
        <v>4352</v>
      </c>
      <c r="PH15" t="s">
        <v>4353</v>
      </c>
      <c r="PI15">
        <v>4.0415589809417716</v>
      </c>
      <c r="PJ15">
        <v>396</v>
      </c>
      <c r="PK15" s="1"/>
      <c r="PL15">
        <f t="shared" si="71"/>
        <v>22</v>
      </c>
      <c r="PM15" t="s">
        <v>3772</v>
      </c>
      <c r="PN15" t="s">
        <v>3772</v>
      </c>
      <c r="PO15">
        <v>4.1903607845306396</v>
      </c>
      <c r="PP15">
        <v>500</v>
      </c>
      <c r="PQ15" s="2"/>
      <c r="PR15">
        <f t="shared" si="72"/>
        <v>27</v>
      </c>
      <c r="PS15" t="s">
        <v>4354</v>
      </c>
      <c r="PT15" t="s">
        <v>4355</v>
      </c>
      <c r="PU15">
        <v>6.4760866165161133</v>
      </c>
      <c r="PV15">
        <v>507</v>
      </c>
      <c r="PW15" s="1"/>
      <c r="PX15">
        <f t="shared" si="73"/>
        <v>19</v>
      </c>
      <c r="PY15" t="s">
        <v>4193</v>
      </c>
      <c r="PZ15" t="s">
        <v>4356</v>
      </c>
      <c r="QA15">
        <v>6.3873121738433838</v>
      </c>
      <c r="QB15">
        <v>508</v>
      </c>
      <c r="QC15" s="2"/>
      <c r="QD15">
        <f t="shared" si="74"/>
        <v>13</v>
      </c>
      <c r="QE15" t="s">
        <v>1906</v>
      </c>
      <c r="QF15" t="s">
        <v>4357</v>
      </c>
      <c r="QG15">
        <v>3.909016609191895</v>
      </c>
      <c r="QH15">
        <v>513</v>
      </c>
      <c r="QI15" s="1"/>
      <c r="QJ15">
        <f t="shared" si="75"/>
        <v>14</v>
      </c>
      <c r="QK15" t="s">
        <v>4358</v>
      </c>
      <c r="QL15" t="s">
        <v>4359</v>
      </c>
      <c r="QM15">
        <v>4.5099163055419922</v>
      </c>
      <c r="QN15">
        <v>452</v>
      </c>
      <c r="QO15" s="2"/>
      <c r="QP15">
        <f t="shared" si="76"/>
        <v>89</v>
      </c>
      <c r="QQ15" t="s">
        <v>4360</v>
      </c>
      <c r="QR15" t="s">
        <v>4361</v>
      </c>
      <c r="QS15">
        <v>10.472527027130131</v>
      </c>
      <c r="QT15">
        <v>432</v>
      </c>
      <c r="QU15" s="1"/>
      <c r="QV15">
        <f t="shared" si="77"/>
        <v>56</v>
      </c>
      <c r="QW15" t="s">
        <v>4362</v>
      </c>
      <c r="QX15" t="s">
        <v>4363</v>
      </c>
      <c r="QY15">
        <v>30.163127899169918</v>
      </c>
      <c r="QZ15">
        <v>445</v>
      </c>
      <c r="RA15" s="2"/>
      <c r="RB15">
        <f t="shared" si="78"/>
        <v>27</v>
      </c>
      <c r="RC15" t="s">
        <v>1225</v>
      </c>
      <c r="RD15" t="s">
        <v>1525</v>
      </c>
      <c r="RE15">
        <v>3.3368172645568852</v>
      </c>
      <c r="RF15">
        <v>555</v>
      </c>
      <c r="RG15" s="1"/>
      <c r="RJ15" t="s">
        <v>4364</v>
      </c>
      <c r="RL15">
        <v>432</v>
      </c>
      <c r="RN15">
        <f t="shared" si="80"/>
        <v>13</v>
      </c>
      <c r="RO15" t="s">
        <v>4365</v>
      </c>
      <c r="RP15" t="s">
        <v>4366</v>
      </c>
      <c r="RQ15">
        <v>5.5720417499542236</v>
      </c>
      <c r="RR15">
        <v>572</v>
      </c>
      <c r="RS15" s="1"/>
      <c r="RT15">
        <f t="shared" si="81"/>
        <v>7</v>
      </c>
      <c r="RU15" t="s">
        <v>2732</v>
      </c>
      <c r="RV15" t="s">
        <v>4367</v>
      </c>
      <c r="RW15">
        <v>3.3274116516113281</v>
      </c>
      <c r="RX15">
        <v>426</v>
      </c>
      <c r="RY15" s="2"/>
      <c r="RZ15">
        <f t="shared" si="82"/>
        <v>34</v>
      </c>
      <c r="SA15" t="s">
        <v>4368</v>
      </c>
      <c r="SB15" t="s">
        <v>4369</v>
      </c>
      <c r="SC15">
        <v>31.098461627960209</v>
      </c>
      <c r="SD15">
        <v>478</v>
      </c>
      <c r="SE15" s="1"/>
      <c r="SF15">
        <f t="shared" si="83"/>
        <v>67</v>
      </c>
      <c r="SG15" t="s">
        <v>4370</v>
      </c>
      <c r="SH15" t="s">
        <v>4371</v>
      </c>
      <c r="SI15">
        <v>47.193951606750488</v>
      </c>
      <c r="SJ15">
        <v>454</v>
      </c>
      <c r="SK15" s="2"/>
      <c r="SN15" t="s">
        <v>4372</v>
      </c>
      <c r="SP15">
        <v>386</v>
      </c>
      <c r="SV15">
        <v>475</v>
      </c>
      <c r="SZ15" t="s">
        <v>4373</v>
      </c>
      <c r="TB15">
        <v>374</v>
      </c>
      <c r="TH15">
        <v>541</v>
      </c>
      <c r="TJ15">
        <f t="shared" si="88"/>
        <v>23</v>
      </c>
      <c r="TK15" t="s">
        <v>4374</v>
      </c>
      <c r="TL15" t="s">
        <v>4375</v>
      </c>
      <c r="TM15">
        <v>4.1024067401885986</v>
      </c>
      <c r="TN15">
        <v>605</v>
      </c>
      <c r="TO15" s="1"/>
      <c r="TP15">
        <f t="shared" si="89"/>
        <v>13</v>
      </c>
      <c r="TQ15" t="s">
        <v>4376</v>
      </c>
      <c r="TR15" t="s">
        <v>4377</v>
      </c>
      <c r="TS15">
        <v>3.2664704322814941</v>
      </c>
      <c r="TT15">
        <v>398</v>
      </c>
      <c r="TU15" s="2"/>
      <c r="TV15">
        <f t="shared" si="90"/>
        <v>13</v>
      </c>
      <c r="TW15" t="s">
        <v>4378</v>
      </c>
      <c r="TX15" t="s">
        <v>4379</v>
      </c>
      <c r="TY15">
        <v>4.9799227714538574</v>
      </c>
      <c r="TZ15">
        <v>445</v>
      </c>
      <c r="UA15" s="1"/>
      <c r="UB15">
        <f t="shared" si="91"/>
        <v>21</v>
      </c>
      <c r="UC15" t="s">
        <v>4380</v>
      </c>
      <c r="UD15" t="s">
        <v>4381</v>
      </c>
      <c r="UE15">
        <v>5.4967308044433594</v>
      </c>
      <c r="UF15">
        <v>636</v>
      </c>
      <c r="UG15" s="2"/>
      <c r="UH15">
        <f t="shared" si="92"/>
        <v>26</v>
      </c>
      <c r="UI15" t="s">
        <v>4382</v>
      </c>
      <c r="UJ15" t="s">
        <v>4383</v>
      </c>
      <c r="UK15">
        <v>15.06568264961243</v>
      </c>
      <c r="UL15">
        <v>271</v>
      </c>
      <c r="UM15" s="1"/>
      <c r="UN15">
        <f t="shared" si="93"/>
        <v>21</v>
      </c>
      <c r="UO15" t="s">
        <v>4384</v>
      </c>
      <c r="UP15" t="s">
        <v>4385</v>
      </c>
      <c r="UQ15">
        <v>21.694821357727051</v>
      </c>
      <c r="UR15">
        <v>567</v>
      </c>
      <c r="US15" s="2"/>
      <c r="UT15">
        <f t="shared" si="94"/>
        <v>60</v>
      </c>
      <c r="UU15" t="s">
        <v>4386</v>
      </c>
      <c r="UV15" t="s">
        <v>4387</v>
      </c>
      <c r="UW15">
        <v>15.755663633346559</v>
      </c>
      <c r="UX15">
        <v>494</v>
      </c>
      <c r="UY15" s="1"/>
      <c r="UZ15">
        <f t="shared" si="95"/>
        <v>26</v>
      </c>
      <c r="VA15" t="s">
        <v>170</v>
      </c>
      <c r="VB15" t="s">
        <v>4388</v>
      </c>
      <c r="VC15">
        <v>14.86778736114502</v>
      </c>
      <c r="VD15">
        <v>428</v>
      </c>
      <c r="VE15" s="2"/>
      <c r="VH15" t="s">
        <v>4389</v>
      </c>
      <c r="VJ15">
        <v>443</v>
      </c>
      <c r="VP15">
        <v>526</v>
      </c>
      <c r="VR15">
        <f t="shared" si="98"/>
        <v>48</v>
      </c>
      <c r="VS15" t="s">
        <v>4390</v>
      </c>
      <c r="VT15" t="s">
        <v>4391</v>
      </c>
      <c r="VU15">
        <v>20.630950927734379</v>
      </c>
      <c r="VV15">
        <v>350</v>
      </c>
      <c r="VW15" s="1"/>
      <c r="VX15">
        <f t="shared" si="99"/>
        <v>26</v>
      </c>
      <c r="VY15" t="s">
        <v>4392</v>
      </c>
      <c r="VZ15" t="s">
        <v>4393</v>
      </c>
      <c r="WA15">
        <v>5.6310305595397949</v>
      </c>
      <c r="WB15">
        <v>565</v>
      </c>
      <c r="WC15" s="2"/>
      <c r="WF15" t="s">
        <v>4257</v>
      </c>
      <c r="WH15">
        <v>471</v>
      </c>
      <c r="WN15">
        <v>509</v>
      </c>
      <c r="WO15" s="4"/>
      <c r="WP15">
        <f t="shared" si="102"/>
        <v>42</v>
      </c>
      <c r="WQ15" t="s">
        <v>2328</v>
      </c>
      <c r="WR15" t="s">
        <v>4394</v>
      </c>
      <c r="WS15">
        <v>13.98427510261536</v>
      </c>
      <c r="WT15">
        <v>527</v>
      </c>
      <c r="WU15" s="3"/>
      <c r="WV15">
        <f t="shared" si="103"/>
        <v>24</v>
      </c>
      <c r="WW15" t="s">
        <v>1120</v>
      </c>
      <c r="WX15" t="s">
        <v>4395</v>
      </c>
      <c r="WY15">
        <v>5.5848901271820068</v>
      </c>
      <c r="WZ15">
        <v>465</v>
      </c>
      <c r="XA15" s="2"/>
      <c r="XD15" t="s">
        <v>4396</v>
      </c>
      <c r="XF15">
        <v>439</v>
      </c>
      <c r="XL15">
        <v>501</v>
      </c>
      <c r="XN15">
        <f t="shared" si="106"/>
        <v>7</v>
      </c>
      <c r="XO15" t="s">
        <v>232</v>
      </c>
      <c r="XP15" t="s">
        <v>4397</v>
      </c>
      <c r="XQ15">
        <v>3.964293479919434</v>
      </c>
      <c r="XR15">
        <v>507</v>
      </c>
      <c r="XS15" s="5"/>
      <c r="XT15">
        <f t="shared" si="107"/>
        <v>5</v>
      </c>
      <c r="XU15" t="s">
        <v>232</v>
      </c>
      <c r="XV15" t="s">
        <v>232</v>
      </c>
      <c r="XW15">
        <v>3.23728346824646</v>
      </c>
      <c r="XX15">
        <v>422</v>
      </c>
      <c r="XY15" s="2"/>
      <c r="XZ15">
        <f t="shared" si="108"/>
        <v>48</v>
      </c>
      <c r="YA15" t="s">
        <v>4398</v>
      </c>
      <c r="YB15" t="s">
        <v>4399</v>
      </c>
      <c r="YC15">
        <v>10.24387526512146</v>
      </c>
      <c r="YD15">
        <v>486</v>
      </c>
      <c r="YE15" s="5"/>
      <c r="YF15">
        <f t="shared" si="109"/>
        <v>19</v>
      </c>
      <c r="YG15" t="s">
        <v>232</v>
      </c>
      <c r="YH15" t="s">
        <v>4400</v>
      </c>
      <c r="YI15">
        <v>3.273985862731934</v>
      </c>
      <c r="YJ15">
        <v>367</v>
      </c>
      <c r="YK15" s="2"/>
      <c r="YL15">
        <f t="shared" si="110"/>
        <v>65</v>
      </c>
      <c r="YM15" t="s">
        <v>4401</v>
      </c>
      <c r="YN15" t="s">
        <v>4402</v>
      </c>
      <c r="YO15">
        <v>622.88624119758606</v>
      </c>
      <c r="YP15">
        <v>458</v>
      </c>
      <c r="YQ15" s="5"/>
      <c r="YT15" t="s">
        <v>1437</v>
      </c>
      <c r="YV15">
        <v>433</v>
      </c>
      <c r="YX15">
        <f t="shared" si="112"/>
        <v>32</v>
      </c>
      <c r="YY15" t="s">
        <v>3751</v>
      </c>
      <c r="YZ15" t="s">
        <v>4403</v>
      </c>
      <c r="ZA15">
        <v>4.6140491962432861</v>
      </c>
      <c r="ZB15">
        <v>461</v>
      </c>
      <c r="ZC15" s="5"/>
      <c r="ZD15">
        <f t="shared" si="113"/>
        <v>16</v>
      </c>
      <c r="ZE15" t="s">
        <v>1118</v>
      </c>
      <c r="ZF15" t="s">
        <v>4404</v>
      </c>
      <c r="ZG15">
        <v>5.5394794940948486</v>
      </c>
      <c r="ZH15">
        <v>417</v>
      </c>
      <c r="ZI15" s="2"/>
      <c r="ZV15">
        <f t="shared" si="116"/>
        <v>48</v>
      </c>
      <c r="ZW15" t="s">
        <v>4405</v>
      </c>
      <c r="ZX15" t="s">
        <v>4406</v>
      </c>
      <c r="ZY15">
        <v>51.781064033508301</v>
      </c>
      <c r="ZZ15">
        <v>337</v>
      </c>
      <c r="AAA15" s="5"/>
      <c r="AAB15">
        <f t="shared" si="117"/>
        <v>39</v>
      </c>
      <c r="AAC15" t="s">
        <v>4407</v>
      </c>
      <c r="AAD15" t="s">
        <v>4408</v>
      </c>
      <c r="AAE15">
        <v>19.047657251358029</v>
      </c>
      <c r="AAF15">
        <v>485</v>
      </c>
      <c r="AAG15" s="2"/>
      <c r="AAH15">
        <f t="shared" si="118"/>
        <v>99</v>
      </c>
      <c r="AAI15" t="s">
        <v>4409</v>
      </c>
      <c r="AAJ15" t="s">
        <v>4410</v>
      </c>
      <c r="AAK15">
        <v>349.40634679794312</v>
      </c>
      <c r="AAL15">
        <v>574</v>
      </c>
      <c r="AAM15" s="5"/>
      <c r="AAP15" t="s">
        <v>4411</v>
      </c>
      <c r="AAR15">
        <v>325</v>
      </c>
      <c r="AAT15">
        <f t="shared" si="120"/>
        <v>10</v>
      </c>
      <c r="AAU15" t="s">
        <v>3936</v>
      </c>
      <c r="AAV15" t="s">
        <v>4412</v>
      </c>
      <c r="AAW15">
        <v>5.2305421829223633</v>
      </c>
      <c r="AAX15">
        <v>411</v>
      </c>
      <c r="AAY15" s="5"/>
      <c r="AAZ15">
        <f t="shared" si="121"/>
        <v>19</v>
      </c>
      <c r="ABA15" t="s">
        <v>2214</v>
      </c>
      <c r="ABB15" t="s">
        <v>4413</v>
      </c>
      <c r="ABC15">
        <v>4.9590497016906738</v>
      </c>
      <c r="ABD15">
        <v>470</v>
      </c>
      <c r="ABE15" s="2"/>
      <c r="ABF15">
        <f t="shared" si="122"/>
        <v>20</v>
      </c>
      <c r="ABG15" t="s">
        <v>853</v>
      </c>
      <c r="ABH15" t="s">
        <v>4414</v>
      </c>
      <c r="ABI15">
        <v>9.2769927978515625</v>
      </c>
      <c r="ABJ15">
        <v>508</v>
      </c>
      <c r="ABK15" s="5"/>
      <c r="ABL15">
        <f t="shared" si="123"/>
        <v>6</v>
      </c>
      <c r="ABM15" t="s">
        <v>4415</v>
      </c>
      <c r="ABN15" t="s">
        <v>232</v>
      </c>
      <c r="ABO15">
        <v>3.237370491027832</v>
      </c>
      <c r="ABP15">
        <v>583</v>
      </c>
      <c r="ABQ15" s="2"/>
      <c r="ABR15">
        <f t="shared" si="124"/>
        <v>11</v>
      </c>
      <c r="ABS15" t="s">
        <v>466</v>
      </c>
      <c r="ABT15" t="s">
        <v>4416</v>
      </c>
      <c r="ABU15">
        <v>8.9995758533477783</v>
      </c>
      <c r="ABV15">
        <v>540</v>
      </c>
      <c r="ABW15" s="5"/>
      <c r="ABX15">
        <f t="shared" si="125"/>
        <v>68</v>
      </c>
      <c r="ABY15" t="s">
        <v>4417</v>
      </c>
      <c r="ABZ15" t="s">
        <v>4418</v>
      </c>
      <c r="ACA15">
        <v>25.128319025039669</v>
      </c>
      <c r="ACB15">
        <v>386</v>
      </c>
      <c r="ACC15" s="2"/>
      <c r="ACD15">
        <f t="shared" si="126"/>
        <v>66</v>
      </c>
      <c r="ACE15" t="s">
        <v>4419</v>
      </c>
      <c r="ACF15" t="s">
        <v>4420</v>
      </c>
      <c r="ACG15">
        <v>314.16676378250122</v>
      </c>
      <c r="ACH15">
        <v>452</v>
      </c>
      <c r="ACI15" s="5"/>
      <c r="ACL15" t="s">
        <v>4421</v>
      </c>
      <c r="ACN15">
        <v>484</v>
      </c>
      <c r="ACP15">
        <f t="shared" si="128"/>
        <v>46</v>
      </c>
      <c r="ACQ15" t="s">
        <v>4422</v>
      </c>
      <c r="ACR15" t="s">
        <v>4423</v>
      </c>
      <c r="ACS15">
        <v>36.017688035964973</v>
      </c>
      <c r="ACT15">
        <v>510</v>
      </c>
      <c r="ACU15" s="5"/>
      <c r="ACV15">
        <f t="shared" si="129"/>
        <v>28</v>
      </c>
      <c r="ACW15" t="s">
        <v>4424</v>
      </c>
      <c r="ACX15" t="s">
        <v>4425</v>
      </c>
      <c r="ACY15">
        <v>17.761875629425049</v>
      </c>
      <c r="ACZ15">
        <v>462</v>
      </c>
      <c r="ADA15" s="2"/>
      <c r="ADB15">
        <f t="shared" si="130"/>
        <v>15</v>
      </c>
      <c r="ADC15" t="s">
        <v>3936</v>
      </c>
      <c r="ADD15" t="s">
        <v>4426</v>
      </c>
      <c r="ADE15">
        <v>4.9325037002563477</v>
      </c>
      <c r="ADF15">
        <v>518</v>
      </c>
      <c r="ADG15" s="5"/>
      <c r="ADH15">
        <f t="shared" si="131"/>
        <v>25</v>
      </c>
      <c r="ADI15" t="s">
        <v>189</v>
      </c>
      <c r="ADJ15" t="s">
        <v>4427</v>
      </c>
      <c r="ADK15">
        <v>3.2441186904907231</v>
      </c>
      <c r="ADL15">
        <v>464</v>
      </c>
      <c r="ADM15" s="2"/>
      <c r="ADN15">
        <f t="shared" si="132"/>
        <v>21</v>
      </c>
      <c r="ADO15" t="s">
        <v>4428</v>
      </c>
      <c r="ADP15" t="s">
        <v>4429</v>
      </c>
      <c r="ADQ15">
        <v>38.642850160598748</v>
      </c>
      <c r="ADR15">
        <v>548</v>
      </c>
      <c r="ADS15" s="5"/>
      <c r="ADT15">
        <f t="shared" si="133"/>
        <v>32</v>
      </c>
      <c r="ADU15" t="s">
        <v>2434</v>
      </c>
      <c r="ADV15" t="s">
        <v>4430</v>
      </c>
      <c r="ADW15">
        <v>13.329725503921511</v>
      </c>
      <c r="ADX15">
        <v>373</v>
      </c>
      <c r="ADY15" s="2"/>
      <c r="ADZ15">
        <f t="shared" si="134"/>
        <v>21</v>
      </c>
      <c r="AEA15" t="s">
        <v>3453</v>
      </c>
      <c r="AEB15" t="s">
        <v>4431</v>
      </c>
      <c r="AEC15">
        <v>14.0754828453064</v>
      </c>
      <c r="AED15">
        <v>358</v>
      </c>
      <c r="AEE15" s="5"/>
      <c r="AEF15">
        <f t="shared" si="135"/>
        <v>23</v>
      </c>
      <c r="AEG15" t="s">
        <v>3453</v>
      </c>
      <c r="AEH15" t="s">
        <v>4432</v>
      </c>
      <c r="AEI15">
        <v>13.919435977935789</v>
      </c>
      <c r="AEJ15">
        <v>403</v>
      </c>
      <c r="AEK15" s="2"/>
      <c r="AEL15">
        <f t="shared" si="136"/>
        <v>54</v>
      </c>
      <c r="AEM15" t="s">
        <v>4433</v>
      </c>
      <c r="AEN15" t="s">
        <v>4434</v>
      </c>
      <c r="AEO15">
        <v>24.4022650718689</v>
      </c>
      <c r="AEP15">
        <v>566</v>
      </c>
      <c r="AEQ15" s="5"/>
      <c r="AER15">
        <f t="shared" si="137"/>
        <v>24</v>
      </c>
      <c r="AES15" t="s">
        <v>4435</v>
      </c>
      <c r="AET15" t="s">
        <v>4436</v>
      </c>
      <c r="AEU15">
        <v>16.931849002838131</v>
      </c>
      <c r="AEV15">
        <v>448</v>
      </c>
      <c r="AEW15" s="2"/>
      <c r="AEX15">
        <f t="shared" si="138"/>
        <v>36</v>
      </c>
      <c r="AEY15" t="s">
        <v>4437</v>
      </c>
      <c r="AEZ15" t="s">
        <v>4438</v>
      </c>
      <c r="AFA15">
        <v>15.87798142433167</v>
      </c>
      <c r="AFB15">
        <v>446</v>
      </c>
      <c r="AFC15" s="5"/>
      <c r="AFD15">
        <f t="shared" si="139"/>
        <v>21</v>
      </c>
      <c r="AFE15" t="s">
        <v>4439</v>
      </c>
      <c r="AFF15" t="s">
        <v>4440</v>
      </c>
      <c r="AFG15">
        <v>5.9798252582550049</v>
      </c>
      <c r="AFH15">
        <v>482</v>
      </c>
      <c r="AFI15" s="2"/>
      <c r="AFJ15">
        <f t="shared" si="140"/>
        <v>17</v>
      </c>
      <c r="AFK15" t="s">
        <v>4441</v>
      </c>
      <c r="AFL15" t="s">
        <v>4442</v>
      </c>
      <c r="AFM15">
        <v>3.8772068023681641</v>
      </c>
      <c r="AFN15">
        <v>526</v>
      </c>
      <c r="AFO15" s="5"/>
      <c r="AFP15">
        <f t="shared" si="141"/>
        <v>6</v>
      </c>
      <c r="AFQ15" t="s">
        <v>1102</v>
      </c>
      <c r="AFR15" t="s">
        <v>1102</v>
      </c>
      <c r="AFS15">
        <v>3.1698594093322749</v>
      </c>
      <c r="AFT15">
        <v>492</v>
      </c>
      <c r="AFU15" s="2"/>
      <c r="AFV15">
        <f t="shared" si="142"/>
        <v>7</v>
      </c>
      <c r="AFW15" t="s">
        <v>705</v>
      </c>
      <c r="AFX15" t="s">
        <v>4443</v>
      </c>
      <c r="AFY15">
        <v>4.3084404468536377</v>
      </c>
      <c r="AFZ15">
        <v>507</v>
      </c>
      <c r="AGA15" s="5"/>
      <c r="AGB15">
        <f t="shared" si="143"/>
        <v>19</v>
      </c>
      <c r="AGC15" t="s">
        <v>673</v>
      </c>
      <c r="AGD15" t="s">
        <v>4444</v>
      </c>
      <c r="AGE15">
        <v>4.9220235347747803</v>
      </c>
      <c r="AGF15">
        <v>484</v>
      </c>
      <c r="AGG15" s="2"/>
      <c r="AGH15">
        <f t="shared" si="144"/>
        <v>16</v>
      </c>
      <c r="AGI15" t="s">
        <v>4445</v>
      </c>
      <c r="AGJ15" t="s">
        <v>4446</v>
      </c>
      <c r="AGK15">
        <v>19.087685823440552</v>
      </c>
      <c r="AGL15">
        <v>397</v>
      </c>
      <c r="AGM15" s="5"/>
      <c r="AGN15">
        <f t="shared" si="145"/>
        <v>14</v>
      </c>
      <c r="AGO15" t="s">
        <v>4447</v>
      </c>
      <c r="AGP15" t="s">
        <v>4448</v>
      </c>
      <c r="AGQ15">
        <v>5.3816275596618652</v>
      </c>
      <c r="AGR15">
        <v>472</v>
      </c>
      <c r="AGS15" s="2"/>
      <c r="AGT15">
        <f t="shared" si="146"/>
        <v>10</v>
      </c>
      <c r="AGU15" t="s">
        <v>189</v>
      </c>
      <c r="AGV15" t="s">
        <v>4449</v>
      </c>
      <c r="AGW15">
        <v>23.078667640686039</v>
      </c>
      <c r="AGX15">
        <v>328</v>
      </c>
      <c r="AGY15" s="5"/>
      <c r="AGZ15">
        <f t="shared" si="147"/>
        <v>21</v>
      </c>
      <c r="AHA15" t="s">
        <v>4450</v>
      </c>
      <c r="AHB15" t="s">
        <v>4451</v>
      </c>
      <c r="AHC15">
        <v>10.17947602272034</v>
      </c>
      <c r="AHD15">
        <v>426</v>
      </c>
      <c r="AHE15" s="2"/>
      <c r="AHF15">
        <f t="shared" si="148"/>
        <v>31</v>
      </c>
      <c r="AHG15" t="s">
        <v>4452</v>
      </c>
      <c r="AHH15" t="s">
        <v>4453</v>
      </c>
      <c r="AHI15">
        <v>16.413094282150269</v>
      </c>
      <c r="AHJ15">
        <v>388</v>
      </c>
      <c r="AHK15" s="5"/>
      <c r="AHL15">
        <f t="shared" si="149"/>
        <v>30</v>
      </c>
      <c r="AHM15" t="s">
        <v>4454</v>
      </c>
      <c r="AHN15" t="s">
        <v>4455</v>
      </c>
      <c r="AHO15">
        <v>22.066612482070919</v>
      </c>
      <c r="AHP15">
        <v>444</v>
      </c>
      <c r="AHQ15" s="2"/>
      <c r="AHR15">
        <f t="shared" si="150"/>
        <v>77</v>
      </c>
      <c r="AHS15" t="s">
        <v>4456</v>
      </c>
      <c r="AHT15" t="s">
        <v>4457</v>
      </c>
      <c r="AHU15">
        <v>31.217105865478519</v>
      </c>
      <c r="AHV15">
        <v>480</v>
      </c>
      <c r="AHW15" s="5"/>
      <c r="AHX15">
        <f t="shared" si="151"/>
        <v>72</v>
      </c>
      <c r="AHY15" t="s">
        <v>4458</v>
      </c>
      <c r="AHZ15" t="s">
        <v>4459</v>
      </c>
      <c r="AIA15">
        <v>19.17603778839111</v>
      </c>
      <c r="AIB15">
        <v>384</v>
      </c>
      <c r="AIC15" s="2"/>
      <c r="AIP15">
        <f t="shared" si="154"/>
        <v>18</v>
      </c>
      <c r="AIQ15" t="s">
        <v>1684</v>
      </c>
      <c r="AIR15" t="s">
        <v>4460</v>
      </c>
      <c r="AIS15">
        <v>4.2348835468292236</v>
      </c>
      <c r="AIT15">
        <v>559</v>
      </c>
      <c r="AIU15" s="5"/>
      <c r="AIV15">
        <f t="shared" si="155"/>
        <v>21</v>
      </c>
      <c r="AIW15" t="s">
        <v>4461</v>
      </c>
      <c r="AIX15" t="s">
        <v>4462</v>
      </c>
      <c r="AIY15">
        <v>4.0982012748718262</v>
      </c>
      <c r="AIZ15">
        <v>420</v>
      </c>
      <c r="AJA15" s="2"/>
      <c r="AJB15">
        <f t="shared" si="156"/>
        <v>16</v>
      </c>
      <c r="AJC15" t="s">
        <v>1752</v>
      </c>
      <c r="AJD15" t="s">
        <v>4463</v>
      </c>
      <c r="AJE15">
        <v>18.612364530563351</v>
      </c>
      <c r="AJF15">
        <v>341</v>
      </c>
      <c r="AJG15" s="5"/>
      <c r="AJH15">
        <f t="shared" si="157"/>
        <v>19</v>
      </c>
      <c r="AJI15" t="s">
        <v>4464</v>
      </c>
      <c r="AJJ15" t="s">
        <v>4465</v>
      </c>
      <c r="AJK15">
        <v>8.3580224514007568</v>
      </c>
      <c r="AJL15">
        <v>427</v>
      </c>
      <c r="AJM15" s="2"/>
      <c r="AJP15" t="s">
        <v>4466</v>
      </c>
      <c r="AJR15">
        <v>506</v>
      </c>
      <c r="AJX15">
        <v>589</v>
      </c>
      <c r="AJZ15">
        <f t="shared" si="160"/>
        <v>35</v>
      </c>
      <c r="AKA15" t="s">
        <v>4467</v>
      </c>
      <c r="AKB15" t="s">
        <v>4468</v>
      </c>
      <c r="AKC15">
        <v>4.5494213104248047</v>
      </c>
      <c r="AKD15">
        <v>509</v>
      </c>
      <c r="AKE15" s="5"/>
      <c r="AKH15" t="s">
        <v>4257</v>
      </c>
      <c r="AKJ15">
        <v>579</v>
      </c>
      <c r="AKN15" t="s">
        <v>4469</v>
      </c>
      <c r="AKP15">
        <v>426</v>
      </c>
      <c r="AKV15">
        <v>477</v>
      </c>
      <c r="AKX15">
        <f t="shared" si="164"/>
        <v>22</v>
      </c>
      <c r="AKY15" t="s">
        <v>4470</v>
      </c>
      <c r="AKZ15" t="s">
        <v>4471</v>
      </c>
      <c r="ALA15">
        <v>23.54803895950317</v>
      </c>
      <c r="ALB15">
        <v>521</v>
      </c>
      <c r="ALC15" s="5"/>
      <c r="ALD15">
        <f t="shared" si="165"/>
        <v>26</v>
      </c>
      <c r="ALE15" t="s">
        <v>2799</v>
      </c>
      <c r="ALF15" t="s">
        <v>4472</v>
      </c>
      <c r="ALG15">
        <v>12.80515766143799</v>
      </c>
      <c r="ALH15">
        <v>406</v>
      </c>
      <c r="ALI15" s="2"/>
      <c r="ALJ15">
        <f t="shared" si="166"/>
        <v>94</v>
      </c>
      <c r="ALK15" t="s">
        <v>4473</v>
      </c>
      <c r="ALL15" t="s">
        <v>4474</v>
      </c>
      <c r="ALM15">
        <v>161.46758818626401</v>
      </c>
      <c r="ALN15">
        <v>558</v>
      </c>
      <c r="ALO15" s="5"/>
      <c r="ALP15">
        <f t="shared" si="167"/>
        <v>33</v>
      </c>
      <c r="ALQ15" t="s">
        <v>4475</v>
      </c>
      <c r="ALR15" t="s">
        <v>4476</v>
      </c>
      <c r="ALS15">
        <v>8.7231893539428711</v>
      </c>
      <c r="ALT15">
        <v>332</v>
      </c>
      <c r="ALU15" s="2"/>
      <c r="ALV15">
        <f t="shared" si="168"/>
        <v>11</v>
      </c>
      <c r="ALW15" t="s">
        <v>1191</v>
      </c>
      <c r="ALX15" t="s">
        <v>4477</v>
      </c>
      <c r="ALY15">
        <v>18.501610040664669</v>
      </c>
      <c r="ALZ15">
        <v>396</v>
      </c>
      <c r="AMA15" s="5"/>
      <c r="AMB15">
        <f t="shared" si="169"/>
        <v>14</v>
      </c>
      <c r="AMC15" t="s">
        <v>643</v>
      </c>
      <c r="AMD15" t="s">
        <v>4478</v>
      </c>
      <c r="AME15">
        <v>8.4723556041717529</v>
      </c>
      <c r="AMF15">
        <v>433</v>
      </c>
      <c r="AMG15" s="2"/>
      <c r="AMH15">
        <f t="shared" si="170"/>
        <v>7</v>
      </c>
      <c r="AMI15" t="s">
        <v>1802</v>
      </c>
      <c r="AMJ15" t="s">
        <v>4479</v>
      </c>
      <c r="AMK15">
        <v>3.717893123626709</v>
      </c>
      <c r="AML15">
        <v>537</v>
      </c>
      <c r="AMM15" s="5"/>
      <c r="AMN15">
        <f t="shared" si="171"/>
        <v>19</v>
      </c>
      <c r="AMO15" t="s">
        <v>3772</v>
      </c>
      <c r="AMP15" t="s">
        <v>4480</v>
      </c>
      <c r="AMQ15">
        <v>4.6172022819519043</v>
      </c>
      <c r="AMR15">
        <v>542</v>
      </c>
      <c r="AMS15" s="2"/>
      <c r="AMT15">
        <f t="shared" si="172"/>
        <v>14</v>
      </c>
      <c r="AMU15" t="s">
        <v>232</v>
      </c>
      <c r="AMV15" t="s">
        <v>4481</v>
      </c>
      <c r="AMW15">
        <v>4.1789531707763672</v>
      </c>
      <c r="AMX15">
        <v>604</v>
      </c>
      <c r="AMY15" s="5"/>
      <c r="AMZ15">
        <f t="shared" si="173"/>
        <v>12</v>
      </c>
      <c r="ANA15" t="s">
        <v>2549</v>
      </c>
      <c r="ANB15" t="s">
        <v>4482</v>
      </c>
      <c r="ANC15">
        <v>3.7398195266723628</v>
      </c>
      <c r="AND15">
        <v>453</v>
      </c>
      <c r="ANE15" s="2"/>
      <c r="ANF15">
        <f t="shared" si="174"/>
        <v>18</v>
      </c>
      <c r="ANG15" t="s">
        <v>4483</v>
      </c>
      <c r="ANH15" t="s">
        <v>4484</v>
      </c>
      <c r="ANI15">
        <v>12.353497743606569</v>
      </c>
      <c r="ANJ15">
        <v>552</v>
      </c>
      <c r="ANK15" s="5"/>
      <c r="ANL15">
        <f t="shared" si="175"/>
        <v>26</v>
      </c>
      <c r="ANM15" t="s">
        <v>4485</v>
      </c>
      <c r="ANN15" t="s">
        <v>4486</v>
      </c>
      <c r="ANO15">
        <v>21.591648101806641</v>
      </c>
      <c r="ANP15">
        <v>390</v>
      </c>
      <c r="ANQ15" s="2"/>
      <c r="ANR15">
        <f t="shared" si="176"/>
        <v>22</v>
      </c>
      <c r="ANS15" t="s">
        <v>2398</v>
      </c>
      <c r="ANT15" t="s">
        <v>4487</v>
      </c>
      <c r="ANU15">
        <v>5.7245590686798096</v>
      </c>
      <c r="ANV15">
        <v>421</v>
      </c>
      <c r="ANW15" s="5"/>
      <c r="ANX15">
        <f t="shared" si="177"/>
        <v>16</v>
      </c>
      <c r="ANY15" t="s">
        <v>3749</v>
      </c>
      <c r="ANZ15" t="s">
        <v>4488</v>
      </c>
      <c r="AOA15">
        <v>6.0202977657318124</v>
      </c>
      <c r="AOB15">
        <v>456</v>
      </c>
      <c r="AOC15" s="2"/>
      <c r="AOD15">
        <f t="shared" si="178"/>
        <v>20</v>
      </c>
      <c r="AOE15" t="s">
        <v>3191</v>
      </c>
      <c r="AOF15" t="s">
        <v>4489</v>
      </c>
      <c r="AOG15">
        <v>4.594649076461792</v>
      </c>
      <c r="AOH15">
        <v>538</v>
      </c>
      <c r="AOI15" s="5"/>
      <c r="AOJ15">
        <f t="shared" si="179"/>
        <v>8</v>
      </c>
      <c r="AOK15" t="s">
        <v>232</v>
      </c>
      <c r="AOL15" t="s">
        <v>232</v>
      </c>
      <c r="AOM15">
        <v>3.2277464866638179</v>
      </c>
      <c r="AON15">
        <v>448</v>
      </c>
      <c r="AOO15" s="2"/>
      <c r="AOP15">
        <f t="shared" si="180"/>
        <v>21</v>
      </c>
      <c r="AOQ15" t="s">
        <v>4485</v>
      </c>
      <c r="AOR15" t="s">
        <v>4490</v>
      </c>
      <c r="AOS15">
        <v>3.9046058654785161</v>
      </c>
      <c r="AOT15">
        <v>681</v>
      </c>
      <c r="AOU15" s="5"/>
      <c r="AOX15" t="s">
        <v>4491</v>
      </c>
      <c r="AOZ15">
        <v>384</v>
      </c>
      <c r="APB15">
        <f t="shared" si="182"/>
        <v>15</v>
      </c>
      <c r="APC15" t="s">
        <v>137</v>
      </c>
      <c r="APD15" t="s">
        <v>4492</v>
      </c>
      <c r="APE15">
        <v>4.5608561038970947</v>
      </c>
      <c r="APF15">
        <v>517</v>
      </c>
      <c r="APG15" s="5"/>
      <c r="APH15">
        <f t="shared" si="183"/>
        <v>13</v>
      </c>
      <c r="API15" t="s">
        <v>13</v>
      </c>
      <c r="APJ15" t="s">
        <v>4493</v>
      </c>
      <c r="APK15">
        <v>4.867988109588623</v>
      </c>
      <c r="APL15">
        <v>494</v>
      </c>
      <c r="APM15" s="2"/>
      <c r="APN15">
        <f t="shared" si="184"/>
        <v>28</v>
      </c>
      <c r="APO15" t="s">
        <v>1084</v>
      </c>
      <c r="APP15" t="s">
        <v>4494</v>
      </c>
      <c r="APQ15">
        <v>14.48945641517639</v>
      </c>
      <c r="APR15">
        <v>431</v>
      </c>
      <c r="APS15" s="5"/>
      <c r="APT15">
        <f t="shared" si="185"/>
        <v>18</v>
      </c>
      <c r="APU15" t="s">
        <v>4495</v>
      </c>
      <c r="APV15" t="s">
        <v>4496</v>
      </c>
      <c r="APW15">
        <v>4.4431958198547363</v>
      </c>
      <c r="APX15">
        <v>522</v>
      </c>
      <c r="APY15" s="2"/>
      <c r="AQN15" t="s">
        <v>4497</v>
      </c>
      <c r="AQP15">
        <v>479</v>
      </c>
      <c r="AQV15">
        <v>546</v>
      </c>
      <c r="AQZ15" t="s">
        <v>1525</v>
      </c>
      <c r="ARB15">
        <v>453</v>
      </c>
      <c r="ARH15">
        <v>481</v>
      </c>
      <c r="ARJ15">
        <f t="shared" si="192"/>
        <v>21</v>
      </c>
      <c r="ARK15" t="s">
        <v>4498</v>
      </c>
      <c r="ARL15" t="s">
        <v>4499</v>
      </c>
      <c r="ARM15">
        <v>12.97875237464905</v>
      </c>
      <c r="ARN15">
        <v>378</v>
      </c>
      <c r="ARO15" s="5"/>
      <c r="ARP15">
        <f t="shared" si="193"/>
        <v>53</v>
      </c>
      <c r="ARQ15" t="s">
        <v>4500</v>
      </c>
      <c r="ARR15" t="s">
        <v>4501</v>
      </c>
      <c r="ARS15">
        <v>142.521769285202</v>
      </c>
      <c r="ART15">
        <v>440</v>
      </c>
      <c r="ARU15" s="2"/>
      <c r="ARV15">
        <f t="shared" si="194"/>
        <v>12</v>
      </c>
      <c r="ARW15" t="s">
        <v>4244</v>
      </c>
      <c r="ARX15" t="s">
        <v>4502</v>
      </c>
      <c r="ARY15">
        <v>4.4598207473754883</v>
      </c>
      <c r="ARZ15">
        <v>601</v>
      </c>
      <c r="ASA15" s="5"/>
      <c r="ASB15">
        <f t="shared" si="195"/>
        <v>21</v>
      </c>
      <c r="ASC15" t="s">
        <v>4503</v>
      </c>
      <c r="ASD15" t="s">
        <v>4504</v>
      </c>
      <c r="ASE15">
        <v>3.5859813690185551</v>
      </c>
      <c r="ASF15">
        <v>459</v>
      </c>
      <c r="ASG15" s="2"/>
      <c r="ASH15">
        <f t="shared" si="196"/>
        <v>29</v>
      </c>
      <c r="ASI15" t="s">
        <v>66</v>
      </c>
      <c r="ASJ15" t="s">
        <v>4505</v>
      </c>
      <c r="ASK15">
        <v>20.029198884963989</v>
      </c>
      <c r="ASL15">
        <v>483</v>
      </c>
      <c r="ASM15" s="5"/>
      <c r="ASN15">
        <f t="shared" si="197"/>
        <v>17</v>
      </c>
      <c r="ASO15" t="s">
        <v>4067</v>
      </c>
      <c r="ASP15" t="s">
        <v>4506</v>
      </c>
      <c r="ASQ15">
        <v>10.850518941879271</v>
      </c>
      <c r="ASR15">
        <v>369</v>
      </c>
      <c r="ASS15" s="2"/>
      <c r="AST15">
        <f t="shared" si="198"/>
        <v>54</v>
      </c>
      <c r="ASU15" t="s">
        <v>4507</v>
      </c>
      <c r="ASV15" t="s">
        <v>4508</v>
      </c>
      <c r="ASW15">
        <v>15.713952779769899</v>
      </c>
      <c r="ASX15">
        <v>413</v>
      </c>
      <c r="ASY15" s="5"/>
      <c r="ASZ15">
        <f t="shared" si="199"/>
        <v>28</v>
      </c>
      <c r="ATA15" t="s">
        <v>4509</v>
      </c>
      <c r="ATB15" t="s">
        <v>4510</v>
      </c>
      <c r="ATC15">
        <v>15.848124027252201</v>
      </c>
      <c r="ATD15">
        <v>349</v>
      </c>
      <c r="ATE15" s="2"/>
      <c r="ATF15">
        <f t="shared" si="200"/>
        <v>28</v>
      </c>
      <c r="ATG15" t="s">
        <v>4511</v>
      </c>
      <c r="ATH15" t="s">
        <v>3945</v>
      </c>
      <c r="ATI15">
        <v>5.1958067417144784</v>
      </c>
      <c r="ATJ15">
        <v>492</v>
      </c>
      <c r="ATK15" s="5"/>
      <c r="ATN15" t="s">
        <v>4257</v>
      </c>
      <c r="ATP15">
        <v>476</v>
      </c>
      <c r="ATT15" t="s">
        <v>4512</v>
      </c>
      <c r="ATV15">
        <v>375</v>
      </c>
      <c r="AUB15">
        <v>530</v>
      </c>
    </row>
    <row r="16" spans="2:1225" x14ac:dyDescent="0.25">
      <c r="B16">
        <f t="shared" si="0"/>
        <v>37</v>
      </c>
      <c r="C16" t="s">
        <v>4513</v>
      </c>
      <c r="D16" t="s">
        <v>4514</v>
      </c>
      <c r="E16">
        <v>13.503503561019899</v>
      </c>
      <c r="F16">
        <v>323</v>
      </c>
      <c r="G16" s="1"/>
      <c r="H16">
        <f t="shared" si="1"/>
        <v>46</v>
      </c>
      <c r="I16" t="s">
        <v>3868</v>
      </c>
      <c r="J16" t="s">
        <v>4515</v>
      </c>
      <c r="K16">
        <v>30.07936692237854</v>
      </c>
      <c r="L16">
        <v>623</v>
      </c>
      <c r="M16" s="2"/>
      <c r="N16">
        <f t="shared" si="2"/>
        <v>9</v>
      </c>
      <c r="O16" t="s">
        <v>905</v>
      </c>
      <c r="P16" t="s">
        <v>905</v>
      </c>
      <c r="Q16">
        <v>3.0174050331115718</v>
      </c>
      <c r="R16">
        <v>493</v>
      </c>
      <c r="S16" s="1"/>
      <c r="V16" t="s">
        <v>1102</v>
      </c>
      <c r="X16">
        <v>597</v>
      </c>
      <c r="Z16">
        <f t="shared" si="4"/>
        <v>16</v>
      </c>
      <c r="AA16" t="s">
        <v>4516</v>
      </c>
      <c r="AB16" t="s">
        <v>4517</v>
      </c>
      <c r="AC16">
        <v>4.3300487995147714</v>
      </c>
      <c r="AD16">
        <v>390</v>
      </c>
      <c r="AE16" s="1"/>
      <c r="AF16">
        <f t="shared" si="5"/>
        <v>15</v>
      </c>
      <c r="AG16" t="s">
        <v>1417</v>
      </c>
      <c r="AH16" t="s">
        <v>4518</v>
      </c>
      <c r="AI16">
        <v>5.0698833465576172</v>
      </c>
      <c r="AJ16">
        <v>467</v>
      </c>
      <c r="AK16" s="2"/>
      <c r="AX16">
        <f t="shared" si="8"/>
        <v>60</v>
      </c>
      <c r="AY16" t="s">
        <v>4519</v>
      </c>
      <c r="AZ16" t="s">
        <v>4520</v>
      </c>
      <c r="BA16">
        <v>17.267827272415161</v>
      </c>
      <c r="BB16">
        <v>449</v>
      </c>
      <c r="BC16" s="1"/>
      <c r="BD16">
        <f t="shared" si="9"/>
        <v>14</v>
      </c>
      <c r="BE16" t="s">
        <v>3577</v>
      </c>
      <c r="BF16" t="s">
        <v>4521</v>
      </c>
      <c r="BG16">
        <v>3.3672254085540771</v>
      </c>
      <c r="BH16">
        <v>532</v>
      </c>
      <c r="BI16" s="2"/>
      <c r="BJ16">
        <f t="shared" si="10"/>
        <v>11</v>
      </c>
      <c r="BK16" t="s">
        <v>3563</v>
      </c>
      <c r="BL16" t="s">
        <v>3563</v>
      </c>
      <c r="BM16">
        <v>2.6909899711608891</v>
      </c>
      <c r="BN16">
        <v>424</v>
      </c>
      <c r="BO16" s="1"/>
      <c r="BR16" t="s">
        <v>600</v>
      </c>
      <c r="BT16">
        <v>510</v>
      </c>
      <c r="CT16">
        <f t="shared" si="16"/>
        <v>11</v>
      </c>
      <c r="CU16" t="s">
        <v>232</v>
      </c>
      <c r="CV16" t="s">
        <v>4522</v>
      </c>
      <c r="CW16">
        <v>3.530487060546875</v>
      </c>
      <c r="CX16">
        <v>413</v>
      </c>
      <c r="CY16" s="1"/>
      <c r="CZ16">
        <f t="shared" si="17"/>
        <v>13</v>
      </c>
      <c r="DA16" t="s">
        <v>4523</v>
      </c>
      <c r="DB16" t="s">
        <v>4524</v>
      </c>
      <c r="DC16">
        <v>3.7554492950439449</v>
      </c>
      <c r="DD16">
        <v>477</v>
      </c>
      <c r="DE16" s="2"/>
      <c r="DF16">
        <f t="shared" si="18"/>
        <v>24</v>
      </c>
      <c r="DG16" t="s">
        <v>3453</v>
      </c>
      <c r="DH16" t="s">
        <v>1375</v>
      </c>
      <c r="DI16">
        <v>2.6702136993408199</v>
      </c>
      <c r="DJ16">
        <v>579</v>
      </c>
      <c r="DK16" s="1"/>
      <c r="DN16" t="s">
        <v>4525</v>
      </c>
      <c r="DP16">
        <v>394</v>
      </c>
      <c r="DT16" t="s">
        <v>4526</v>
      </c>
      <c r="DV16">
        <v>494</v>
      </c>
      <c r="EB16">
        <v>509</v>
      </c>
      <c r="EP16">
        <f t="shared" si="24"/>
        <v>18</v>
      </c>
      <c r="EQ16" t="s">
        <v>4527</v>
      </c>
      <c r="ER16" t="s">
        <v>4528</v>
      </c>
      <c r="ES16">
        <v>4.6385335922241211</v>
      </c>
      <c r="ET16">
        <v>384</v>
      </c>
      <c r="EU16" s="1"/>
      <c r="EV16">
        <f t="shared" si="25"/>
        <v>14</v>
      </c>
      <c r="EW16" t="s">
        <v>1163</v>
      </c>
      <c r="EX16" t="s">
        <v>4529</v>
      </c>
      <c r="EY16">
        <v>4.3732147216796884</v>
      </c>
      <c r="EZ16">
        <v>498</v>
      </c>
      <c r="FA16" s="2"/>
      <c r="FB16">
        <f t="shared" si="26"/>
        <v>0</v>
      </c>
      <c r="FD16" t="s">
        <v>4257</v>
      </c>
      <c r="FE16">
        <v>3.4328305721282959</v>
      </c>
      <c r="FF16">
        <v>512</v>
      </c>
      <c r="FG16" s="1"/>
      <c r="FH16">
        <f t="shared" si="27"/>
        <v>5</v>
      </c>
      <c r="FI16" t="s">
        <v>600</v>
      </c>
      <c r="FJ16" t="s">
        <v>600</v>
      </c>
      <c r="FK16">
        <v>3.5389301776885991</v>
      </c>
      <c r="FL16">
        <v>401</v>
      </c>
      <c r="FM16" s="2"/>
      <c r="FN16">
        <f t="shared" si="28"/>
        <v>19</v>
      </c>
      <c r="FO16" t="s">
        <v>1060</v>
      </c>
      <c r="FP16" t="s">
        <v>4530</v>
      </c>
      <c r="FQ16">
        <v>3.9205787181854248</v>
      </c>
      <c r="FR16">
        <v>597</v>
      </c>
      <c r="FS16" s="1"/>
      <c r="FT16">
        <f t="shared" si="29"/>
        <v>9</v>
      </c>
      <c r="FU16" t="s">
        <v>905</v>
      </c>
      <c r="FV16" t="s">
        <v>905</v>
      </c>
      <c r="FW16">
        <v>3.427764892578125</v>
      </c>
      <c r="FX16">
        <v>503</v>
      </c>
      <c r="FY16" s="2"/>
      <c r="FZ16">
        <f t="shared" si="30"/>
        <v>24</v>
      </c>
      <c r="GA16" t="s">
        <v>3461</v>
      </c>
      <c r="GB16" t="s">
        <v>4531</v>
      </c>
      <c r="GC16">
        <v>6.5281674861907959</v>
      </c>
      <c r="GD16">
        <v>537</v>
      </c>
      <c r="GE16" s="1"/>
      <c r="GF16">
        <f t="shared" si="31"/>
        <v>0</v>
      </c>
      <c r="GH16" t="s">
        <v>4257</v>
      </c>
      <c r="GI16">
        <v>3.0089137554168701</v>
      </c>
      <c r="GJ16">
        <v>469</v>
      </c>
      <c r="GK16" s="2"/>
      <c r="GN16" t="s">
        <v>905</v>
      </c>
      <c r="GP16">
        <v>450</v>
      </c>
      <c r="GV16">
        <v>404</v>
      </c>
      <c r="GX16">
        <f t="shared" si="34"/>
        <v>10</v>
      </c>
      <c r="GY16" t="s">
        <v>4532</v>
      </c>
      <c r="GZ16" t="s">
        <v>4533</v>
      </c>
      <c r="HA16">
        <v>3.8731451034545898</v>
      </c>
      <c r="HB16">
        <v>435</v>
      </c>
      <c r="HC16" s="1"/>
      <c r="HD16">
        <f t="shared" si="35"/>
        <v>14</v>
      </c>
      <c r="HE16" t="s">
        <v>4354</v>
      </c>
      <c r="HF16" t="s">
        <v>4534</v>
      </c>
      <c r="HG16">
        <v>5.1427247524261466</v>
      </c>
      <c r="HH16">
        <v>543</v>
      </c>
      <c r="HI16" s="2"/>
      <c r="IH16">
        <f t="shared" si="40"/>
        <v>15</v>
      </c>
      <c r="II16" t="s">
        <v>3318</v>
      </c>
      <c r="IJ16" t="s">
        <v>4535</v>
      </c>
      <c r="IK16">
        <v>4.6036176681518546</v>
      </c>
      <c r="IL16">
        <v>438</v>
      </c>
      <c r="IM16" s="1"/>
      <c r="IN16">
        <f t="shared" si="41"/>
        <v>6</v>
      </c>
      <c r="IO16" t="s">
        <v>4536</v>
      </c>
      <c r="IP16" t="s">
        <v>4537</v>
      </c>
      <c r="IQ16">
        <v>3.5849957466125488</v>
      </c>
      <c r="IR16">
        <v>566</v>
      </c>
      <c r="IS16" s="2"/>
      <c r="IT16">
        <f t="shared" si="42"/>
        <v>12</v>
      </c>
      <c r="IU16" t="s">
        <v>3529</v>
      </c>
      <c r="IV16" t="s">
        <v>4538</v>
      </c>
      <c r="IW16">
        <v>5.5095169544219971</v>
      </c>
      <c r="IX16">
        <v>476</v>
      </c>
      <c r="IY16" s="1"/>
      <c r="IZ16">
        <f t="shared" si="43"/>
        <v>14</v>
      </c>
      <c r="JA16" t="s">
        <v>3624</v>
      </c>
      <c r="JB16" t="s">
        <v>4539</v>
      </c>
      <c r="JC16">
        <v>3.765082836151123</v>
      </c>
      <c r="JD16">
        <v>413</v>
      </c>
      <c r="JE16" s="2"/>
      <c r="JH16" t="s">
        <v>4540</v>
      </c>
      <c r="JJ16">
        <v>339</v>
      </c>
      <c r="JP16">
        <v>518</v>
      </c>
      <c r="JR16">
        <f t="shared" si="46"/>
        <v>16</v>
      </c>
      <c r="JS16" t="s">
        <v>1802</v>
      </c>
      <c r="JT16" t="s">
        <v>4541</v>
      </c>
      <c r="JU16">
        <v>4.2738099098205566</v>
      </c>
      <c r="JV16">
        <v>375</v>
      </c>
      <c r="JW16" s="1"/>
      <c r="JX16">
        <f t="shared" si="47"/>
        <v>26</v>
      </c>
      <c r="JY16" t="s">
        <v>4542</v>
      </c>
      <c r="JZ16" t="s">
        <v>4543</v>
      </c>
      <c r="KA16">
        <v>55.182744741439819</v>
      </c>
      <c r="KB16">
        <v>549</v>
      </c>
      <c r="KC16" s="2"/>
      <c r="KD16">
        <f t="shared" si="48"/>
        <v>16</v>
      </c>
      <c r="KE16" t="s">
        <v>4544</v>
      </c>
      <c r="KF16" t="s">
        <v>4545</v>
      </c>
      <c r="KG16">
        <v>4.8149306774139404</v>
      </c>
      <c r="KH16">
        <v>559</v>
      </c>
      <c r="KI16" s="1"/>
      <c r="KJ16">
        <f t="shared" si="49"/>
        <v>12</v>
      </c>
      <c r="KK16" t="s">
        <v>3502</v>
      </c>
      <c r="KL16" t="s">
        <v>1525</v>
      </c>
      <c r="KM16">
        <v>3.3528542518615718</v>
      </c>
      <c r="KN16">
        <v>521</v>
      </c>
      <c r="KO16" s="2"/>
      <c r="KR16" t="s">
        <v>4546</v>
      </c>
      <c r="KT16">
        <v>389</v>
      </c>
      <c r="KZ16">
        <v>515</v>
      </c>
      <c r="LD16" t="s">
        <v>4547</v>
      </c>
      <c r="LF16">
        <v>498</v>
      </c>
      <c r="LL16">
        <v>494</v>
      </c>
      <c r="LN16">
        <f t="shared" si="54"/>
        <v>0</v>
      </c>
      <c r="LP16" t="s">
        <v>600</v>
      </c>
      <c r="LQ16">
        <v>3.229939222335815</v>
      </c>
      <c r="LR16">
        <v>380</v>
      </c>
      <c r="LS16" s="1"/>
      <c r="LT16">
        <f t="shared" si="55"/>
        <v>0</v>
      </c>
      <c r="LV16" t="s">
        <v>4257</v>
      </c>
      <c r="LW16">
        <v>3.1006672382354741</v>
      </c>
      <c r="LX16">
        <v>424</v>
      </c>
      <c r="LY16" s="2"/>
      <c r="LZ16">
        <f t="shared" si="56"/>
        <v>16</v>
      </c>
      <c r="MA16" t="s">
        <v>4548</v>
      </c>
      <c r="MB16" t="s">
        <v>4549</v>
      </c>
      <c r="MC16">
        <v>5.2579617500305176</v>
      </c>
      <c r="MD16">
        <v>322</v>
      </c>
      <c r="ME16" s="1"/>
      <c r="MF16">
        <f t="shared" si="57"/>
        <v>22</v>
      </c>
      <c r="MG16" t="s">
        <v>4550</v>
      </c>
      <c r="MH16" t="s">
        <v>4551</v>
      </c>
      <c r="MI16">
        <v>13.00221061706543</v>
      </c>
      <c r="MJ16">
        <v>465</v>
      </c>
      <c r="MK16" s="2"/>
      <c r="ML16">
        <f t="shared" si="58"/>
        <v>14</v>
      </c>
      <c r="MM16" t="s">
        <v>4552</v>
      </c>
      <c r="MN16" t="s">
        <v>4553</v>
      </c>
      <c r="MO16">
        <v>5.8583459854125977</v>
      </c>
      <c r="MP16">
        <v>459</v>
      </c>
      <c r="MQ16" s="1"/>
      <c r="MR16">
        <f t="shared" si="59"/>
        <v>5</v>
      </c>
      <c r="MS16" t="s">
        <v>4554</v>
      </c>
      <c r="MT16" t="s">
        <v>4554</v>
      </c>
      <c r="MU16">
        <v>3.4289295673370361</v>
      </c>
      <c r="MV16">
        <v>513</v>
      </c>
      <c r="MW16" s="2"/>
      <c r="MX16">
        <f t="shared" si="60"/>
        <v>34</v>
      </c>
      <c r="MY16" t="s">
        <v>4555</v>
      </c>
      <c r="MZ16" t="s">
        <v>4556</v>
      </c>
      <c r="NA16">
        <v>137.12124180793759</v>
      </c>
      <c r="NB16">
        <v>404</v>
      </c>
      <c r="NC16" s="1"/>
      <c r="ND16">
        <f t="shared" si="61"/>
        <v>49</v>
      </c>
      <c r="NE16" t="s">
        <v>4557</v>
      </c>
      <c r="NF16" t="s">
        <v>4558</v>
      </c>
      <c r="NG16">
        <v>151.11053514480591</v>
      </c>
      <c r="NH16">
        <v>383</v>
      </c>
      <c r="NI16" s="2"/>
      <c r="NJ16">
        <f t="shared" si="62"/>
        <v>10</v>
      </c>
      <c r="NK16" t="s">
        <v>2295</v>
      </c>
      <c r="NL16" t="s">
        <v>4559</v>
      </c>
      <c r="NM16">
        <v>3.9404246807098389</v>
      </c>
      <c r="NN16">
        <v>376</v>
      </c>
      <c r="NO16" s="1"/>
      <c r="NP16">
        <f t="shared" si="63"/>
        <v>10</v>
      </c>
      <c r="NQ16" t="s">
        <v>1108</v>
      </c>
      <c r="NR16" t="s">
        <v>4560</v>
      </c>
      <c r="NS16">
        <v>3.7670669555664058</v>
      </c>
      <c r="NT16">
        <v>565</v>
      </c>
      <c r="NU16" s="2"/>
      <c r="NV16">
        <f t="shared" si="64"/>
        <v>17</v>
      </c>
      <c r="NW16" t="s">
        <v>1044</v>
      </c>
      <c r="NX16" t="s">
        <v>4561</v>
      </c>
      <c r="NY16">
        <v>5.175250768661499</v>
      </c>
      <c r="NZ16">
        <v>511</v>
      </c>
      <c r="OA16" s="1"/>
      <c r="OB16">
        <f t="shared" si="65"/>
        <v>18</v>
      </c>
      <c r="OC16" t="s">
        <v>4562</v>
      </c>
      <c r="OD16" t="s">
        <v>4563</v>
      </c>
      <c r="OE16">
        <v>8.6105291843414307</v>
      </c>
      <c r="OF16">
        <v>427</v>
      </c>
      <c r="OG16" s="2"/>
      <c r="OH16">
        <f t="shared" si="66"/>
        <v>7</v>
      </c>
      <c r="OI16" t="s">
        <v>1102</v>
      </c>
      <c r="OJ16" t="s">
        <v>3923</v>
      </c>
      <c r="OK16">
        <v>3.5475633144378662</v>
      </c>
      <c r="OL16">
        <v>499</v>
      </c>
      <c r="OM16" s="1"/>
      <c r="ON16">
        <f t="shared" si="67"/>
        <v>13</v>
      </c>
      <c r="OO16" t="s">
        <v>1127</v>
      </c>
      <c r="OP16" t="s">
        <v>4564</v>
      </c>
      <c r="OQ16">
        <v>4.5249338150024414</v>
      </c>
      <c r="OR16">
        <v>438</v>
      </c>
      <c r="OS16" s="2"/>
      <c r="OT16">
        <f t="shared" si="68"/>
        <v>18</v>
      </c>
      <c r="OU16" t="s">
        <v>4565</v>
      </c>
      <c r="OV16" t="s">
        <v>4566</v>
      </c>
      <c r="OW16">
        <v>9.4192135334014893</v>
      </c>
      <c r="OX16">
        <v>482</v>
      </c>
      <c r="OY16" s="1"/>
      <c r="OZ16">
        <f t="shared" si="69"/>
        <v>8</v>
      </c>
      <c r="PA16" t="s">
        <v>4377</v>
      </c>
      <c r="PB16" t="s">
        <v>4567</v>
      </c>
      <c r="PC16">
        <v>3.646004199981689</v>
      </c>
      <c r="PD16">
        <v>426</v>
      </c>
      <c r="PE16" s="2"/>
      <c r="PH16" t="s">
        <v>4568</v>
      </c>
      <c r="PJ16">
        <v>385</v>
      </c>
      <c r="PP16">
        <v>511</v>
      </c>
      <c r="PR16">
        <f t="shared" si="72"/>
        <v>23</v>
      </c>
      <c r="PS16" t="s">
        <v>4569</v>
      </c>
      <c r="PT16" t="s">
        <v>1102</v>
      </c>
      <c r="PU16">
        <v>3.062557458877563</v>
      </c>
      <c r="PV16">
        <v>530</v>
      </c>
      <c r="PW16" s="1"/>
      <c r="PZ16" t="s">
        <v>4257</v>
      </c>
      <c r="QB16">
        <v>498</v>
      </c>
      <c r="QF16" t="s">
        <v>1375</v>
      </c>
      <c r="QH16">
        <v>512</v>
      </c>
      <c r="QN16">
        <v>453</v>
      </c>
      <c r="QP16">
        <f t="shared" si="76"/>
        <v>62</v>
      </c>
      <c r="QQ16" t="s">
        <v>4570</v>
      </c>
      <c r="QR16" t="s">
        <v>4571</v>
      </c>
      <c r="QS16">
        <v>192.52230286598211</v>
      </c>
      <c r="QT16">
        <v>494</v>
      </c>
      <c r="QU16" s="1"/>
      <c r="QX16" t="s">
        <v>4572</v>
      </c>
      <c r="QZ16">
        <v>440</v>
      </c>
      <c r="RN16">
        <f t="shared" si="80"/>
        <v>9</v>
      </c>
      <c r="RO16" t="s">
        <v>1375</v>
      </c>
      <c r="RP16" t="s">
        <v>4573</v>
      </c>
      <c r="RQ16">
        <v>3.965960025787354</v>
      </c>
      <c r="RR16">
        <v>581</v>
      </c>
      <c r="RS16" s="1"/>
      <c r="RT16">
        <f t="shared" si="81"/>
        <v>0</v>
      </c>
      <c r="RV16" t="s">
        <v>4300</v>
      </c>
      <c r="RW16">
        <v>3.1164817810058589</v>
      </c>
      <c r="RX16">
        <v>426</v>
      </c>
      <c r="RY16" s="2"/>
      <c r="SB16" t="s">
        <v>4574</v>
      </c>
      <c r="SD16">
        <v>470</v>
      </c>
      <c r="SJ16">
        <v>462</v>
      </c>
      <c r="TL16" t="s">
        <v>4257</v>
      </c>
      <c r="TN16">
        <v>595</v>
      </c>
      <c r="TT16">
        <v>408</v>
      </c>
      <c r="TV16">
        <f t="shared" si="90"/>
        <v>15</v>
      </c>
      <c r="TW16" t="s">
        <v>39</v>
      </c>
      <c r="TX16" t="s">
        <v>4575</v>
      </c>
      <c r="TY16">
        <v>3.5421934127807622</v>
      </c>
      <c r="TZ16">
        <v>460</v>
      </c>
      <c r="UA16" s="1"/>
      <c r="UD16" t="s">
        <v>4576</v>
      </c>
      <c r="UF16">
        <v>633</v>
      </c>
      <c r="UH16">
        <f t="shared" si="92"/>
        <v>29</v>
      </c>
      <c r="UI16" t="s">
        <v>673</v>
      </c>
      <c r="UJ16" t="s">
        <v>4577</v>
      </c>
      <c r="UK16">
        <v>9.9632127285003662</v>
      </c>
      <c r="UL16">
        <v>300</v>
      </c>
      <c r="UM16" s="1"/>
      <c r="UN16">
        <f t="shared" si="93"/>
        <v>19</v>
      </c>
      <c r="UO16" t="s">
        <v>4578</v>
      </c>
      <c r="UP16" t="s">
        <v>4579</v>
      </c>
      <c r="UQ16">
        <v>8.5270397663116455</v>
      </c>
      <c r="UR16">
        <v>586</v>
      </c>
      <c r="US16" s="2"/>
      <c r="UT16">
        <f t="shared" si="94"/>
        <v>24</v>
      </c>
      <c r="UU16" t="s">
        <v>4580</v>
      </c>
      <c r="UV16" t="s">
        <v>4581</v>
      </c>
      <c r="UW16">
        <v>10.464239358901979</v>
      </c>
      <c r="UX16">
        <v>518</v>
      </c>
      <c r="UY16" s="1"/>
      <c r="UZ16">
        <f t="shared" si="95"/>
        <v>18</v>
      </c>
      <c r="VA16" t="s">
        <v>4582</v>
      </c>
      <c r="VB16" t="s">
        <v>4583</v>
      </c>
      <c r="VC16">
        <v>12.27611136436462</v>
      </c>
      <c r="VD16">
        <v>446</v>
      </c>
      <c r="VE16" s="2"/>
      <c r="VR16">
        <f t="shared" si="98"/>
        <v>23</v>
      </c>
      <c r="VS16" t="s">
        <v>4257</v>
      </c>
      <c r="VT16" t="s">
        <v>4584</v>
      </c>
      <c r="VU16">
        <v>3.354762077331543</v>
      </c>
      <c r="VV16">
        <v>373</v>
      </c>
      <c r="VW16" s="1"/>
      <c r="VX16">
        <f t="shared" si="99"/>
        <v>16</v>
      </c>
      <c r="VY16" t="s">
        <v>4585</v>
      </c>
      <c r="VZ16" t="s">
        <v>4586</v>
      </c>
      <c r="WA16">
        <v>4.3877003192901611</v>
      </c>
      <c r="WB16">
        <v>581</v>
      </c>
      <c r="WC16" s="2"/>
      <c r="WP16">
        <f t="shared" si="102"/>
        <v>18</v>
      </c>
      <c r="WQ16" t="s">
        <v>1375</v>
      </c>
      <c r="WR16" t="s">
        <v>1375</v>
      </c>
      <c r="WS16">
        <v>3.0403916835784912</v>
      </c>
      <c r="WT16">
        <v>545</v>
      </c>
      <c r="WU16" s="3"/>
      <c r="WX16" t="s">
        <v>4587</v>
      </c>
      <c r="WZ16">
        <v>456</v>
      </c>
      <c r="XP16" t="s">
        <v>4588</v>
      </c>
      <c r="XR16">
        <v>493</v>
      </c>
      <c r="XX16">
        <v>436</v>
      </c>
      <c r="XZ16">
        <f t="shared" si="108"/>
        <v>22</v>
      </c>
      <c r="YA16" t="s">
        <v>3747</v>
      </c>
      <c r="YB16" t="s">
        <v>1375</v>
      </c>
      <c r="YC16">
        <v>3.1346335411071782</v>
      </c>
      <c r="YD16">
        <v>508</v>
      </c>
      <c r="YE16" s="5"/>
      <c r="YH16" t="s">
        <v>4589</v>
      </c>
      <c r="YJ16">
        <v>355</v>
      </c>
      <c r="YX16">
        <f t="shared" si="112"/>
        <v>12</v>
      </c>
      <c r="YY16" t="s">
        <v>4218</v>
      </c>
      <c r="YZ16" t="s">
        <v>4590</v>
      </c>
      <c r="ZA16">
        <v>3.516058206558228</v>
      </c>
      <c r="ZB16">
        <v>473</v>
      </c>
      <c r="ZC16" s="5"/>
      <c r="ZD16">
        <f t="shared" si="113"/>
        <v>12</v>
      </c>
      <c r="ZE16" t="s">
        <v>4591</v>
      </c>
      <c r="ZF16" t="s">
        <v>4592</v>
      </c>
      <c r="ZG16">
        <v>3.2462315559387211</v>
      </c>
      <c r="ZH16">
        <v>429</v>
      </c>
      <c r="ZI16" s="2"/>
      <c r="ZV16">
        <f t="shared" si="116"/>
        <v>4</v>
      </c>
      <c r="ZW16" t="s">
        <v>673</v>
      </c>
      <c r="ZX16" t="s">
        <v>4593</v>
      </c>
      <c r="ZY16">
        <v>19.484351396560669</v>
      </c>
      <c r="ZZ16">
        <v>341</v>
      </c>
      <c r="AAA16" s="5"/>
      <c r="AAB16">
        <f t="shared" si="117"/>
        <v>19</v>
      </c>
      <c r="AAC16" t="s">
        <v>4594</v>
      </c>
      <c r="AAD16" t="s">
        <v>4595</v>
      </c>
      <c r="AAE16">
        <v>10.167966365814211</v>
      </c>
      <c r="AAF16">
        <v>504</v>
      </c>
      <c r="AAG16" s="2"/>
      <c r="AAV16" t="s">
        <v>4596</v>
      </c>
      <c r="AAX16">
        <v>389</v>
      </c>
      <c r="ABD16">
        <v>492</v>
      </c>
      <c r="ABH16" t="s">
        <v>4597</v>
      </c>
      <c r="ABJ16">
        <v>501</v>
      </c>
      <c r="ABP16">
        <v>590</v>
      </c>
      <c r="ABR16">
        <f t="shared" si="124"/>
        <v>43</v>
      </c>
      <c r="ABS16" t="s">
        <v>4598</v>
      </c>
      <c r="ABT16" t="s">
        <v>4599</v>
      </c>
      <c r="ABU16">
        <v>13.853965997695919</v>
      </c>
      <c r="ABV16">
        <v>583</v>
      </c>
      <c r="ABW16" s="5"/>
      <c r="ABX16">
        <f t="shared" si="125"/>
        <v>23</v>
      </c>
      <c r="ABY16" t="s">
        <v>4600</v>
      </c>
      <c r="ABZ16" t="s">
        <v>4601</v>
      </c>
      <c r="ACA16">
        <v>9.4858274459838867</v>
      </c>
      <c r="ACB16">
        <v>409</v>
      </c>
      <c r="ACC16" s="2"/>
      <c r="ACP16">
        <f t="shared" si="128"/>
        <v>50</v>
      </c>
      <c r="ACQ16" t="s">
        <v>4384</v>
      </c>
      <c r="ACR16" t="s">
        <v>4602</v>
      </c>
      <c r="ACS16">
        <v>18.427190780639648</v>
      </c>
      <c r="ACT16">
        <v>560</v>
      </c>
      <c r="ACU16" s="5"/>
      <c r="ACV16">
        <f t="shared" si="129"/>
        <v>17</v>
      </c>
      <c r="ACW16" t="s">
        <v>4603</v>
      </c>
      <c r="ACX16" t="s">
        <v>4604</v>
      </c>
      <c r="ACY16">
        <v>5.0256378650665283</v>
      </c>
      <c r="ACZ16">
        <v>479</v>
      </c>
      <c r="ADA16" s="2"/>
      <c r="ADB16">
        <f t="shared" si="130"/>
        <v>12</v>
      </c>
      <c r="ADC16" t="s">
        <v>232</v>
      </c>
      <c r="ADD16" t="s">
        <v>4605</v>
      </c>
      <c r="ADE16">
        <v>4.1276862621307373</v>
      </c>
      <c r="ADF16">
        <v>530</v>
      </c>
      <c r="ADG16" s="5"/>
      <c r="ADH16">
        <f t="shared" si="131"/>
        <v>0</v>
      </c>
      <c r="ADJ16" t="s">
        <v>4257</v>
      </c>
      <c r="ADK16">
        <v>3.0927867889404301</v>
      </c>
      <c r="ADL16">
        <v>464</v>
      </c>
      <c r="ADM16" s="2"/>
      <c r="ADN16">
        <f t="shared" si="132"/>
        <v>14</v>
      </c>
      <c r="ADO16" t="s">
        <v>4606</v>
      </c>
      <c r="ADP16" t="s">
        <v>4607</v>
      </c>
      <c r="ADQ16">
        <v>33.22151517868042</v>
      </c>
      <c r="ADR16">
        <v>562</v>
      </c>
      <c r="ADS16" s="5"/>
      <c r="ADT16">
        <f t="shared" si="133"/>
        <v>22</v>
      </c>
      <c r="ADU16" t="s">
        <v>4608</v>
      </c>
      <c r="ADV16" t="s">
        <v>4609</v>
      </c>
      <c r="ADW16">
        <v>13.060853481292719</v>
      </c>
      <c r="ADX16">
        <v>395</v>
      </c>
      <c r="ADY16" s="2"/>
      <c r="ADZ16">
        <f t="shared" si="134"/>
        <v>24</v>
      </c>
      <c r="AEA16" t="s">
        <v>4204</v>
      </c>
      <c r="AEB16" t="s">
        <v>4610</v>
      </c>
      <c r="AEC16">
        <v>9.6372082233428955</v>
      </c>
      <c r="AED16">
        <v>382</v>
      </c>
      <c r="AEE16" s="5"/>
      <c r="AEF16">
        <f t="shared" si="135"/>
        <v>18</v>
      </c>
      <c r="AEG16" t="s">
        <v>4611</v>
      </c>
      <c r="AEH16" t="s">
        <v>4612</v>
      </c>
      <c r="AEI16">
        <v>14.240146636962891</v>
      </c>
      <c r="AEJ16">
        <v>421</v>
      </c>
      <c r="AEK16" s="2"/>
      <c r="AEL16">
        <f t="shared" si="136"/>
        <v>72</v>
      </c>
      <c r="AEM16" t="s">
        <v>1177</v>
      </c>
      <c r="AEN16" t="s">
        <v>4613</v>
      </c>
      <c r="AEO16">
        <v>91.276335000991821</v>
      </c>
      <c r="AEP16">
        <v>638</v>
      </c>
      <c r="AEQ16" s="5"/>
      <c r="AER16">
        <f t="shared" si="137"/>
        <v>26</v>
      </c>
      <c r="AES16" t="s">
        <v>4614</v>
      </c>
      <c r="AET16" t="s">
        <v>4615</v>
      </c>
      <c r="AEU16">
        <v>4.1155409812927246</v>
      </c>
      <c r="AEV16">
        <v>474</v>
      </c>
      <c r="AEW16" s="2"/>
      <c r="AEX16">
        <f t="shared" si="138"/>
        <v>18</v>
      </c>
      <c r="AEY16" t="s">
        <v>1588</v>
      </c>
      <c r="AEZ16" t="s">
        <v>4616</v>
      </c>
      <c r="AFA16">
        <v>4.2417683601379386</v>
      </c>
      <c r="AFB16">
        <v>464</v>
      </c>
      <c r="AFC16" s="5"/>
      <c r="AFD16">
        <f t="shared" si="139"/>
        <v>21</v>
      </c>
      <c r="AFE16" t="s">
        <v>1606</v>
      </c>
      <c r="AFF16" t="s">
        <v>4617</v>
      </c>
      <c r="AFG16">
        <v>4.0809464454650879</v>
      </c>
      <c r="AFH16">
        <v>503</v>
      </c>
      <c r="AFI16" s="2"/>
      <c r="AFL16" t="s">
        <v>4618</v>
      </c>
      <c r="AFN16">
        <v>522</v>
      </c>
      <c r="AFT16">
        <v>496</v>
      </c>
      <c r="AFV16">
        <f t="shared" si="142"/>
        <v>0</v>
      </c>
      <c r="AFX16" t="s">
        <v>600</v>
      </c>
      <c r="AFY16">
        <v>3.4372284412384029</v>
      </c>
      <c r="AFZ16">
        <v>507</v>
      </c>
      <c r="AGA16" s="5"/>
      <c r="AGB16">
        <f t="shared" si="143"/>
        <v>8</v>
      </c>
      <c r="AGC16" t="s">
        <v>1492</v>
      </c>
      <c r="AGD16" t="s">
        <v>4619</v>
      </c>
      <c r="AGE16">
        <v>3.6076228618621831</v>
      </c>
      <c r="AGF16">
        <v>492</v>
      </c>
      <c r="AGG16" s="2"/>
      <c r="AGH16">
        <f t="shared" si="144"/>
        <v>18</v>
      </c>
      <c r="AGI16" t="s">
        <v>4226</v>
      </c>
      <c r="AGJ16" t="s">
        <v>4620</v>
      </c>
      <c r="AGK16">
        <v>8.5739634037017822</v>
      </c>
      <c r="AGL16">
        <v>415</v>
      </c>
      <c r="AGM16" s="5"/>
      <c r="AGN16">
        <f t="shared" si="145"/>
        <v>10</v>
      </c>
      <c r="AGO16" t="s">
        <v>873</v>
      </c>
      <c r="AGP16" t="s">
        <v>4621</v>
      </c>
      <c r="AGQ16">
        <v>4.2971377372741699</v>
      </c>
      <c r="AGR16">
        <v>482</v>
      </c>
      <c r="AGS16" s="2"/>
      <c r="AGT16">
        <f t="shared" si="146"/>
        <v>8</v>
      </c>
      <c r="AGU16" t="s">
        <v>728</v>
      </c>
      <c r="AGV16" t="s">
        <v>4622</v>
      </c>
      <c r="AGW16">
        <v>29.436799049377441</v>
      </c>
      <c r="AGX16">
        <v>336</v>
      </c>
      <c r="AGY16" s="5"/>
      <c r="AGZ16">
        <f t="shared" si="147"/>
        <v>20</v>
      </c>
      <c r="AHA16" t="s">
        <v>4623</v>
      </c>
      <c r="AHB16" t="s">
        <v>4624</v>
      </c>
      <c r="AHC16">
        <v>10.311400175094599</v>
      </c>
      <c r="AHD16">
        <v>446</v>
      </c>
      <c r="AHE16" s="2"/>
      <c r="AHF16">
        <f t="shared" si="148"/>
        <v>21</v>
      </c>
      <c r="AHG16" t="s">
        <v>4625</v>
      </c>
      <c r="AHH16" t="s">
        <v>4626</v>
      </c>
      <c r="AHI16">
        <v>6.1477959156036377</v>
      </c>
      <c r="AHJ16">
        <v>409</v>
      </c>
      <c r="AHK16" s="5"/>
      <c r="AHL16">
        <f t="shared" si="149"/>
        <v>12</v>
      </c>
      <c r="AHM16" t="s">
        <v>4627</v>
      </c>
      <c r="AHN16" t="s">
        <v>4628</v>
      </c>
      <c r="AHO16">
        <v>5.1929471492767334</v>
      </c>
      <c r="AHP16">
        <v>456</v>
      </c>
      <c r="AHQ16" s="2"/>
      <c r="AHR16">
        <f t="shared" si="150"/>
        <v>27</v>
      </c>
      <c r="AHS16" t="s">
        <v>4629</v>
      </c>
      <c r="AHT16" t="s">
        <v>4630</v>
      </c>
      <c r="AHU16">
        <v>34.959738731384277</v>
      </c>
      <c r="AHV16">
        <v>507</v>
      </c>
      <c r="AHW16" s="5"/>
      <c r="AHX16">
        <f t="shared" si="151"/>
        <v>38</v>
      </c>
      <c r="AHY16" t="s">
        <v>1588</v>
      </c>
      <c r="AHZ16" t="s">
        <v>4631</v>
      </c>
      <c r="AIA16">
        <v>80.375228643417358</v>
      </c>
      <c r="AIB16">
        <v>422</v>
      </c>
      <c r="AIC16" s="2"/>
      <c r="AIR16" t="s">
        <v>4257</v>
      </c>
      <c r="AIT16">
        <v>549</v>
      </c>
      <c r="AIZ16">
        <v>430</v>
      </c>
      <c r="AJB16">
        <f t="shared" si="156"/>
        <v>40</v>
      </c>
      <c r="AJC16" t="s">
        <v>4632</v>
      </c>
      <c r="AJD16" t="s">
        <v>4633</v>
      </c>
      <c r="AJE16">
        <v>20.61642599105835</v>
      </c>
      <c r="AJF16">
        <v>381</v>
      </c>
      <c r="AJG16" s="5"/>
      <c r="AJH16">
        <f t="shared" si="157"/>
        <v>14</v>
      </c>
      <c r="AJI16" t="s">
        <v>4634</v>
      </c>
      <c r="AJJ16" t="s">
        <v>4635</v>
      </c>
      <c r="AJK16">
        <v>5.8211402893066406</v>
      </c>
      <c r="AJL16">
        <v>441</v>
      </c>
      <c r="AJM16" s="2"/>
      <c r="AKX16">
        <f t="shared" si="164"/>
        <v>10</v>
      </c>
      <c r="AKY16" t="s">
        <v>1375</v>
      </c>
      <c r="AKZ16" t="s">
        <v>4636</v>
      </c>
      <c r="ALA16">
        <v>5.3701162338256836</v>
      </c>
      <c r="ALB16">
        <v>531</v>
      </c>
      <c r="ALC16" s="5"/>
      <c r="ALD16">
        <f t="shared" si="165"/>
        <v>20</v>
      </c>
      <c r="ALE16" t="s">
        <v>4637</v>
      </c>
      <c r="ALF16" t="s">
        <v>4638</v>
      </c>
      <c r="ALG16">
        <v>4.8643109798431396</v>
      </c>
      <c r="ALH16">
        <v>426</v>
      </c>
      <c r="ALI16" s="2"/>
      <c r="ALJ16">
        <f t="shared" si="166"/>
        <v>29</v>
      </c>
      <c r="ALK16" t="s">
        <v>903</v>
      </c>
      <c r="ALL16" t="s">
        <v>4639</v>
      </c>
      <c r="ALM16">
        <v>185.35216355323789</v>
      </c>
      <c r="ALN16">
        <v>587</v>
      </c>
      <c r="ALO16" s="5"/>
      <c r="ALP16">
        <f t="shared" si="167"/>
        <v>43</v>
      </c>
      <c r="ALQ16" t="s">
        <v>4640</v>
      </c>
      <c r="ALR16" t="s">
        <v>4641</v>
      </c>
      <c r="ALS16">
        <v>20.48842620849609</v>
      </c>
      <c r="ALT16">
        <v>375</v>
      </c>
      <c r="ALU16" s="2"/>
      <c r="ALV16">
        <f t="shared" si="168"/>
        <v>20</v>
      </c>
      <c r="ALW16" t="s">
        <v>705</v>
      </c>
      <c r="ALX16" t="s">
        <v>4477</v>
      </c>
      <c r="ALY16">
        <v>16.936007976531979</v>
      </c>
      <c r="ALZ16">
        <v>416</v>
      </c>
      <c r="AMA16" s="5"/>
      <c r="AMB16">
        <f t="shared" si="169"/>
        <v>16</v>
      </c>
      <c r="AMC16" t="s">
        <v>114</v>
      </c>
      <c r="AMD16" t="s">
        <v>4642</v>
      </c>
      <c r="AME16">
        <v>9.1916284561157227</v>
      </c>
      <c r="AMF16">
        <v>449</v>
      </c>
      <c r="AMG16" s="2"/>
      <c r="AMH16">
        <f t="shared" si="170"/>
        <v>7</v>
      </c>
      <c r="AMI16" t="s">
        <v>1225</v>
      </c>
      <c r="AMJ16" t="s">
        <v>4643</v>
      </c>
      <c r="AMK16">
        <v>3.8244483470916748</v>
      </c>
      <c r="AML16">
        <v>544</v>
      </c>
      <c r="AMM16" s="5"/>
      <c r="AMN16">
        <f t="shared" si="171"/>
        <v>7</v>
      </c>
      <c r="AMO16" t="s">
        <v>304</v>
      </c>
      <c r="AMP16" t="s">
        <v>1525</v>
      </c>
      <c r="AMQ16">
        <v>3.2563595771789551</v>
      </c>
      <c r="AMR16">
        <v>549</v>
      </c>
      <c r="AMS16" s="2"/>
      <c r="AMT16">
        <f t="shared" si="172"/>
        <v>13</v>
      </c>
      <c r="AMU16" t="s">
        <v>4644</v>
      </c>
      <c r="AMV16" t="s">
        <v>4644</v>
      </c>
      <c r="AMW16">
        <v>3.684491634368896</v>
      </c>
      <c r="AMX16">
        <v>617</v>
      </c>
      <c r="AMY16" s="5"/>
      <c r="ANB16" t="s">
        <v>1102</v>
      </c>
      <c r="AND16">
        <v>451</v>
      </c>
      <c r="ANF16">
        <f t="shared" si="174"/>
        <v>13</v>
      </c>
      <c r="ANG16" t="s">
        <v>905</v>
      </c>
      <c r="ANH16" t="s">
        <v>4645</v>
      </c>
      <c r="ANI16">
        <v>4.5334403514862061</v>
      </c>
      <c r="ANJ16">
        <v>565</v>
      </c>
      <c r="ANK16" s="5"/>
      <c r="ANL16">
        <f t="shared" si="175"/>
        <v>17</v>
      </c>
      <c r="ANM16" t="s">
        <v>1844</v>
      </c>
      <c r="ANN16" t="s">
        <v>1844</v>
      </c>
      <c r="ANO16">
        <v>5.392249584197998</v>
      </c>
      <c r="ANP16">
        <v>407</v>
      </c>
      <c r="ANQ16" s="2"/>
      <c r="ANR16">
        <f t="shared" si="176"/>
        <v>7</v>
      </c>
      <c r="ANS16" t="s">
        <v>2549</v>
      </c>
      <c r="ANT16" t="s">
        <v>4646</v>
      </c>
      <c r="ANU16">
        <v>3.5939252376556401</v>
      </c>
      <c r="ANV16">
        <v>428</v>
      </c>
      <c r="ANW16" s="5"/>
      <c r="ANX16">
        <f t="shared" si="177"/>
        <v>10</v>
      </c>
      <c r="ANY16" t="s">
        <v>673</v>
      </c>
      <c r="ANZ16" t="s">
        <v>4647</v>
      </c>
      <c r="AOA16">
        <v>4.5732128620147714</v>
      </c>
      <c r="AOB16">
        <v>466</v>
      </c>
      <c r="AOC16" s="2"/>
      <c r="AOF16" t="s">
        <v>4648</v>
      </c>
      <c r="AOH16">
        <v>533</v>
      </c>
      <c r="AON16">
        <v>453</v>
      </c>
      <c r="APB16">
        <f t="shared" si="182"/>
        <v>9</v>
      </c>
      <c r="APC16" t="s">
        <v>600</v>
      </c>
      <c r="APD16" t="s">
        <v>4649</v>
      </c>
      <c r="APE16">
        <v>4.2763617038726807</v>
      </c>
      <c r="APF16">
        <v>526</v>
      </c>
      <c r="APG16" s="5"/>
      <c r="APH16">
        <f t="shared" si="183"/>
        <v>10</v>
      </c>
      <c r="API16" t="s">
        <v>4650</v>
      </c>
      <c r="APJ16" t="s">
        <v>4651</v>
      </c>
      <c r="APK16">
        <v>4.0088367462158203</v>
      </c>
      <c r="APL16">
        <v>504</v>
      </c>
      <c r="APM16" s="2"/>
      <c r="APN16">
        <f t="shared" si="184"/>
        <v>15</v>
      </c>
      <c r="APO16" t="s">
        <v>4652</v>
      </c>
      <c r="APP16" t="s">
        <v>4653</v>
      </c>
      <c r="APQ16">
        <v>7.7505178451538086</v>
      </c>
      <c r="APR16">
        <v>446</v>
      </c>
      <c r="APS16" s="5"/>
      <c r="APT16">
        <f t="shared" si="185"/>
        <v>4</v>
      </c>
      <c r="APU16" t="s">
        <v>3749</v>
      </c>
      <c r="APV16" t="s">
        <v>3749</v>
      </c>
      <c r="APW16">
        <v>3.3236596584320068</v>
      </c>
      <c r="APX16">
        <v>526</v>
      </c>
      <c r="APY16" s="2"/>
      <c r="ARJ16">
        <f t="shared" si="192"/>
        <v>117</v>
      </c>
      <c r="ARK16" t="s">
        <v>4654</v>
      </c>
      <c r="ARL16" t="s">
        <v>4655</v>
      </c>
      <c r="ARM16">
        <v>32.170762300491333</v>
      </c>
      <c r="ARN16">
        <v>495</v>
      </c>
      <c r="ARO16" s="5"/>
      <c r="ARP16">
        <f t="shared" si="193"/>
        <v>31</v>
      </c>
      <c r="ARQ16" t="s">
        <v>4656</v>
      </c>
      <c r="ARR16" t="s">
        <v>4657</v>
      </c>
      <c r="ARS16">
        <v>10.82875609397888</v>
      </c>
      <c r="ART16">
        <v>471</v>
      </c>
      <c r="ARU16" s="2"/>
      <c r="ARX16" t="s">
        <v>232</v>
      </c>
      <c r="ARZ16">
        <v>600</v>
      </c>
      <c r="ASF16">
        <v>460</v>
      </c>
      <c r="ASH16">
        <f t="shared" si="196"/>
        <v>20</v>
      </c>
      <c r="ASI16" t="s">
        <v>4658</v>
      </c>
      <c r="ASJ16" t="s">
        <v>4659</v>
      </c>
      <c r="ASK16">
        <v>17.329417705535889</v>
      </c>
      <c r="ASL16">
        <v>503</v>
      </c>
      <c r="ASM16" s="5"/>
      <c r="ASN16">
        <f t="shared" si="197"/>
        <v>42</v>
      </c>
      <c r="ASO16" t="s">
        <v>4660</v>
      </c>
      <c r="ASP16" t="s">
        <v>4661</v>
      </c>
      <c r="ASQ16">
        <v>30.25783801078796</v>
      </c>
      <c r="ASR16">
        <v>411</v>
      </c>
      <c r="ASS16" s="2"/>
      <c r="AST16">
        <f t="shared" si="198"/>
        <v>14</v>
      </c>
      <c r="ASU16" t="s">
        <v>3447</v>
      </c>
      <c r="ASV16" t="s">
        <v>4662</v>
      </c>
      <c r="ASW16">
        <v>5.5242569446563721</v>
      </c>
      <c r="ASX16">
        <v>427</v>
      </c>
      <c r="ASY16" s="5"/>
      <c r="ASZ16">
        <f t="shared" si="199"/>
        <v>21</v>
      </c>
      <c r="ATA16" t="s">
        <v>4663</v>
      </c>
      <c r="ATB16" t="s">
        <v>4664</v>
      </c>
      <c r="ATC16">
        <v>6.9106254577636719</v>
      </c>
      <c r="ATD16">
        <v>370</v>
      </c>
      <c r="ATE16" s="2"/>
    </row>
    <row r="17" spans="2:1024 1026:1201" x14ac:dyDescent="0.25">
      <c r="B17">
        <f t="shared" si="0"/>
        <v>33</v>
      </c>
      <c r="C17" t="s">
        <v>4665</v>
      </c>
      <c r="D17" t="s">
        <v>4666</v>
      </c>
      <c r="E17">
        <v>98.147087335586548</v>
      </c>
      <c r="F17">
        <v>356</v>
      </c>
      <c r="G17" s="1"/>
      <c r="H17">
        <f t="shared" si="1"/>
        <v>17</v>
      </c>
      <c r="I17" t="s">
        <v>4667</v>
      </c>
      <c r="J17" t="s">
        <v>4668</v>
      </c>
      <c r="K17">
        <v>6.0186922550201416</v>
      </c>
      <c r="L17">
        <v>640</v>
      </c>
      <c r="M17" s="2"/>
      <c r="AB17" t="s">
        <v>4669</v>
      </c>
      <c r="AD17">
        <v>378</v>
      </c>
      <c r="AJ17">
        <v>479</v>
      </c>
      <c r="AX17">
        <f t="shared" si="8"/>
        <v>16</v>
      </c>
      <c r="AY17" t="s">
        <v>4670</v>
      </c>
      <c r="AZ17" t="s">
        <v>4671</v>
      </c>
      <c r="BA17">
        <v>3.5484616756439209</v>
      </c>
      <c r="BB17">
        <v>465</v>
      </c>
      <c r="BC17" s="1"/>
      <c r="BD17">
        <f t="shared" si="9"/>
        <v>4</v>
      </c>
      <c r="BE17" t="s">
        <v>1102</v>
      </c>
      <c r="BF17" t="s">
        <v>1102</v>
      </c>
      <c r="BG17">
        <v>2.9570643901824951</v>
      </c>
      <c r="BH17">
        <v>536</v>
      </c>
      <c r="BI17" s="2"/>
      <c r="CT17">
        <f t="shared" si="16"/>
        <v>9</v>
      </c>
      <c r="CU17" t="s">
        <v>4672</v>
      </c>
      <c r="CV17" t="s">
        <v>4673</v>
      </c>
      <c r="CW17">
        <v>4.10270094871521</v>
      </c>
      <c r="CX17">
        <v>422</v>
      </c>
      <c r="CY17" s="1"/>
      <c r="CZ17">
        <f t="shared" si="17"/>
        <v>6</v>
      </c>
      <c r="DA17" t="s">
        <v>2549</v>
      </c>
      <c r="DB17" t="s">
        <v>4674</v>
      </c>
      <c r="DC17">
        <v>3.067259550094604</v>
      </c>
      <c r="DD17">
        <v>483</v>
      </c>
      <c r="DE17" s="2"/>
      <c r="EP17">
        <f t="shared" si="24"/>
        <v>26</v>
      </c>
      <c r="EQ17" t="s">
        <v>4675</v>
      </c>
      <c r="ER17" t="s">
        <v>4676</v>
      </c>
      <c r="ES17">
        <v>3.07391357421875</v>
      </c>
      <c r="ET17">
        <v>410</v>
      </c>
      <c r="EU17" s="1"/>
      <c r="EX17" t="s">
        <v>4677</v>
      </c>
      <c r="EZ17">
        <v>481</v>
      </c>
      <c r="FD17" t="s">
        <v>4257</v>
      </c>
      <c r="FF17">
        <v>502</v>
      </c>
      <c r="FL17">
        <v>411</v>
      </c>
      <c r="FP17" t="s">
        <v>4377</v>
      </c>
      <c r="FR17">
        <v>595</v>
      </c>
      <c r="FX17">
        <v>505</v>
      </c>
      <c r="FZ17">
        <f t="shared" si="30"/>
        <v>27</v>
      </c>
      <c r="GA17" t="s">
        <v>4678</v>
      </c>
      <c r="GB17" t="s">
        <v>4679</v>
      </c>
      <c r="GC17">
        <v>4.1652436256408691</v>
      </c>
      <c r="GD17">
        <v>564</v>
      </c>
      <c r="GE17" s="1"/>
      <c r="GH17" t="s">
        <v>4257</v>
      </c>
      <c r="GJ17">
        <v>459</v>
      </c>
      <c r="GX17">
        <f t="shared" si="34"/>
        <v>12</v>
      </c>
      <c r="GY17" t="s">
        <v>4377</v>
      </c>
      <c r="GZ17" t="s">
        <v>4377</v>
      </c>
      <c r="HA17">
        <v>3.3198103904724121</v>
      </c>
      <c r="HB17">
        <v>447</v>
      </c>
      <c r="HC17" s="1"/>
      <c r="HF17" t="s">
        <v>4680</v>
      </c>
      <c r="HH17">
        <v>539</v>
      </c>
      <c r="IH17">
        <f t="shared" si="40"/>
        <v>9</v>
      </c>
      <c r="II17" t="s">
        <v>4681</v>
      </c>
      <c r="IJ17" t="s">
        <v>4682</v>
      </c>
      <c r="IK17">
        <v>3.6408805847167969</v>
      </c>
      <c r="IL17">
        <v>447</v>
      </c>
      <c r="IM17" s="1"/>
      <c r="IN17">
        <f t="shared" si="41"/>
        <v>0</v>
      </c>
      <c r="IP17" t="s">
        <v>4257</v>
      </c>
      <c r="IQ17">
        <v>3.1639337539672852</v>
      </c>
      <c r="IR17">
        <v>566</v>
      </c>
      <c r="IS17" s="2"/>
      <c r="IV17" t="s">
        <v>4683</v>
      </c>
      <c r="IX17">
        <v>472</v>
      </c>
      <c r="JD17">
        <v>417</v>
      </c>
      <c r="JR17">
        <f t="shared" si="46"/>
        <v>10</v>
      </c>
      <c r="JS17" t="s">
        <v>3529</v>
      </c>
      <c r="JT17" t="s">
        <v>4502</v>
      </c>
      <c r="JU17">
        <v>3.7213401794433589</v>
      </c>
      <c r="JV17">
        <v>385</v>
      </c>
      <c r="JW17" s="1"/>
      <c r="JZ17" t="s">
        <v>1102</v>
      </c>
      <c r="KB17">
        <v>547</v>
      </c>
      <c r="KF17" t="s">
        <v>4684</v>
      </c>
      <c r="KH17">
        <v>553</v>
      </c>
      <c r="KN17">
        <v>527</v>
      </c>
      <c r="LP17" t="s">
        <v>600</v>
      </c>
      <c r="LR17">
        <v>376</v>
      </c>
      <c r="LV17" t="s">
        <v>4257</v>
      </c>
      <c r="LX17">
        <v>414</v>
      </c>
      <c r="LZ17">
        <f t="shared" si="56"/>
        <v>18</v>
      </c>
      <c r="MA17" t="s">
        <v>4685</v>
      </c>
      <c r="MB17" t="s">
        <v>4686</v>
      </c>
      <c r="MC17">
        <v>5.3948647975921631</v>
      </c>
      <c r="MD17">
        <v>340</v>
      </c>
      <c r="ME17" s="1"/>
      <c r="MF17">
        <f t="shared" si="57"/>
        <v>22</v>
      </c>
      <c r="MG17" t="s">
        <v>4687</v>
      </c>
      <c r="MH17" t="s">
        <v>4688</v>
      </c>
      <c r="MI17">
        <v>27.404805898666378</v>
      </c>
      <c r="MJ17">
        <v>487</v>
      </c>
      <c r="MK17" s="2"/>
      <c r="MN17" t="s">
        <v>4689</v>
      </c>
      <c r="MP17">
        <v>446</v>
      </c>
      <c r="MV17">
        <v>526</v>
      </c>
      <c r="MX17">
        <f t="shared" si="60"/>
        <v>30</v>
      </c>
      <c r="MY17" t="s">
        <v>4690</v>
      </c>
      <c r="MZ17" t="s">
        <v>4691</v>
      </c>
      <c r="NA17">
        <v>89.839233160018921</v>
      </c>
      <c r="NB17">
        <v>434</v>
      </c>
      <c r="NC17" s="1"/>
      <c r="ND17">
        <f t="shared" si="61"/>
        <v>9</v>
      </c>
      <c r="NE17" t="s">
        <v>4536</v>
      </c>
      <c r="NF17" t="s">
        <v>4692</v>
      </c>
      <c r="NG17">
        <v>83.274120330810547</v>
      </c>
      <c r="NH17">
        <v>392</v>
      </c>
      <c r="NI17" s="2"/>
      <c r="NL17" t="s">
        <v>4560</v>
      </c>
      <c r="NN17">
        <v>373</v>
      </c>
      <c r="NT17">
        <v>568</v>
      </c>
      <c r="NV17">
        <f t="shared" si="64"/>
        <v>10</v>
      </c>
      <c r="NW17" t="s">
        <v>232</v>
      </c>
      <c r="NX17" t="s">
        <v>4693</v>
      </c>
      <c r="NY17">
        <v>3.9479658603668208</v>
      </c>
      <c r="NZ17">
        <v>521</v>
      </c>
      <c r="OA17" s="1"/>
      <c r="OB17">
        <f t="shared" si="65"/>
        <v>11</v>
      </c>
      <c r="OC17" t="s">
        <v>3749</v>
      </c>
      <c r="OD17" t="s">
        <v>3749</v>
      </c>
      <c r="OE17">
        <v>3.3061950206756592</v>
      </c>
      <c r="OF17">
        <v>438</v>
      </c>
      <c r="OG17" s="2"/>
      <c r="OH17">
        <f t="shared" si="66"/>
        <v>0</v>
      </c>
      <c r="OJ17" t="s">
        <v>4257</v>
      </c>
      <c r="OK17">
        <v>3.322297334671021</v>
      </c>
      <c r="OL17">
        <v>499</v>
      </c>
      <c r="OM17" s="1"/>
      <c r="ON17">
        <f t="shared" si="67"/>
        <v>9</v>
      </c>
      <c r="OO17" t="s">
        <v>1591</v>
      </c>
      <c r="OP17" t="s">
        <v>1591</v>
      </c>
      <c r="OQ17">
        <v>3.8169243335723881</v>
      </c>
      <c r="OR17">
        <v>447</v>
      </c>
      <c r="OS17" s="2"/>
      <c r="OT17">
        <f t="shared" si="68"/>
        <v>34</v>
      </c>
      <c r="OU17" t="s">
        <v>4694</v>
      </c>
      <c r="OV17" t="s">
        <v>4695</v>
      </c>
      <c r="OW17">
        <v>4.9866113662719727</v>
      </c>
      <c r="OX17">
        <v>516</v>
      </c>
      <c r="OY17" s="1"/>
      <c r="PB17" t="s">
        <v>4257</v>
      </c>
      <c r="PD17">
        <v>416</v>
      </c>
      <c r="RN17">
        <f t="shared" si="80"/>
        <v>8</v>
      </c>
      <c r="RO17" t="s">
        <v>1102</v>
      </c>
      <c r="RP17" t="s">
        <v>3923</v>
      </c>
      <c r="RQ17">
        <v>3.460821390151978</v>
      </c>
      <c r="RR17">
        <v>589</v>
      </c>
      <c r="RS17" s="1"/>
      <c r="RT17">
        <f t="shared" si="81"/>
        <v>0</v>
      </c>
      <c r="RV17" t="s">
        <v>4300</v>
      </c>
      <c r="RW17">
        <v>3.141537189483643</v>
      </c>
      <c r="RX17">
        <v>426</v>
      </c>
      <c r="RY17" s="2"/>
      <c r="UH17">
        <f t="shared" si="92"/>
        <v>18</v>
      </c>
      <c r="UI17" t="s">
        <v>4089</v>
      </c>
      <c r="UJ17" t="s">
        <v>4696</v>
      </c>
      <c r="UK17">
        <v>7.6351025104522714</v>
      </c>
      <c r="UL17">
        <v>318</v>
      </c>
      <c r="UM17" s="1"/>
      <c r="UN17">
        <f t="shared" si="93"/>
        <v>11</v>
      </c>
      <c r="UO17" t="s">
        <v>4697</v>
      </c>
      <c r="UP17" t="s">
        <v>4669</v>
      </c>
      <c r="UQ17">
        <v>3.3784444332122798</v>
      </c>
      <c r="UR17">
        <v>597</v>
      </c>
      <c r="US17" s="2"/>
      <c r="UT17">
        <f t="shared" si="94"/>
        <v>21</v>
      </c>
      <c r="UU17" t="s">
        <v>4698</v>
      </c>
      <c r="UV17" t="s">
        <v>1375</v>
      </c>
      <c r="UW17">
        <v>3.258059978485107</v>
      </c>
      <c r="UX17">
        <v>539</v>
      </c>
      <c r="UY17" s="1"/>
      <c r="VB17" t="s">
        <v>4699</v>
      </c>
      <c r="VD17">
        <v>440</v>
      </c>
      <c r="VT17" t="s">
        <v>4700</v>
      </c>
      <c r="VV17">
        <v>371</v>
      </c>
      <c r="WB17">
        <v>583</v>
      </c>
      <c r="YX17">
        <f t="shared" si="112"/>
        <v>17</v>
      </c>
      <c r="YY17" t="s">
        <v>97</v>
      </c>
      <c r="YZ17" t="s">
        <v>1102</v>
      </c>
      <c r="ZA17">
        <v>2.7856044769287109</v>
      </c>
      <c r="ZB17">
        <v>490</v>
      </c>
      <c r="ZC17" s="5"/>
      <c r="ZF17" t="s">
        <v>4257</v>
      </c>
      <c r="ZH17">
        <v>419</v>
      </c>
      <c r="ZV17">
        <f t="shared" si="116"/>
        <v>28</v>
      </c>
      <c r="ZW17" t="s">
        <v>4701</v>
      </c>
      <c r="ZX17" t="s">
        <v>4702</v>
      </c>
      <c r="ZY17">
        <v>16.5328528881073</v>
      </c>
      <c r="ZZ17">
        <v>369</v>
      </c>
      <c r="AAA17" s="5"/>
      <c r="AAB17">
        <f t="shared" si="117"/>
        <v>17</v>
      </c>
      <c r="AAC17" t="s">
        <v>189</v>
      </c>
      <c r="AAD17" t="s">
        <v>4703</v>
      </c>
      <c r="AAE17">
        <v>4.3624808788299561</v>
      </c>
      <c r="AAF17">
        <v>521</v>
      </c>
      <c r="AAG17" s="2"/>
      <c r="ABR17">
        <f t="shared" si="124"/>
        <v>13</v>
      </c>
      <c r="ABS17" t="s">
        <v>1591</v>
      </c>
      <c r="ABT17" t="s">
        <v>4704</v>
      </c>
      <c r="ABU17">
        <v>3.4210484027862549</v>
      </c>
      <c r="ABV17">
        <v>596</v>
      </c>
      <c r="ABW17" s="5"/>
      <c r="ABX17">
        <f t="shared" si="125"/>
        <v>14</v>
      </c>
      <c r="ABY17" t="s">
        <v>2722</v>
      </c>
      <c r="ABZ17" t="s">
        <v>4705</v>
      </c>
      <c r="ACA17">
        <v>4.1773138046264648</v>
      </c>
      <c r="ACB17">
        <v>423</v>
      </c>
      <c r="ACC17" s="2"/>
      <c r="ACP17">
        <f t="shared" si="128"/>
        <v>32</v>
      </c>
      <c r="ACQ17" t="s">
        <v>1616</v>
      </c>
      <c r="ACR17" t="s">
        <v>4706</v>
      </c>
      <c r="ACS17">
        <v>8.0842990875244141</v>
      </c>
      <c r="ACT17">
        <v>592</v>
      </c>
      <c r="ACU17" s="5"/>
      <c r="ACV17">
        <f t="shared" si="129"/>
        <v>13</v>
      </c>
      <c r="ACW17" t="s">
        <v>4707</v>
      </c>
      <c r="ACX17" t="s">
        <v>4708</v>
      </c>
      <c r="ACY17">
        <v>3.3916110992431641</v>
      </c>
      <c r="ACZ17">
        <v>492</v>
      </c>
      <c r="ADA17" s="2"/>
      <c r="ADB17">
        <f t="shared" si="130"/>
        <v>11</v>
      </c>
      <c r="ADC17" t="s">
        <v>264</v>
      </c>
      <c r="ADD17" t="s">
        <v>4709</v>
      </c>
      <c r="ADE17">
        <v>3.7724876403808589</v>
      </c>
      <c r="ADF17">
        <v>541</v>
      </c>
      <c r="ADG17" s="5"/>
      <c r="ADH17">
        <f t="shared" si="131"/>
        <v>0</v>
      </c>
      <c r="ADJ17" t="s">
        <v>4257</v>
      </c>
      <c r="ADK17">
        <v>3.1172516345977779</v>
      </c>
      <c r="ADL17">
        <v>464</v>
      </c>
      <c r="ADM17" s="2"/>
      <c r="ADN17">
        <f t="shared" si="132"/>
        <v>66</v>
      </c>
      <c r="ADO17" t="s">
        <v>4710</v>
      </c>
      <c r="ADP17" t="s">
        <v>4711</v>
      </c>
      <c r="ADQ17">
        <v>24.209591865539551</v>
      </c>
      <c r="ADR17">
        <v>628</v>
      </c>
      <c r="ADS17" s="5"/>
      <c r="ADT17">
        <f t="shared" si="133"/>
        <v>8</v>
      </c>
      <c r="ADU17" t="s">
        <v>3750</v>
      </c>
      <c r="ADV17" t="s">
        <v>4712</v>
      </c>
      <c r="ADW17">
        <v>3.5918962955474849</v>
      </c>
      <c r="ADX17">
        <v>403</v>
      </c>
      <c r="ADY17" s="2"/>
      <c r="ADZ17">
        <f t="shared" si="134"/>
        <v>12</v>
      </c>
      <c r="AEA17" t="s">
        <v>1752</v>
      </c>
      <c r="AEB17" t="s">
        <v>4713</v>
      </c>
      <c r="AEC17">
        <v>7.09572434425354</v>
      </c>
      <c r="AED17">
        <v>394</v>
      </c>
      <c r="AEE17" s="5"/>
      <c r="AEF17">
        <f t="shared" si="135"/>
        <v>17</v>
      </c>
      <c r="AEG17" t="s">
        <v>623</v>
      </c>
      <c r="AEH17" t="s">
        <v>4714</v>
      </c>
      <c r="AEI17">
        <v>9.232017993927002</v>
      </c>
      <c r="AEJ17">
        <v>438</v>
      </c>
      <c r="AEK17" s="2"/>
      <c r="AEL17">
        <f t="shared" si="136"/>
        <v>16</v>
      </c>
      <c r="AEM17" t="s">
        <v>98</v>
      </c>
      <c r="AEN17" t="s">
        <v>4715</v>
      </c>
      <c r="AEO17">
        <v>3.992097139358521</v>
      </c>
      <c r="AEP17">
        <v>654</v>
      </c>
      <c r="AEQ17" s="5"/>
      <c r="AER17">
        <f t="shared" si="137"/>
        <v>0</v>
      </c>
      <c r="AET17" t="s">
        <v>4257</v>
      </c>
      <c r="AEU17">
        <v>2.8777444362640381</v>
      </c>
      <c r="AEV17">
        <v>474</v>
      </c>
      <c r="AEW17" s="2"/>
      <c r="AEZ17" t="s">
        <v>4716</v>
      </c>
      <c r="AFB17">
        <v>460</v>
      </c>
      <c r="AFH17">
        <v>507</v>
      </c>
      <c r="AFV17">
        <f t="shared" si="142"/>
        <v>0</v>
      </c>
      <c r="AFX17" t="s">
        <v>600</v>
      </c>
      <c r="AFY17">
        <v>3.481320858001709</v>
      </c>
      <c r="AFZ17">
        <v>507</v>
      </c>
      <c r="AGA17" s="5"/>
      <c r="AGB17">
        <f t="shared" si="143"/>
        <v>0</v>
      </c>
      <c r="AGD17" t="s">
        <v>4257</v>
      </c>
      <c r="AGE17">
        <v>3.332136869430542</v>
      </c>
      <c r="AGF17">
        <v>492</v>
      </c>
      <c r="AGG17" s="2"/>
      <c r="AGH17">
        <f t="shared" si="144"/>
        <v>11</v>
      </c>
      <c r="AGI17" t="s">
        <v>4354</v>
      </c>
      <c r="AGJ17" t="s">
        <v>4717</v>
      </c>
      <c r="AGK17">
        <v>3.9601414203643799</v>
      </c>
      <c r="AGL17">
        <v>426</v>
      </c>
      <c r="AGM17" s="5"/>
      <c r="AGN17">
        <f t="shared" si="145"/>
        <v>13</v>
      </c>
      <c r="AGO17" t="s">
        <v>1802</v>
      </c>
      <c r="AGP17" t="s">
        <v>4718</v>
      </c>
      <c r="AGQ17">
        <v>3.900639533996582</v>
      </c>
      <c r="AGR17">
        <v>495</v>
      </c>
      <c r="AGS17" s="2"/>
      <c r="AGT17">
        <f t="shared" si="146"/>
        <v>7</v>
      </c>
      <c r="AGU17" t="s">
        <v>2212</v>
      </c>
      <c r="AGV17" t="s">
        <v>4719</v>
      </c>
      <c r="AGW17">
        <v>25.761308908462521</v>
      </c>
      <c r="AGX17">
        <v>343</v>
      </c>
      <c r="AGY17" s="5"/>
      <c r="AGZ17">
        <f t="shared" si="147"/>
        <v>24</v>
      </c>
      <c r="AHA17" t="s">
        <v>2139</v>
      </c>
      <c r="AHB17" t="s">
        <v>4720</v>
      </c>
      <c r="AHC17">
        <v>7.1002497673034668</v>
      </c>
      <c r="AHD17">
        <v>470</v>
      </c>
      <c r="AHE17" s="2"/>
      <c r="AHF17">
        <f t="shared" si="148"/>
        <v>10</v>
      </c>
      <c r="AHG17" t="s">
        <v>4215</v>
      </c>
      <c r="AHH17" t="s">
        <v>4721</v>
      </c>
      <c r="AHI17">
        <v>3.400741338729858</v>
      </c>
      <c r="AHJ17">
        <v>419</v>
      </c>
      <c r="AHK17" s="5"/>
      <c r="AHL17">
        <f t="shared" si="149"/>
        <v>10</v>
      </c>
      <c r="AHM17" t="s">
        <v>66</v>
      </c>
      <c r="AHN17" t="s">
        <v>4722</v>
      </c>
      <c r="AHO17">
        <v>3.8750114440917969</v>
      </c>
      <c r="AHP17">
        <v>466</v>
      </c>
      <c r="AHQ17" s="2"/>
      <c r="AHR17">
        <f t="shared" si="150"/>
        <v>9</v>
      </c>
      <c r="AHS17" t="s">
        <v>1225</v>
      </c>
      <c r="AHT17" t="s">
        <v>4723</v>
      </c>
      <c r="AHU17">
        <v>4.106684684753418</v>
      </c>
      <c r="AHV17">
        <v>516</v>
      </c>
      <c r="AHW17" s="5"/>
      <c r="AHX17">
        <f t="shared" si="151"/>
        <v>33</v>
      </c>
      <c r="AHY17" t="s">
        <v>1185</v>
      </c>
      <c r="AHZ17" t="s">
        <v>1185</v>
      </c>
      <c r="AIA17">
        <v>5.7350871562957764</v>
      </c>
      <c r="AIB17">
        <v>455</v>
      </c>
      <c r="AIC17" s="2"/>
      <c r="AJB17">
        <f t="shared" si="156"/>
        <v>16</v>
      </c>
      <c r="AJC17" t="s">
        <v>4724</v>
      </c>
      <c r="AJD17" t="s">
        <v>3634</v>
      </c>
      <c r="AJE17">
        <v>5.0692071914672852</v>
      </c>
      <c r="AJF17">
        <v>397</v>
      </c>
      <c r="AJG17" s="5"/>
      <c r="AJH17">
        <f t="shared" si="157"/>
        <v>14</v>
      </c>
      <c r="AJI17" t="s">
        <v>3343</v>
      </c>
      <c r="AJJ17" t="s">
        <v>4725</v>
      </c>
      <c r="AJK17">
        <v>3.7848668098449711</v>
      </c>
      <c r="AJL17">
        <v>455</v>
      </c>
      <c r="AJM17" s="2"/>
      <c r="AKX17">
        <f t="shared" si="164"/>
        <v>6</v>
      </c>
      <c r="AKY17" t="s">
        <v>232</v>
      </c>
      <c r="AKZ17" t="s">
        <v>4726</v>
      </c>
      <c r="ALA17">
        <v>3.9180347919464111</v>
      </c>
      <c r="ALB17">
        <v>537</v>
      </c>
      <c r="ALC17" s="5"/>
      <c r="ALD17">
        <f t="shared" si="165"/>
        <v>13</v>
      </c>
      <c r="ALE17" t="s">
        <v>264</v>
      </c>
      <c r="ALF17" t="s">
        <v>4727</v>
      </c>
      <c r="ALG17">
        <v>3.624017477035522</v>
      </c>
      <c r="ALH17">
        <v>439</v>
      </c>
      <c r="ALI17" s="2"/>
      <c r="ALJ17">
        <f t="shared" si="166"/>
        <v>66</v>
      </c>
      <c r="ALK17" t="s">
        <v>4728</v>
      </c>
      <c r="ALL17" t="s">
        <v>4729</v>
      </c>
      <c r="ALM17">
        <v>132.11479306221011</v>
      </c>
      <c r="ALN17">
        <v>653</v>
      </c>
      <c r="ALO17" s="5"/>
      <c r="ALR17" t="s">
        <v>4730</v>
      </c>
      <c r="ALT17">
        <v>369</v>
      </c>
      <c r="ALV17">
        <f t="shared" si="168"/>
        <v>22</v>
      </c>
      <c r="ALW17" t="s">
        <v>764</v>
      </c>
      <c r="ALX17" t="s">
        <v>4731</v>
      </c>
      <c r="ALY17">
        <v>14.70708203315735</v>
      </c>
      <c r="ALZ17">
        <v>438</v>
      </c>
      <c r="AMA17" s="5"/>
      <c r="AMB17">
        <f t="shared" si="169"/>
        <v>10</v>
      </c>
      <c r="AMC17" t="s">
        <v>4031</v>
      </c>
      <c r="AMD17" t="s">
        <v>4732</v>
      </c>
      <c r="AME17">
        <v>5.4936468601226807</v>
      </c>
      <c r="AMF17">
        <v>459</v>
      </c>
      <c r="AMG17" s="2"/>
      <c r="AMJ17" t="s">
        <v>4733</v>
      </c>
      <c r="AML17">
        <v>531</v>
      </c>
      <c r="AMR17">
        <v>562</v>
      </c>
      <c r="ANH17" t="s">
        <v>4734</v>
      </c>
      <c r="ANJ17">
        <v>548</v>
      </c>
      <c r="ANP17">
        <v>424</v>
      </c>
      <c r="ANR17">
        <f t="shared" si="176"/>
        <v>14</v>
      </c>
      <c r="ANS17" t="s">
        <v>232</v>
      </c>
      <c r="ANT17" t="s">
        <v>232</v>
      </c>
      <c r="ANU17">
        <v>2.8208410739898682</v>
      </c>
      <c r="ANV17">
        <v>442</v>
      </c>
      <c r="ANW17" s="5"/>
      <c r="ANZ17" t="s">
        <v>4735</v>
      </c>
      <c r="AOB17">
        <v>456</v>
      </c>
      <c r="APD17" t="s">
        <v>4481</v>
      </c>
      <c r="APF17">
        <v>522</v>
      </c>
      <c r="APL17">
        <v>508</v>
      </c>
      <c r="APP17" t="s">
        <v>4736</v>
      </c>
      <c r="APR17">
        <v>429</v>
      </c>
      <c r="APX17">
        <v>543</v>
      </c>
      <c r="ARJ17">
        <f t="shared" si="192"/>
        <v>15</v>
      </c>
      <c r="ARK17" t="s">
        <v>1225</v>
      </c>
      <c r="ARL17" t="s">
        <v>232</v>
      </c>
      <c r="ARM17">
        <v>3.2180924415588379</v>
      </c>
      <c r="ARN17">
        <v>510</v>
      </c>
      <c r="ARO17" s="5"/>
      <c r="ARR17" t="s">
        <v>4737</v>
      </c>
      <c r="ART17">
        <v>461</v>
      </c>
      <c r="ASH17">
        <f t="shared" si="196"/>
        <v>29</v>
      </c>
      <c r="ASI17" t="s">
        <v>4738</v>
      </c>
      <c r="ASJ17" t="s">
        <v>4739</v>
      </c>
      <c r="ASK17">
        <v>34.622422695159912</v>
      </c>
      <c r="ASL17">
        <v>532</v>
      </c>
      <c r="ASM17" s="5"/>
      <c r="ASN17">
        <f t="shared" si="197"/>
        <v>35</v>
      </c>
      <c r="ASO17" t="s">
        <v>4740</v>
      </c>
      <c r="ASP17" t="s">
        <v>4741</v>
      </c>
      <c r="ASQ17">
        <v>24.298902750015259</v>
      </c>
      <c r="ASR17">
        <v>446</v>
      </c>
      <c r="ASS17" s="2"/>
      <c r="AST17">
        <f t="shared" si="198"/>
        <v>14</v>
      </c>
      <c r="ASU17" t="s">
        <v>905</v>
      </c>
      <c r="ASV17" t="s">
        <v>4742</v>
      </c>
      <c r="ASW17">
        <v>4.4820914268493652</v>
      </c>
      <c r="ASX17">
        <v>441</v>
      </c>
      <c r="ASY17" s="5"/>
      <c r="ASZ17">
        <f t="shared" si="199"/>
        <v>12</v>
      </c>
      <c r="ATA17" t="s">
        <v>4743</v>
      </c>
      <c r="ATB17" t="s">
        <v>4744</v>
      </c>
      <c r="ATC17">
        <v>3.5099248886108398</v>
      </c>
      <c r="ATD17">
        <v>382</v>
      </c>
      <c r="ATE17" s="2"/>
    </row>
    <row r="18" spans="2:1024 1026:1201" x14ac:dyDescent="0.25">
      <c r="B18">
        <f t="shared" si="0"/>
        <v>10</v>
      </c>
      <c r="C18" t="s">
        <v>3563</v>
      </c>
      <c r="D18" t="s">
        <v>4745</v>
      </c>
      <c r="E18">
        <v>3.9847273826599121</v>
      </c>
      <c r="F18">
        <v>366</v>
      </c>
      <c r="G18" s="1"/>
      <c r="H18">
        <f t="shared" si="1"/>
        <v>0</v>
      </c>
      <c r="J18" t="s">
        <v>4257</v>
      </c>
      <c r="K18">
        <v>2.9075958728790279</v>
      </c>
      <c r="L18">
        <v>640</v>
      </c>
      <c r="M18" s="2"/>
      <c r="AZ18" t="s">
        <v>4746</v>
      </c>
      <c r="BB18">
        <v>454</v>
      </c>
      <c r="BH18">
        <v>547</v>
      </c>
      <c r="CT18">
        <f t="shared" si="16"/>
        <v>4</v>
      </c>
      <c r="CU18" t="s">
        <v>232</v>
      </c>
      <c r="CV18" t="s">
        <v>4747</v>
      </c>
      <c r="CW18">
        <v>3.4925403594970699</v>
      </c>
      <c r="CX18">
        <v>426</v>
      </c>
      <c r="CY18" s="1"/>
      <c r="CZ18">
        <f t="shared" si="17"/>
        <v>5</v>
      </c>
      <c r="DA18" t="s">
        <v>600</v>
      </c>
      <c r="DB18" t="s">
        <v>4748</v>
      </c>
      <c r="DC18">
        <v>3.265704870223999</v>
      </c>
      <c r="DD18">
        <v>488</v>
      </c>
      <c r="DE18" s="2"/>
      <c r="IH18">
        <f t="shared" si="40"/>
        <v>7</v>
      </c>
      <c r="II18" t="s">
        <v>4749</v>
      </c>
      <c r="IJ18" t="s">
        <v>4575</v>
      </c>
      <c r="IK18">
        <v>3.7100150585174561</v>
      </c>
      <c r="IL18">
        <v>454</v>
      </c>
      <c r="IM18" s="1"/>
      <c r="IN18">
        <f t="shared" si="41"/>
        <v>0</v>
      </c>
      <c r="IP18" t="s">
        <v>4257</v>
      </c>
      <c r="IQ18">
        <v>3.1519818305969238</v>
      </c>
      <c r="IR18">
        <v>566</v>
      </c>
      <c r="IS18" s="2"/>
      <c r="LZ18">
        <f t="shared" si="56"/>
        <v>18</v>
      </c>
      <c r="MA18" t="s">
        <v>4750</v>
      </c>
      <c r="MB18" t="s">
        <v>4751</v>
      </c>
      <c r="MC18">
        <v>16.675390481948849</v>
      </c>
      <c r="MD18">
        <v>358</v>
      </c>
      <c r="ME18" s="1"/>
      <c r="MF18">
        <f t="shared" si="57"/>
        <v>14</v>
      </c>
      <c r="MG18" t="s">
        <v>2159</v>
      </c>
      <c r="MH18" t="s">
        <v>4752</v>
      </c>
      <c r="MI18">
        <v>4.5517270565032959</v>
      </c>
      <c r="MJ18">
        <v>501</v>
      </c>
      <c r="MK18" s="2"/>
      <c r="MX18">
        <f t="shared" si="60"/>
        <v>26</v>
      </c>
      <c r="MY18" t="s">
        <v>4753</v>
      </c>
      <c r="MZ18" t="s">
        <v>4754</v>
      </c>
      <c r="NA18">
        <v>108.0939910411835</v>
      </c>
      <c r="NB18">
        <v>460</v>
      </c>
      <c r="NC18" s="1"/>
      <c r="ND18">
        <f t="shared" si="61"/>
        <v>24</v>
      </c>
      <c r="NE18" t="s">
        <v>254</v>
      </c>
      <c r="NF18" t="s">
        <v>4755</v>
      </c>
      <c r="NG18">
        <v>88.537973403930664</v>
      </c>
      <c r="NH18">
        <v>416</v>
      </c>
      <c r="NI18" s="2"/>
      <c r="NX18" t="s">
        <v>4756</v>
      </c>
      <c r="NZ18">
        <v>508</v>
      </c>
      <c r="OF18">
        <v>451</v>
      </c>
      <c r="OJ18" t="s">
        <v>4257</v>
      </c>
      <c r="OL18">
        <v>489</v>
      </c>
      <c r="OR18">
        <v>457</v>
      </c>
      <c r="RN18">
        <f t="shared" si="80"/>
        <v>0</v>
      </c>
      <c r="RP18" t="s">
        <v>4257</v>
      </c>
      <c r="RQ18">
        <v>3.0720925331115718</v>
      </c>
      <c r="RR18">
        <v>589</v>
      </c>
      <c r="RS18" s="1"/>
      <c r="RT18">
        <f t="shared" si="81"/>
        <v>0</v>
      </c>
      <c r="RV18" t="s">
        <v>4300</v>
      </c>
      <c r="RW18">
        <v>3.136730432510376</v>
      </c>
      <c r="RX18">
        <v>426</v>
      </c>
      <c r="RY18" s="2"/>
      <c r="UH18">
        <f t="shared" si="92"/>
        <v>13</v>
      </c>
      <c r="UI18" t="s">
        <v>3750</v>
      </c>
      <c r="UJ18" t="s">
        <v>4757</v>
      </c>
      <c r="UK18">
        <v>3.713120698928833</v>
      </c>
      <c r="UL18">
        <v>331</v>
      </c>
      <c r="UM18" s="1"/>
      <c r="UN18">
        <f t="shared" si="93"/>
        <v>0</v>
      </c>
      <c r="UP18" t="s">
        <v>4257</v>
      </c>
      <c r="UQ18">
        <v>2.750761985778809</v>
      </c>
      <c r="UR18">
        <v>597</v>
      </c>
      <c r="US18" s="2"/>
      <c r="ZV18">
        <f t="shared" si="116"/>
        <v>14</v>
      </c>
      <c r="ZW18" t="s">
        <v>232</v>
      </c>
      <c r="ZX18" t="s">
        <v>232</v>
      </c>
      <c r="ZY18">
        <v>3.504510641098022</v>
      </c>
      <c r="ZZ18">
        <v>383</v>
      </c>
      <c r="AAA18" s="5"/>
      <c r="AAD18" t="s">
        <v>4758</v>
      </c>
      <c r="AAF18">
        <v>513</v>
      </c>
      <c r="ABR18">
        <f t="shared" si="124"/>
        <v>10</v>
      </c>
      <c r="ABS18" t="s">
        <v>673</v>
      </c>
      <c r="ABT18" t="s">
        <v>4759</v>
      </c>
      <c r="ABU18">
        <v>3.4116530418396001</v>
      </c>
      <c r="ABV18">
        <v>606</v>
      </c>
      <c r="ABW18" s="5"/>
      <c r="ABX18">
        <f t="shared" si="125"/>
        <v>10</v>
      </c>
      <c r="ABY18" t="s">
        <v>2280</v>
      </c>
      <c r="ABZ18" t="s">
        <v>1906</v>
      </c>
      <c r="ACA18">
        <v>3.4969363212585449</v>
      </c>
      <c r="ACB18">
        <v>433</v>
      </c>
      <c r="ACC18" s="2"/>
      <c r="ACP18">
        <f t="shared" si="128"/>
        <v>12</v>
      </c>
      <c r="ACQ18" t="s">
        <v>1108</v>
      </c>
      <c r="ACR18" t="s">
        <v>3948</v>
      </c>
      <c r="ACS18">
        <v>3.7227756977081299</v>
      </c>
      <c r="ACT18">
        <v>604</v>
      </c>
      <c r="ACU18" s="5"/>
      <c r="ACV18">
        <f t="shared" si="129"/>
        <v>0</v>
      </c>
      <c r="ACX18" t="s">
        <v>4257</v>
      </c>
      <c r="ACY18">
        <v>3.003197193145752</v>
      </c>
      <c r="ACZ18">
        <v>492</v>
      </c>
      <c r="ADA18" s="2"/>
      <c r="ADB18">
        <f t="shared" si="130"/>
        <v>15</v>
      </c>
      <c r="ADC18" t="s">
        <v>600</v>
      </c>
      <c r="ADD18" t="s">
        <v>600</v>
      </c>
      <c r="ADE18">
        <v>3.0548362731933589</v>
      </c>
      <c r="ADF18">
        <v>556</v>
      </c>
      <c r="ADG18" s="5"/>
      <c r="ADJ18" t="s">
        <v>4257</v>
      </c>
      <c r="ADL18">
        <v>454</v>
      </c>
      <c r="ADN18">
        <f t="shared" si="132"/>
        <v>7</v>
      </c>
      <c r="ADO18" t="s">
        <v>1102</v>
      </c>
      <c r="ADP18" t="s">
        <v>4760</v>
      </c>
      <c r="ADQ18">
        <v>3.978254079818726</v>
      </c>
      <c r="ADR18">
        <v>635</v>
      </c>
      <c r="ADS18" s="5"/>
      <c r="ADT18">
        <f t="shared" si="133"/>
        <v>6</v>
      </c>
      <c r="ADU18" t="s">
        <v>1802</v>
      </c>
      <c r="ADV18" t="s">
        <v>4757</v>
      </c>
      <c r="ADW18">
        <v>3.4252514839172359</v>
      </c>
      <c r="ADX18">
        <v>409</v>
      </c>
      <c r="ADY18" s="2"/>
      <c r="ADZ18">
        <f t="shared" si="134"/>
        <v>10</v>
      </c>
      <c r="AEA18" t="s">
        <v>709</v>
      </c>
      <c r="AEB18" t="s">
        <v>4761</v>
      </c>
      <c r="AEC18">
        <v>7.0450034141540527</v>
      </c>
      <c r="AED18">
        <v>404</v>
      </c>
      <c r="AEE18" s="5"/>
      <c r="AEF18">
        <f t="shared" si="135"/>
        <v>16</v>
      </c>
      <c r="AEG18" t="s">
        <v>1060</v>
      </c>
      <c r="AEH18" t="s">
        <v>4762</v>
      </c>
      <c r="AEI18">
        <v>5.5279898643493652</v>
      </c>
      <c r="AEJ18">
        <v>454</v>
      </c>
      <c r="AEK18" s="2"/>
      <c r="AEL18">
        <f t="shared" si="136"/>
        <v>23</v>
      </c>
      <c r="AEM18" t="s">
        <v>4763</v>
      </c>
      <c r="AEN18" t="s">
        <v>232</v>
      </c>
      <c r="AEO18">
        <v>3.403434038162231</v>
      </c>
      <c r="AEP18">
        <v>677</v>
      </c>
      <c r="AEQ18" s="5"/>
      <c r="AET18" t="s">
        <v>4257</v>
      </c>
      <c r="AEV18">
        <v>464</v>
      </c>
      <c r="AFV18">
        <f t="shared" si="142"/>
        <v>-4</v>
      </c>
      <c r="AFX18" t="s">
        <v>600</v>
      </c>
      <c r="AFY18">
        <v>3.554639339447021</v>
      </c>
      <c r="AFZ18">
        <v>503</v>
      </c>
      <c r="AGA18" s="5"/>
      <c r="AGD18" t="s">
        <v>4257</v>
      </c>
      <c r="AGF18">
        <v>482</v>
      </c>
      <c r="AGH18">
        <f t="shared" si="144"/>
        <v>7</v>
      </c>
      <c r="AGI18" t="s">
        <v>4678</v>
      </c>
      <c r="AGJ18" t="s">
        <v>232</v>
      </c>
      <c r="AGK18">
        <v>3.104501485824585</v>
      </c>
      <c r="AGL18">
        <v>433</v>
      </c>
      <c r="AGM18" s="5"/>
      <c r="AGP18" t="s">
        <v>4646</v>
      </c>
      <c r="AGR18">
        <v>490</v>
      </c>
      <c r="AGT18">
        <f t="shared" si="146"/>
        <v>23</v>
      </c>
      <c r="AGU18" t="s">
        <v>4764</v>
      </c>
      <c r="AGV18" t="s">
        <v>4765</v>
      </c>
      <c r="AGW18">
        <v>38.912005662918091</v>
      </c>
      <c r="AGX18">
        <v>366</v>
      </c>
      <c r="AGY18" s="5"/>
      <c r="AGZ18">
        <f t="shared" si="147"/>
        <v>19</v>
      </c>
      <c r="AHA18" t="s">
        <v>1163</v>
      </c>
      <c r="AHB18" t="s">
        <v>4766</v>
      </c>
      <c r="AHC18">
        <v>8.8565995693206787</v>
      </c>
      <c r="AHD18">
        <v>489</v>
      </c>
      <c r="AHE18" s="2"/>
      <c r="AHH18" t="s">
        <v>4257</v>
      </c>
      <c r="AHJ18">
        <v>409</v>
      </c>
      <c r="AHP18">
        <v>476</v>
      </c>
      <c r="AHT18" t="s">
        <v>3749</v>
      </c>
      <c r="AHV18">
        <v>515</v>
      </c>
      <c r="AIB18">
        <v>456</v>
      </c>
      <c r="AJB18">
        <f t="shared" si="156"/>
        <v>18</v>
      </c>
      <c r="AJC18" t="s">
        <v>4767</v>
      </c>
      <c r="AJD18" t="s">
        <v>3749</v>
      </c>
      <c r="AJE18">
        <v>3.2201864719390869</v>
      </c>
      <c r="AJF18">
        <v>415</v>
      </c>
      <c r="AJG18" s="5"/>
      <c r="AJJ18" t="s">
        <v>4768</v>
      </c>
      <c r="AJL18">
        <v>449</v>
      </c>
      <c r="AKX18">
        <f t="shared" si="164"/>
        <v>6</v>
      </c>
      <c r="AKY18" t="s">
        <v>232</v>
      </c>
      <c r="AKZ18" t="s">
        <v>4769</v>
      </c>
      <c r="ALA18">
        <v>3.7170288562774658</v>
      </c>
      <c r="ALB18">
        <v>543</v>
      </c>
      <c r="ALC18" s="5"/>
      <c r="ALD18">
        <f t="shared" si="165"/>
        <v>0</v>
      </c>
      <c r="ALF18" t="s">
        <v>4257</v>
      </c>
      <c r="ALG18">
        <v>2.6337907314300542</v>
      </c>
      <c r="ALH18">
        <v>439</v>
      </c>
      <c r="ALI18" s="2"/>
      <c r="ALV18">
        <f t="shared" si="168"/>
        <v>11</v>
      </c>
      <c r="ALW18" t="s">
        <v>643</v>
      </c>
      <c r="ALX18" t="s">
        <v>4770</v>
      </c>
      <c r="ALY18">
        <v>6.6828062534332284</v>
      </c>
      <c r="ALZ18">
        <v>449</v>
      </c>
      <c r="AMA18" s="5"/>
      <c r="AMB18">
        <f t="shared" si="169"/>
        <v>8</v>
      </c>
      <c r="AMC18" t="s">
        <v>4190</v>
      </c>
      <c r="AMD18" t="s">
        <v>4771</v>
      </c>
      <c r="AME18">
        <v>3.8515579700469971</v>
      </c>
      <c r="AMF18">
        <v>467</v>
      </c>
      <c r="AMG18" s="2"/>
      <c r="ASH18">
        <f t="shared" si="196"/>
        <v>10</v>
      </c>
      <c r="ASI18" t="s">
        <v>4772</v>
      </c>
      <c r="ASJ18" t="s">
        <v>1525</v>
      </c>
      <c r="ASK18">
        <v>3.5062687397003169</v>
      </c>
      <c r="ASL18">
        <v>542</v>
      </c>
      <c r="ASM18" s="5"/>
      <c r="ASP18" t="s">
        <v>4773</v>
      </c>
      <c r="ASR18">
        <v>443</v>
      </c>
      <c r="ASV18" t="s">
        <v>4774</v>
      </c>
      <c r="ASX18">
        <v>434</v>
      </c>
      <c r="ATD18">
        <v>389</v>
      </c>
    </row>
    <row r="19" spans="2:1024 1026:1201" x14ac:dyDescent="0.25">
      <c r="B19">
        <f t="shared" si="0"/>
        <v>7</v>
      </c>
      <c r="C19" t="s">
        <v>1102</v>
      </c>
      <c r="D19" t="s">
        <v>4482</v>
      </c>
      <c r="E19">
        <v>3.4868824481964111</v>
      </c>
      <c r="F19">
        <v>373</v>
      </c>
      <c r="G19" s="1"/>
      <c r="H19">
        <f t="shared" si="1"/>
        <v>0</v>
      </c>
      <c r="J19" t="s">
        <v>4257</v>
      </c>
      <c r="K19">
        <v>2.9457674026489258</v>
      </c>
      <c r="L19">
        <v>640</v>
      </c>
      <c r="M19" s="2"/>
      <c r="CT19">
        <f t="shared" si="16"/>
        <v>4</v>
      </c>
      <c r="CU19" t="s">
        <v>4378</v>
      </c>
      <c r="CV19" t="s">
        <v>4592</v>
      </c>
      <c r="CW19">
        <v>3.187788724899292</v>
      </c>
      <c r="CX19">
        <v>430</v>
      </c>
      <c r="CY19" s="1"/>
      <c r="CZ19">
        <f t="shared" si="17"/>
        <v>0</v>
      </c>
      <c r="DB19" t="s">
        <v>2549</v>
      </c>
      <c r="DC19">
        <v>2.9656062126159668</v>
      </c>
      <c r="DD19">
        <v>488</v>
      </c>
      <c r="DE19" s="2"/>
      <c r="IH19">
        <f t="shared" si="40"/>
        <v>16</v>
      </c>
      <c r="II19" t="s">
        <v>4775</v>
      </c>
      <c r="IJ19" t="s">
        <v>1591</v>
      </c>
      <c r="IK19">
        <v>3.2440938949584961</v>
      </c>
      <c r="IL19">
        <v>470</v>
      </c>
      <c r="IM19" s="1"/>
      <c r="IP19" t="s">
        <v>4257</v>
      </c>
      <c r="IR19">
        <v>556</v>
      </c>
      <c r="LZ19">
        <f t="shared" si="56"/>
        <v>18</v>
      </c>
      <c r="MA19" t="s">
        <v>1539</v>
      </c>
      <c r="MB19" t="s">
        <v>4776</v>
      </c>
      <c r="MC19">
        <v>4.019707202911377</v>
      </c>
      <c r="MD19">
        <v>376</v>
      </c>
      <c r="ME19" s="1"/>
      <c r="MF19">
        <f t="shared" si="57"/>
        <v>8</v>
      </c>
      <c r="MG19" t="s">
        <v>4777</v>
      </c>
      <c r="MH19" t="s">
        <v>4678</v>
      </c>
      <c r="MI19">
        <v>3.9791097640991211</v>
      </c>
      <c r="MJ19">
        <v>509</v>
      </c>
      <c r="MK19" s="2"/>
      <c r="MX19">
        <f t="shared" si="60"/>
        <v>22</v>
      </c>
      <c r="MY19" t="s">
        <v>3336</v>
      </c>
      <c r="MZ19" t="s">
        <v>4778</v>
      </c>
      <c r="NA19">
        <v>8.8604974746704102</v>
      </c>
      <c r="NB19">
        <v>482</v>
      </c>
      <c r="NC19" s="1"/>
      <c r="ND19">
        <f t="shared" si="61"/>
        <v>30</v>
      </c>
      <c r="NE19" t="s">
        <v>4779</v>
      </c>
      <c r="NF19" t="s">
        <v>4780</v>
      </c>
      <c r="NG19">
        <v>5.3741626739501953</v>
      </c>
      <c r="NH19">
        <v>446</v>
      </c>
      <c r="NI19" s="2"/>
      <c r="RP19" t="s">
        <v>4257</v>
      </c>
      <c r="RR19">
        <v>579</v>
      </c>
      <c r="RV19" t="s">
        <v>4300</v>
      </c>
      <c r="RX19">
        <v>421</v>
      </c>
      <c r="UH19">
        <f t="shared" si="92"/>
        <v>23</v>
      </c>
      <c r="UI19" t="s">
        <v>232</v>
      </c>
      <c r="UJ19" t="s">
        <v>232</v>
      </c>
      <c r="UK19">
        <v>3.1277832984924321</v>
      </c>
      <c r="UL19">
        <v>354</v>
      </c>
      <c r="UM19" s="1"/>
      <c r="UP19" t="s">
        <v>4257</v>
      </c>
      <c r="UR19">
        <v>587</v>
      </c>
      <c r="ABR19">
        <f t="shared" si="124"/>
        <v>7</v>
      </c>
      <c r="ABS19" t="s">
        <v>232</v>
      </c>
      <c r="ABT19" t="s">
        <v>4700</v>
      </c>
      <c r="ABU19">
        <v>3.486096858978271</v>
      </c>
      <c r="ABV19">
        <v>613</v>
      </c>
      <c r="ABW19" s="5"/>
      <c r="ABX19">
        <f t="shared" si="125"/>
        <v>8</v>
      </c>
      <c r="ABY19" t="s">
        <v>1375</v>
      </c>
      <c r="ABZ19" t="s">
        <v>1375</v>
      </c>
      <c r="ACA19">
        <v>3.3437752723693852</v>
      </c>
      <c r="ACB19">
        <v>441</v>
      </c>
      <c r="ACC19" s="2"/>
      <c r="ACP19">
        <f t="shared" si="128"/>
        <v>19</v>
      </c>
      <c r="ACQ19" t="s">
        <v>2159</v>
      </c>
      <c r="ACR19" t="s">
        <v>4560</v>
      </c>
      <c r="ACS19">
        <v>3.3535556793212891</v>
      </c>
      <c r="ACT19">
        <v>623</v>
      </c>
      <c r="ACU19" s="5"/>
      <c r="ACX19" t="s">
        <v>4257</v>
      </c>
      <c r="ACZ19">
        <v>482</v>
      </c>
      <c r="ADN19">
        <f t="shared" si="132"/>
        <v>9</v>
      </c>
      <c r="ADO19" t="s">
        <v>1375</v>
      </c>
      <c r="ADP19" t="s">
        <v>1375</v>
      </c>
      <c r="ADQ19">
        <v>3.2471649646759029</v>
      </c>
      <c r="ADR19">
        <v>644</v>
      </c>
      <c r="ADS19" s="5"/>
      <c r="ADV19" t="s">
        <v>1102</v>
      </c>
      <c r="ADX19">
        <v>407</v>
      </c>
      <c r="ADZ19">
        <f t="shared" si="134"/>
        <v>8</v>
      </c>
      <c r="AEA19" t="s">
        <v>4560</v>
      </c>
      <c r="AEB19" t="s">
        <v>4781</v>
      </c>
      <c r="AEC19">
        <v>6.1763057708740234</v>
      </c>
      <c r="AED19">
        <v>412</v>
      </c>
      <c r="AEE19" s="5"/>
      <c r="AEF19">
        <f t="shared" si="135"/>
        <v>6</v>
      </c>
      <c r="AEG19" t="s">
        <v>1102</v>
      </c>
      <c r="AEH19" t="s">
        <v>4757</v>
      </c>
      <c r="AEI19">
        <v>3.5481269359588619</v>
      </c>
      <c r="AEJ19">
        <v>460</v>
      </c>
      <c r="AEK19" s="2"/>
      <c r="AFX19" t="s">
        <v>600</v>
      </c>
      <c r="AGT19">
        <f t="shared" si="146"/>
        <v>19</v>
      </c>
      <c r="AGU19" t="s">
        <v>3747</v>
      </c>
      <c r="AGV19" t="s">
        <v>4782</v>
      </c>
      <c r="AGW19">
        <v>11.13469481468201</v>
      </c>
      <c r="AGX19">
        <v>385</v>
      </c>
      <c r="AGY19" s="5"/>
      <c r="AGZ19">
        <f t="shared" si="147"/>
        <v>12</v>
      </c>
      <c r="AHA19" t="s">
        <v>3947</v>
      </c>
      <c r="AHB19" t="s">
        <v>4783</v>
      </c>
      <c r="AHC19">
        <v>4.7905364036560059</v>
      </c>
      <c r="AHD19">
        <v>501</v>
      </c>
      <c r="AHE19" s="2"/>
      <c r="AKX19">
        <f t="shared" si="164"/>
        <v>0</v>
      </c>
      <c r="AKZ19" t="s">
        <v>2549</v>
      </c>
      <c r="ALA19">
        <v>3.345818042755127</v>
      </c>
      <c r="ALB19">
        <v>543</v>
      </c>
      <c r="ALC19" s="5"/>
      <c r="ALD19">
        <f t="shared" si="165"/>
        <v>0</v>
      </c>
      <c r="ALF19" t="s">
        <v>4257</v>
      </c>
      <c r="ALG19">
        <v>2.5252547264099121</v>
      </c>
      <c r="ALH19">
        <v>439</v>
      </c>
      <c r="ALI19" s="2"/>
      <c r="ALV19">
        <f t="shared" si="168"/>
        <v>7</v>
      </c>
      <c r="ALW19" t="s">
        <v>1102</v>
      </c>
      <c r="ALX19" t="s">
        <v>4784</v>
      </c>
      <c r="ALY19">
        <v>4.8507928848266602</v>
      </c>
      <c r="ALZ19">
        <v>456</v>
      </c>
      <c r="AMA19" s="5"/>
      <c r="AMB19">
        <f t="shared" si="169"/>
        <v>2</v>
      </c>
      <c r="AMC19" t="s">
        <v>1225</v>
      </c>
      <c r="AMD19" t="s">
        <v>4785</v>
      </c>
      <c r="AME19">
        <v>3.639931440353394</v>
      </c>
      <c r="AMF19">
        <v>469</v>
      </c>
      <c r="AMG19" s="2"/>
    </row>
    <row r="20" spans="2:1024 1026:1201" x14ac:dyDescent="0.25">
      <c r="B20">
        <f t="shared" si="0"/>
        <v>0</v>
      </c>
      <c r="D20" t="s">
        <v>2549</v>
      </c>
      <c r="E20">
        <v>3.2142066955566411</v>
      </c>
      <c r="F20">
        <v>373</v>
      </c>
      <c r="G20" s="1"/>
      <c r="H20">
        <f t="shared" si="1"/>
        <v>0</v>
      </c>
      <c r="J20" t="s">
        <v>4257</v>
      </c>
      <c r="K20">
        <v>3.0885167121887211</v>
      </c>
      <c r="L20">
        <v>640</v>
      </c>
      <c r="M20" s="2"/>
      <c r="CT20">
        <f t="shared" si="16"/>
        <v>0</v>
      </c>
      <c r="CV20" t="s">
        <v>4257</v>
      </c>
      <c r="CW20">
        <v>2.5377087593078609</v>
      </c>
      <c r="CX20">
        <v>430</v>
      </c>
      <c r="CY20" s="1"/>
      <c r="CZ20">
        <f t="shared" si="17"/>
        <v>0</v>
      </c>
      <c r="DB20" t="s">
        <v>2549</v>
      </c>
      <c r="DC20">
        <v>2.903922319412231</v>
      </c>
      <c r="DD20">
        <v>488</v>
      </c>
      <c r="DE20" s="2"/>
      <c r="MB20" t="s">
        <v>4786</v>
      </c>
      <c r="MD20">
        <v>372</v>
      </c>
      <c r="MJ20">
        <v>513</v>
      </c>
      <c r="MZ20" t="s">
        <v>4787</v>
      </c>
      <c r="NB20">
        <v>478</v>
      </c>
      <c r="NH20">
        <v>450</v>
      </c>
      <c r="ABT20" t="s">
        <v>232</v>
      </c>
      <c r="ABV20">
        <v>612</v>
      </c>
      <c r="ACB20">
        <v>442</v>
      </c>
      <c r="ADZ20">
        <f t="shared" si="134"/>
        <v>7</v>
      </c>
      <c r="AEA20" t="s">
        <v>4536</v>
      </c>
      <c r="AEB20" t="s">
        <v>4788</v>
      </c>
      <c r="AEC20">
        <v>4.7953929901123047</v>
      </c>
      <c r="AED20">
        <v>419</v>
      </c>
      <c r="AEE20" s="5"/>
      <c r="AEF20">
        <f t="shared" si="135"/>
        <v>5</v>
      </c>
      <c r="AEG20" t="s">
        <v>4311</v>
      </c>
      <c r="AEH20" t="s">
        <v>232</v>
      </c>
      <c r="AEI20">
        <v>3.2904539108276372</v>
      </c>
      <c r="AEJ20">
        <v>465</v>
      </c>
      <c r="AEK20" s="2"/>
      <c r="AGT20">
        <f t="shared" si="146"/>
        <v>5</v>
      </c>
      <c r="AGU20" t="s">
        <v>4089</v>
      </c>
      <c r="AGV20" t="s">
        <v>3634</v>
      </c>
      <c r="AGW20">
        <v>4.6808145046234131</v>
      </c>
      <c r="AGX20">
        <v>390</v>
      </c>
      <c r="AGY20" s="5"/>
      <c r="AGZ20">
        <f t="shared" si="147"/>
        <v>7</v>
      </c>
      <c r="AHA20" t="s">
        <v>1062</v>
      </c>
      <c r="AHB20" t="s">
        <v>4789</v>
      </c>
      <c r="AHC20">
        <v>4.464052677154541</v>
      </c>
      <c r="AHD20">
        <v>508</v>
      </c>
      <c r="AHE20" s="2"/>
      <c r="AKZ20" t="s">
        <v>2549</v>
      </c>
      <c r="ALB20">
        <v>539</v>
      </c>
      <c r="ALF20" t="s">
        <v>4257</v>
      </c>
      <c r="ALH20">
        <v>429</v>
      </c>
      <c r="ALV20">
        <f t="shared" si="168"/>
        <v>0</v>
      </c>
      <c r="ALX20" t="s">
        <v>4790</v>
      </c>
      <c r="ALY20">
        <v>3.3643162250518799</v>
      </c>
      <c r="ALZ20">
        <v>456</v>
      </c>
      <c r="AMA20" s="5"/>
      <c r="AMB20">
        <f t="shared" si="169"/>
        <v>0</v>
      </c>
      <c r="AMD20" t="s">
        <v>4791</v>
      </c>
      <c r="AME20">
        <v>3.6538553237915039</v>
      </c>
      <c r="AMF20">
        <v>469</v>
      </c>
      <c r="AMG20" s="2"/>
    </row>
    <row r="21" spans="2:1024 1026:1201" x14ac:dyDescent="0.25">
      <c r="D21" t="s">
        <v>2549</v>
      </c>
      <c r="F21">
        <v>369</v>
      </c>
      <c r="J21" t="s">
        <v>4257</v>
      </c>
      <c r="L21">
        <v>630</v>
      </c>
      <c r="CV21" t="s">
        <v>4257</v>
      </c>
      <c r="CX21">
        <v>420</v>
      </c>
      <c r="DB21" t="s">
        <v>2549</v>
      </c>
      <c r="DD21">
        <v>484</v>
      </c>
      <c r="AEB21" t="s">
        <v>4792</v>
      </c>
      <c r="AED21">
        <v>404</v>
      </c>
      <c r="AEJ21">
        <v>480</v>
      </c>
      <c r="AGT21">
        <f t="shared" si="146"/>
        <v>17</v>
      </c>
      <c r="AGU21" t="s">
        <v>4793</v>
      </c>
      <c r="AGV21" t="s">
        <v>3749</v>
      </c>
      <c r="AGW21">
        <v>3.439731121063232</v>
      </c>
      <c r="AGX21">
        <v>407</v>
      </c>
      <c r="AGY21" s="5"/>
      <c r="AHB21" t="s">
        <v>4794</v>
      </c>
      <c r="AHD21">
        <v>498</v>
      </c>
      <c r="ALV21">
        <f t="shared" si="168"/>
        <v>-3</v>
      </c>
      <c r="ALX21" t="s">
        <v>4790</v>
      </c>
      <c r="ALY21">
        <v>3.2909021377563481</v>
      </c>
      <c r="ALZ21">
        <v>453</v>
      </c>
      <c r="AMA21" s="5"/>
      <c r="AMD21" t="s">
        <v>4791</v>
      </c>
      <c r="AMF21">
        <v>465</v>
      </c>
    </row>
    <row r="22" spans="2:1024 1026:1201" x14ac:dyDescent="0.25">
      <c r="ALX22" t="s">
        <v>4790</v>
      </c>
    </row>
    <row r="34" spans="1:1224" x14ac:dyDescent="0.25">
      <c r="D34" s="6" t="str" cm="1">
        <f t="array" ref="D34">IF(INDEX(F:F,MAX(_xlfn._xlws.FILTER(ROW(F:F),F:F&lt;&gt;"")))&gt;INDEX(L:L,MAX(_xlfn._xlws.FILTER(ROW(L:L),L:L&lt;&gt;""))),F1,L1)</f>
        <v>Greedy</v>
      </c>
      <c r="E34">
        <f>SUM(E2:E26)</f>
        <v>237.81465268135071</v>
      </c>
      <c r="F34" s="6" cm="1">
        <f t="array" ref="F34">INDEX(F1:F26,MAX(_xlfn._xlws.FILTER(ROW(F1:F26),F1:F26&lt;&gt;"")))</f>
        <v>369</v>
      </c>
      <c r="G34" s="6">
        <f>IF(D34="Kans",L34-F34,F34-L34)</f>
        <v>-261</v>
      </c>
      <c r="K34">
        <f>SUM(K2:K26)</f>
        <v>297.24158310890198</v>
      </c>
      <c r="L34" s="6" cm="1">
        <f t="array" ref="L34">INDEX(L1:L26,MAX(_xlfn._xlws.FILTER(ROW(L1:L26),L1:L26&lt;&gt;"")))</f>
        <v>630</v>
      </c>
      <c r="P34" s="6" t="str" cm="1">
        <f t="array" ref="P34">IF(INDEX(R:R,MAX(_xlfn._xlws.FILTER(ROW(R:R),R:R&lt;&gt;"")))&gt;INDEX(X:X,MAX(_xlfn._xlws.FILTER(ROW(X:X),X:X&lt;&gt;""))),R1,X1)</f>
        <v>Combi</v>
      </c>
      <c r="Q34">
        <f t="shared" ref="Q34" si="204">SUM(Q2:Q26)</f>
        <v>279.62756538391113</v>
      </c>
      <c r="R34" s="6" cm="1">
        <f t="array" ref="R34">INDEX(R1:R26,MAX(_xlfn._xlws.FILTER(ROW(R1:R26),R1:R26&lt;&gt;"")))</f>
        <v>493</v>
      </c>
      <c r="S34" s="6">
        <f t="shared" ref="S34" si="205">IF(P34="Kans",X34-R34,R34-X34)</f>
        <v>-104</v>
      </c>
      <c r="W34">
        <f t="shared" ref="W34" si="206">SUM(W2:W26)</f>
        <v>434.21363615989685</v>
      </c>
      <c r="X34" s="6" cm="1">
        <f t="array" ref="X34">INDEX(X1:X26,MAX(_xlfn._xlws.FILTER(ROW(X1:X26),X1:X26&lt;&gt;"")))</f>
        <v>597</v>
      </c>
      <c r="AB34" s="6" t="str" cm="1">
        <f t="array" ref="AB34">IF(INDEX(AD:AD,MAX(_xlfn._xlws.FILTER(ROW(AD:AD),AD:AD&lt;&gt;"")))&gt;INDEX(AJ:AJ,MAX(_xlfn._xlws.FILTER(ROW(AJ:AJ),AJ:AJ&lt;&gt;""))),AD1,AJ1)</f>
        <v>Combi</v>
      </c>
      <c r="AC34">
        <f t="shared" ref="AC34" si="207">SUM(AC2:AC26)</f>
        <v>263.96136069297791</v>
      </c>
      <c r="AD34" s="6" cm="1">
        <f t="array" ref="AD34">INDEX(AD1:AD26,MAX(_xlfn._xlws.FILTER(ROW(AD1:AD26),AD1:AD26&lt;&gt;"")))</f>
        <v>378</v>
      </c>
      <c r="AE34" s="6">
        <f t="shared" ref="AE34" si="208">IF(AB34="Kans",AJ34-AD34,AD34-AJ34)</f>
        <v>-101</v>
      </c>
      <c r="AI34">
        <f t="shared" ref="AI34" si="209">SUM(AI2:AI26)</f>
        <v>342.42871308326721</v>
      </c>
      <c r="AJ34" s="6" cm="1">
        <f t="array" ref="AJ34">INDEX(AJ1:AJ26,MAX(_xlfn._xlws.FILTER(ROW(AJ1:AJ26),AJ1:AJ26&lt;&gt;"")))</f>
        <v>479</v>
      </c>
      <c r="AN34" s="6" t="str" cm="1">
        <f t="array" ref="AN34">IF(INDEX(AP:AP,MAX(_xlfn._xlws.FILTER(ROW(AP:AP),AP:AP&lt;&gt;"")))&gt;INDEX(AV:AV,MAX(_xlfn._xlws.FILTER(ROW(AV:AV),AV:AV&lt;&gt;""))),AP1,AV1)</f>
        <v>Combi</v>
      </c>
      <c r="AO34">
        <f t="shared" ref="AO34" si="210">SUM(AO2:AO26)</f>
        <v>142.19619560241699</v>
      </c>
      <c r="AP34" s="6" cm="1">
        <f t="array" ref="AP34">INDEX(AP1:AP26,MAX(_xlfn._xlws.FILTER(ROW(AP1:AP26),AP1:AP26&lt;&gt;"")))</f>
        <v>444</v>
      </c>
      <c r="AQ34" s="6">
        <f t="shared" ref="AQ34" si="211">IF(AN34="Kans",AV34-AP34,AP34-AV34)</f>
        <v>-124</v>
      </c>
      <c r="AU34">
        <f t="shared" ref="AU34" si="212">SUM(AU2:AU26)</f>
        <v>1150.4803438186646</v>
      </c>
      <c r="AV34" s="6" cm="1">
        <f t="array" ref="AV34">INDEX(AV1:AV26,MAX(_xlfn._xlws.FILTER(ROW(AV1:AV26),AV1:AV26&lt;&gt;"")))</f>
        <v>568</v>
      </c>
      <c r="AZ34" s="6" t="str" cm="1">
        <f t="array" ref="AZ34">IF(INDEX(BB:BB,MAX(_xlfn._xlws.FILTER(ROW(BB:BB),BB:BB&lt;&gt;"")))&gt;INDEX(BH:BH,MAX(_xlfn._xlws.FILTER(ROW(BH:BH),BH:BH&lt;&gt;""))),BB1,BH1)</f>
        <v>Combi</v>
      </c>
      <c r="BA34">
        <f t="shared" ref="BA34" si="213">SUM(BA2:BA26)</f>
        <v>284.96005654335022</v>
      </c>
      <c r="BB34" s="6" cm="1">
        <f t="array" ref="BB34">INDEX(BB1:BB26,MAX(_xlfn._xlws.FILTER(ROW(BB1:BB26),BB1:BB26&lt;&gt;"")))</f>
        <v>454</v>
      </c>
      <c r="BC34" s="6">
        <f t="shared" ref="BC34" si="214">IF(AZ34="Kans",BH34-BB34,BB34-BH34)</f>
        <v>-93</v>
      </c>
      <c r="BG34">
        <f t="shared" ref="BG34" si="215">SUM(BG2:BG26)</f>
        <v>355.23558449745178</v>
      </c>
      <c r="BH34" s="6" cm="1">
        <f t="array" ref="BH34">INDEX(BH1:BH26,MAX(_xlfn._xlws.FILTER(ROW(BH1:BH26),BH1:BH26&lt;&gt;"")))</f>
        <v>547</v>
      </c>
      <c r="BL34" s="6" t="str" cm="1">
        <f t="array" ref="BL34">IF(INDEX(BN:BN,MAX(_xlfn._xlws.FILTER(ROW(BN:BN),BN:BN&lt;&gt;"")))&gt;INDEX(BT:BT,MAX(_xlfn._xlws.FILTER(ROW(BT:BT),BT:BT&lt;&gt;""))),BN1,BT1)</f>
        <v>Combi</v>
      </c>
      <c r="BM34">
        <f t="shared" ref="BM34" si="216">SUM(BM2:BM26)</f>
        <v>246.84842681884766</v>
      </c>
      <c r="BN34" s="6" cm="1">
        <f t="array" ref="BN34">INDEX(BN1:BN26,MAX(_xlfn._xlws.FILTER(ROW(BN1:BN26),BN1:BN26&lt;&gt;"")))</f>
        <v>424</v>
      </c>
      <c r="BO34" s="6">
        <f t="shared" ref="BO34" si="217">IF(BL34="Kans",BT34-BN34,BN34-BT34)</f>
        <v>-86</v>
      </c>
      <c r="BS34">
        <f t="shared" ref="BS34" si="218">SUM(BS2:BS26)</f>
        <v>562.62092852592468</v>
      </c>
      <c r="BT34" s="6" cm="1">
        <f t="array" ref="BT34">INDEX(BT1:BT26,MAX(_xlfn._xlws.FILTER(ROW(BT1:BT26),BT1:BT26&lt;&gt;"")))</f>
        <v>510</v>
      </c>
      <c r="BX34" s="6" t="str" cm="1">
        <f t="array" ref="BX34">IF(INDEX(BZ:BZ,MAX(_xlfn._xlws.FILTER(ROW(BZ:BZ),BZ:BZ&lt;&gt;"")))&gt;INDEX(CF:CF,MAX(_xlfn._xlws.FILTER(ROW(CF:CF),CF:CF&lt;&gt;""))),BZ1,CF1)</f>
        <v>Greedy</v>
      </c>
      <c r="BY34">
        <f t="shared" ref="BY34" si="219">SUM(BY2:BY26)</f>
        <v>514.94611811637878</v>
      </c>
      <c r="BZ34" s="6" cm="1">
        <f t="array" ref="BZ34">INDEX(BZ1:BZ26,MAX(_xlfn._xlws.FILTER(ROW(BZ1:BZ26),BZ1:BZ26&lt;&gt;"")))</f>
        <v>638</v>
      </c>
      <c r="CA34" s="6">
        <f t="shared" ref="CA34" si="220">IF(BX34="Kans",CF34-BZ34,BZ34-CF34)</f>
        <v>214</v>
      </c>
      <c r="CE34">
        <f t="shared" ref="CE34" si="221">SUM(CE2:CE26)</f>
        <v>255.43960881233215</v>
      </c>
      <c r="CF34" s="6" cm="1">
        <f t="array" ref="CF34">INDEX(CF1:CF26,MAX(_xlfn._xlws.FILTER(ROW(CF1:CF26),CF1:CF26&lt;&gt;"")))</f>
        <v>424</v>
      </c>
      <c r="CJ34" s="6" t="str" cm="1">
        <f t="array" ref="CJ34">IF(INDEX(CL:CL,MAX(_xlfn._xlws.FILTER(ROW(CL:CL),CL:CL&lt;&gt;"")))&gt;INDEX(CR:CR,MAX(_xlfn._xlws.FILTER(ROW(CR:CR),CR:CR&lt;&gt;""))),CL1,CR1)</f>
        <v>Greedy</v>
      </c>
      <c r="CK34">
        <f t="shared" ref="CK34" si="222">SUM(CK2:CK26)</f>
        <v>467.9976053237915</v>
      </c>
      <c r="CL34" s="6" cm="1">
        <f t="array" ref="CL34">INDEX(CL1:CL26,MAX(_xlfn._xlws.FILTER(ROW(CL1:CL26),CL1:CL26&lt;&gt;"")))</f>
        <v>479</v>
      </c>
      <c r="CM34" s="6">
        <f t="shared" ref="CM34" si="223">IF(CJ34="Kans",CR34-CL34,CL34-CR34)</f>
        <v>23</v>
      </c>
      <c r="CQ34">
        <f t="shared" ref="CQ34" si="224">SUM(CQ2:CQ26)</f>
        <v>415.55148029327393</v>
      </c>
      <c r="CR34" s="6" cm="1">
        <f t="array" ref="CR34">INDEX(CR1:CR26,MAX(_xlfn._xlws.FILTER(ROW(CR1:CR26),CR1:CR26&lt;&gt;"")))</f>
        <v>456</v>
      </c>
      <c r="CV34" s="6" t="str" cm="1">
        <f t="array" ref="CV34">IF(INDEX(CX:CX,MAX(_xlfn._xlws.FILTER(ROW(CX:CX),CX:CX&lt;&gt;"")))&gt;INDEX(DD:DD,MAX(_xlfn._xlws.FILTER(ROW(DD:DD),DD:DD&lt;&gt;""))),CX1,DD1)</f>
        <v>Combi</v>
      </c>
      <c r="CW34">
        <f t="shared" ref="CW34" si="225">SUM(CW2:CW26)</f>
        <v>178.38844203948975</v>
      </c>
      <c r="CX34" s="6" cm="1">
        <f t="array" ref="CX34">INDEX(CX1:CX26,MAX(_xlfn._xlws.FILTER(ROW(CX1:CX26),CX1:CX26&lt;&gt;"")))</f>
        <v>420</v>
      </c>
      <c r="CY34" s="6">
        <f t="shared" ref="CY34" si="226">IF(CV34="Kans",DD34-CX34,CX34-DD34)</f>
        <v>-64</v>
      </c>
      <c r="DC34">
        <f t="shared" ref="DC34" si="227">SUM(DC2:DC26)</f>
        <v>1027.9680788516998</v>
      </c>
      <c r="DD34" s="6" cm="1">
        <f t="array" ref="DD34">INDEX(DD1:DD26,MAX(_xlfn._xlws.FILTER(ROW(DD1:DD26),DD1:DD26&lt;&gt;"")))</f>
        <v>484</v>
      </c>
      <c r="DH34" s="6" t="str" cm="1">
        <f t="array" ref="DH34">IF(INDEX(DJ:DJ,MAX(_xlfn._xlws.FILTER(ROW(DJ:DJ),DJ:DJ&lt;&gt;"")))&gt;INDEX(DP:DP,MAX(_xlfn._xlws.FILTER(ROW(DP:DP),DP:DP&lt;&gt;""))),DJ1,DP1)</f>
        <v>Greedy</v>
      </c>
      <c r="DI34">
        <f t="shared" ref="DI34" si="228">SUM(DI2:DI26)</f>
        <v>292.1445529460907</v>
      </c>
      <c r="DJ34" s="6" cm="1">
        <f t="array" ref="DJ34">INDEX(DJ1:DJ26,MAX(_xlfn._xlws.FILTER(ROW(DJ1:DJ26),DJ1:DJ26&lt;&gt;"")))</f>
        <v>579</v>
      </c>
      <c r="DK34" s="6">
        <f t="shared" ref="DK34" si="229">IF(DH34="Kans",DP34-DJ34,DJ34-DP34)</f>
        <v>185</v>
      </c>
      <c r="DO34">
        <f t="shared" ref="DO34" si="230">SUM(DO2:DO26)</f>
        <v>523.80195546150208</v>
      </c>
      <c r="DP34" s="6" cm="1">
        <f t="array" ref="DP34">INDEX(DP1:DP26,MAX(_xlfn._xlws.FILTER(ROW(DP1:DP26),DP1:DP26&lt;&gt;"")))</f>
        <v>394</v>
      </c>
      <c r="DT34" s="6" t="str" cm="1">
        <f t="array" ref="DT34">IF(INDEX(DV:DV,MAX(_xlfn._xlws.FILTER(ROW(DV:DV),DV:DV&lt;&gt;"")))&gt;INDEX(EB:EB,MAX(_xlfn._xlws.FILTER(ROW(EB:EB),EB:EB&lt;&gt;""))),DV1,EB1)</f>
        <v>Combi</v>
      </c>
      <c r="DU34">
        <f t="shared" ref="DU34" si="231">SUM(DU2:DU26)</f>
        <v>154.99186015129089</v>
      </c>
      <c r="DV34" s="6" cm="1">
        <f t="array" ref="DV34">INDEX(DV1:DV26,MAX(_xlfn._xlws.FILTER(ROW(DV1:DV26),DV1:DV26&lt;&gt;"")))</f>
        <v>494</v>
      </c>
      <c r="DW34" s="6">
        <f t="shared" ref="DW34" si="232">IF(DT34="Kans",EB34-DV34,DV34-EB34)</f>
        <v>-15</v>
      </c>
      <c r="EA34">
        <f t="shared" ref="EA34" si="233">SUM(EA2:EA26)</f>
        <v>776.37864804267883</v>
      </c>
      <c r="EB34" s="6" cm="1">
        <f t="array" ref="EB34">INDEX(EB1:EB26,MAX(_xlfn._xlws.FILTER(ROW(EB1:EB26),EB1:EB26&lt;&gt;"")))</f>
        <v>509</v>
      </c>
      <c r="EF34" s="6" t="str" cm="1">
        <f t="array" ref="EF34">IF(INDEX(EH:EH,MAX(_xlfn._xlws.FILTER(ROW(EH:EH),EH:EH&lt;&gt;"")))&gt;INDEX(EN:EN,MAX(_xlfn._xlws.FILTER(ROW(EN:EN),EN:EN&lt;&gt;""))),EH1,EN1)</f>
        <v>Combi</v>
      </c>
      <c r="EG34">
        <f t="shared" ref="EG34" si="234">SUM(EG2:EG26)</f>
        <v>212.92411255836487</v>
      </c>
      <c r="EH34" s="6" cm="1">
        <f t="array" ref="EH34">INDEX(EH1:EH26,MAX(_xlfn._xlws.FILTER(ROW(EH1:EH26),EH1:EH26&lt;&gt;"")))</f>
        <v>347</v>
      </c>
      <c r="EI34" s="6">
        <f t="shared" ref="EI34" si="235">IF(EF34="Kans",EN34-EH34,EH34-EN34)</f>
        <v>-203</v>
      </c>
      <c r="EM34">
        <f t="shared" ref="EM34" si="236">SUM(EM2:EM26)</f>
        <v>581.19125795364391</v>
      </c>
      <c r="EN34" s="6" cm="1">
        <f t="array" ref="EN34">INDEX(EN1:EN26,MAX(_xlfn._xlws.FILTER(ROW(EN1:EN26),EN1:EN26&lt;&gt;"")))</f>
        <v>550</v>
      </c>
      <c r="ER34" s="6" t="str" cm="1">
        <f t="array" ref="ER34">IF(INDEX(ET:ET,MAX(_xlfn._xlws.FILTER(ROW(ET:ET),ET:ET&lt;&gt;"")))&gt;INDEX(EZ:EZ,MAX(_xlfn._xlws.FILTER(ROW(EZ:EZ),EZ:EZ&lt;&gt;""))),ET1,EZ1)</f>
        <v>Combi</v>
      </c>
      <c r="ES34">
        <f t="shared" ref="ES34" si="237">SUM(ES2:ES26)</f>
        <v>220.62777853012085</v>
      </c>
      <c r="ET34" s="6" cm="1">
        <f t="array" ref="ET34">INDEX(ET1:ET26,MAX(_xlfn._xlws.FILTER(ROW(ET1:ET26),ET1:ET26&lt;&gt;"")))</f>
        <v>410</v>
      </c>
      <c r="EU34" s="6">
        <f t="shared" ref="EU34" si="238">IF(ER34="Kans",EZ34-ET34,ET34-EZ34)</f>
        <v>-71</v>
      </c>
      <c r="EY34">
        <f t="shared" ref="EY34" si="239">SUM(EY2:EY26)</f>
        <v>799.38717555999756</v>
      </c>
      <c r="EZ34" s="6" cm="1">
        <f t="array" ref="EZ34">INDEX(EZ1:EZ26,MAX(_xlfn._xlws.FILTER(ROW(EZ1:EZ26),EZ1:EZ26&lt;&gt;"")))</f>
        <v>481</v>
      </c>
      <c r="FD34" s="6" t="str" cm="1">
        <f t="array" ref="FD34">IF(INDEX(FF:FF,MAX(_xlfn._xlws.FILTER(ROW(FF:FF),FF:FF&lt;&gt;"")))&gt;INDEX(FL:FL,MAX(_xlfn._xlws.FILTER(ROW(FL:FL),FL:FL&lt;&gt;""))),FF1,FL1)</f>
        <v>Greedy</v>
      </c>
      <c r="FE34">
        <f t="shared" ref="FE34" si="240">SUM(FE2:FE26)</f>
        <v>602.73425483703613</v>
      </c>
      <c r="FF34" s="6" cm="1">
        <f t="array" ref="FF34">INDEX(FF1:FF26,MAX(_xlfn._xlws.FILTER(ROW(FF1:FF26),FF1:FF26&lt;&gt;"")))</f>
        <v>502</v>
      </c>
      <c r="FG34" s="6">
        <f t="shared" ref="FG34" si="241">IF(FD34="Kans",FL34-FF34,FF34-FL34)</f>
        <v>91</v>
      </c>
      <c r="FK34">
        <f t="shared" ref="FK34" si="242">SUM(FK2:FK26)</f>
        <v>351.32832026481628</v>
      </c>
      <c r="FL34" s="6" cm="1">
        <f t="array" ref="FL34">INDEX(FL1:FL26,MAX(_xlfn._xlws.FILTER(ROW(FL1:FL26),FL1:FL26&lt;&gt;"")))</f>
        <v>411</v>
      </c>
      <c r="FP34" s="6" t="str" cm="1">
        <f t="array" ref="FP34">IF(INDEX(FR:FR,MAX(_xlfn._xlws.FILTER(ROW(FR:FR),FR:FR&lt;&gt;"")))&gt;INDEX(FX:FX,MAX(_xlfn._xlws.FILTER(ROW(FX:FX),FX:FX&lt;&gt;""))),FR1,FX1)</f>
        <v>Greedy</v>
      </c>
      <c r="FQ34">
        <f t="shared" ref="FQ34" si="243">SUM(FQ2:FQ26)</f>
        <v>292.77636909484863</v>
      </c>
      <c r="FR34" s="6" cm="1">
        <f t="array" ref="FR34">INDEX(FR1:FR26,MAX(_xlfn._xlws.FILTER(ROW(FR1:FR26),FR1:FR26&lt;&gt;"")))</f>
        <v>595</v>
      </c>
      <c r="FS34" s="6">
        <f t="shared" ref="FS34" si="244">IF(FP34="Kans",FX34-FR34,FR34-FX34)</f>
        <v>90</v>
      </c>
      <c r="FW34">
        <f t="shared" ref="FW34" si="245">SUM(FW2:FW26)</f>
        <v>628.920254945755</v>
      </c>
      <c r="FX34" s="6" cm="1">
        <f t="array" ref="FX34">INDEX(FX1:FX26,MAX(_xlfn._xlws.FILTER(ROW(FX1:FX26),FX1:FX26&lt;&gt;"")))</f>
        <v>505</v>
      </c>
      <c r="GB34" s="6" t="str" cm="1">
        <f t="array" ref="GB34">IF(INDEX(GD:GD,MAX(_xlfn._xlws.FILTER(ROW(GD:GD),GD:GD&lt;&gt;"")))&gt;INDEX(GJ:GJ,MAX(_xlfn._xlws.FILTER(ROW(GJ:GJ),GJ:GJ&lt;&gt;""))),GD1,GJ1)</f>
        <v>Greedy</v>
      </c>
      <c r="GC34">
        <f t="shared" ref="GC34" si="246">SUM(GC2:GC26)</f>
        <v>354.38153505325317</v>
      </c>
      <c r="GD34" s="6" cm="1">
        <f t="array" ref="GD34">INDEX(GD1:GD26,MAX(_xlfn._xlws.FILTER(ROW(GD1:GD26),GD1:GD26&lt;&gt;"")))</f>
        <v>564</v>
      </c>
      <c r="GE34" s="6">
        <f t="shared" ref="GE34" si="247">IF(GB34="Kans",GJ34-GD34,GD34-GJ34)</f>
        <v>105</v>
      </c>
      <c r="GI34">
        <f t="shared" ref="GI34" si="248">SUM(GI2:GI26)</f>
        <v>343.540929555893</v>
      </c>
      <c r="GJ34" s="6" cm="1">
        <f t="array" ref="GJ34">INDEX(GJ1:GJ26,MAX(_xlfn._xlws.FILTER(ROW(GJ1:GJ26),GJ1:GJ26&lt;&gt;"")))</f>
        <v>459</v>
      </c>
      <c r="GN34" s="6" t="str" cm="1">
        <f t="array" ref="GN34">IF(INDEX(GP:GP,MAX(_xlfn._xlws.FILTER(ROW(GP:GP),GP:GP&lt;&gt;"")))&gt;INDEX(GV:GV,MAX(_xlfn._xlws.FILTER(ROW(GV:GV),GV:GV&lt;&gt;""))),GP1,GV1)</f>
        <v>Greedy</v>
      </c>
      <c r="GO34">
        <f t="shared" ref="GO34" si="249">SUM(GO2:GO26)</f>
        <v>469.29237270355225</v>
      </c>
      <c r="GP34" s="6" cm="1">
        <f t="array" ref="GP34">INDEX(GP1:GP26,MAX(_xlfn._xlws.FILTER(ROW(GP1:GP26),GP1:GP26&lt;&gt;"")))</f>
        <v>450</v>
      </c>
      <c r="GQ34" s="6">
        <f t="shared" ref="GQ34" si="250">IF(GN34="Kans",GV34-GP34,GP34-GV34)</f>
        <v>46</v>
      </c>
      <c r="GU34">
        <f t="shared" ref="GU34" si="251">SUM(GU2:GU26)</f>
        <v>559.27218174934387</v>
      </c>
      <c r="GV34" s="6" cm="1">
        <f t="array" ref="GV34">INDEX(GV1:GV26,MAX(_xlfn._xlws.FILTER(ROW(GV1:GV26),GV1:GV26&lt;&gt;"")))</f>
        <v>404</v>
      </c>
      <c r="GZ34" s="6" t="str" cm="1">
        <f t="array" ref="GZ34">IF(INDEX(HB:HB,MAX(_xlfn._xlws.FILTER(ROW(HB:HB),HB:HB&lt;&gt;"")))&gt;INDEX(HH:HH,MAX(_xlfn._xlws.FILTER(ROW(HH:HH),HH:HH&lt;&gt;""))),HB1,HH1)</f>
        <v>Combi</v>
      </c>
      <c r="HA34">
        <f t="shared" ref="HA34" si="252">SUM(HA2:HA26)</f>
        <v>300.34818840026855</v>
      </c>
      <c r="HB34" s="6" cm="1">
        <f t="array" ref="HB34">INDEX(HB1:HB26,MAX(_xlfn._xlws.FILTER(ROW(HB1:HB26),HB1:HB26&lt;&gt;"")))</f>
        <v>447</v>
      </c>
      <c r="HC34" s="6">
        <f t="shared" ref="HC34" si="253">IF(GZ34="Kans",HH34-HB34,HB34-HH34)</f>
        <v>-92</v>
      </c>
      <c r="HG34">
        <f t="shared" ref="HG34" si="254">SUM(HG2:HG26)</f>
        <v>724.72877764701843</v>
      </c>
      <c r="HH34" s="6" cm="1">
        <f t="array" ref="HH34">INDEX(HH1:HH26,MAX(_xlfn._xlws.FILTER(ROW(HH1:HH26),HH1:HH26&lt;&gt;"")))</f>
        <v>539</v>
      </c>
      <c r="HL34" s="6" t="str" cm="1">
        <f t="array" ref="HL34">IF(INDEX(HN:HN,MAX(_xlfn._xlws.FILTER(ROW(HN:HN),HN:HN&lt;&gt;"")))&gt;INDEX(HT:HT,MAX(_xlfn._xlws.FILTER(ROW(HT:HT),HT:HT&lt;&gt;""))),HN1,HT1)</f>
        <v>Combi</v>
      </c>
      <c r="HM34">
        <f t="shared" ref="HM34" si="255">SUM(HM2:HM26)</f>
        <v>360.2404248714447</v>
      </c>
      <c r="HN34" s="6" cm="1">
        <f t="array" ref="HN34">INDEX(HN1:HN26,MAX(_xlfn._xlws.FILTER(ROW(HN1:HN26),HN1:HN26&lt;&gt;"")))</f>
        <v>388</v>
      </c>
      <c r="HO34" s="6">
        <f t="shared" ref="HO34" si="256">IF(HL34="Kans",HT34-HN34,HN34-HT34)</f>
        <v>-176</v>
      </c>
      <c r="HS34">
        <f t="shared" ref="HS34" si="257">SUM(HS2:HS26)</f>
        <v>355.018967628479</v>
      </c>
      <c r="HT34" s="6" cm="1">
        <f t="array" ref="HT34">INDEX(HT1:HT26,MAX(_xlfn._xlws.FILTER(ROW(HT1:HT26),HT1:HT26&lt;&gt;"")))</f>
        <v>564</v>
      </c>
      <c r="HX34" s="6" t="str" cm="1">
        <f t="array" ref="HX34">IF(INDEX(HZ:HZ,MAX(_xlfn._xlws.FILTER(ROW(HZ:HZ),HZ:HZ&lt;&gt;"")))&gt;INDEX(IF:IF,MAX(_xlfn._xlws.FILTER(ROW(IF:IF),IF:IF&lt;&gt;""))),HZ1,IF1)</f>
        <v>Greedy</v>
      </c>
      <c r="HY34">
        <f t="shared" ref="HY34" si="258">SUM(HY2:HY26)</f>
        <v>229.467440366745</v>
      </c>
      <c r="HZ34" s="6" cm="1">
        <f t="array" ref="HZ34">INDEX(HZ1:HZ26,MAX(_xlfn._xlws.FILTER(ROW(HZ1:HZ26),HZ1:HZ26&lt;&gt;"")))</f>
        <v>451</v>
      </c>
      <c r="IA34" s="6">
        <f t="shared" ref="IA34" si="259">IF(HX34="Kans",IF34-HZ34,HZ34-IF34)</f>
        <v>1</v>
      </c>
      <c r="IE34">
        <f t="shared" ref="IE34" si="260">SUM(IE2:IE26)</f>
        <v>1471.8913118839262</v>
      </c>
      <c r="IF34" s="6" cm="1">
        <f t="array" ref="IF34">INDEX(IF1:IF26,MAX(_xlfn._xlws.FILTER(ROW(IF1:IF26),IF1:IF26&lt;&gt;"")))</f>
        <v>450</v>
      </c>
      <c r="IJ34" s="6" t="str" cm="1">
        <f t="array" ref="IJ34">IF(INDEX(IL:IL,MAX(_xlfn._xlws.FILTER(ROW(IL:IL),IL:IL&lt;&gt;"")))&gt;INDEX(IR:IR,MAX(_xlfn._xlws.FILTER(ROW(IR:IR),IR:IR&lt;&gt;""))),IL1,IR1)</f>
        <v>Combi</v>
      </c>
      <c r="IK34">
        <f t="shared" ref="IK34" si="261">SUM(IK2:IK26)</f>
        <v>241.84285950660706</v>
      </c>
      <c r="IL34" s="6" cm="1">
        <f t="array" ref="IL34">INDEX(IL1:IL26,MAX(_xlfn._xlws.FILTER(ROW(IL1:IL26),IL1:IL26&lt;&gt;"")))</f>
        <v>470</v>
      </c>
      <c r="IM34" s="6">
        <f t="shared" ref="IM34" si="262">IF(IJ34="Kans",IR34-IL34,IL34-IR34)</f>
        <v>-86</v>
      </c>
      <c r="IQ34">
        <f t="shared" ref="IQ34" si="263">SUM(IQ2:IQ26)</f>
        <v>495.12476301193232</v>
      </c>
      <c r="IR34" s="6" cm="1">
        <f t="array" ref="IR34">INDEX(IR1:IR26,MAX(_xlfn._xlws.FILTER(ROW(IR1:IR26),IR1:IR26&lt;&gt;"")))</f>
        <v>556</v>
      </c>
      <c r="IV34" s="6" t="str" cm="1">
        <f t="array" ref="IV34">IF(INDEX(IX:IX,MAX(_xlfn._xlws.FILTER(ROW(IX:IX),IX:IX&lt;&gt;"")))&gt;INDEX(JD:JD,MAX(_xlfn._xlws.FILTER(ROW(JD:JD),JD:JD&lt;&gt;""))),IX1,JD1)</f>
        <v>Greedy</v>
      </c>
      <c r="IW34">
        <f t="shared" ref="IW34" si="264">SUM(IW2:IW26)</f>
        <v>672.28524804115295</v>
      </c>
      <c r="IX34" s="6" cm="1">
        <f t="array" ref="IX34">INDEX(IX1:IX26,MAX(_xlfn._xlws.FILTER(ROW(IX1:IX26),IX1:IX26&lt;&gt;"")))</f>
        <v>472</v>
      </c>
      <c r="IY34" s="6">
        <f t="shared" ref="IY34" si="265">IF(IV34="Kans",JD34-IX34,IX34-JD34)</f>
        <v>55</v>
      </c>
      <c r="JC34">
        <f t="shared" ref="JC34" si="266">SUM(JC2:JC26)</f>
        <v>267.58770346641541</v>
      </c>
      <c r="JD34" s="6" cm="1">
        <f t="array" ref="JD34">INDEX(JD1:JD26,MAX(_xlfn._xlws.FILTER(ROW(JD1:JD26),JD1:JD26&lt;&gt;"")))</f>
        <v>417</v>
      </c>
      <c r="JH34" s="6" t="str" cm="1">
        <f t="array" ref="JH34">IF(INDEX(JJ:JJ,MAX(_xlfn._xlws.FILTER(ROW(JJ:JJ),JJ:JJ&lt;&gt;"")))&gt;INDEX(JP:JP,MAX(_xlfn._xlws.FILTER(ROW(JP:JP),JP:JP&lt;&gt;""))),JJ1,JP1)</f>
        <v>Combi</v>
      </c>
      <c r="JI34">
        <f t="shared" ref="JI34" si="267">SUM(JI2:JI26)</f>
        <v>227.94831299781799</v>
      </c>
      <c r="JJ34" s="6" cm="1">
        <f t="array" ref="JJ34">INDEX(JJ1:JJ26,MAX(_xlfn._xlws.FILTER(ROW(JJ1:JJ26),JJ1:JJ26&lt;&gt;"")))</f>
        <v>339</v>
      </c>
      <c r="JK34" s="6">
        <f t="shared" ref="JK34" si="268">IF(JH34="Kans",JP34-JJ34,JJ34-JP34)</f>
        <v>-179</v>
      </c>
      <c r="JO34">
        <f t="shared" ref="JO34" si="269">SUM(JO2:JO26)</f>
        <v>545.16566467285145</v>
      </c>
      <c r="JP34" s="6" cm="1">
        <f t="array" ref="JP34">INDEX(JP1:JP26,MAX(_xlfn._xlws.FILTER(ROW(JP1:JP26),JP1:JP26&lt;&gt;"")))</f>
        <v>518</v>
      </c>
      <c r="JT34" s="6" t="str" cm="1">
        <f t="array" ref="JT34">IF(INDEX(JV:JV,MAX(_xlfn._xlws.FILTER(ROW(JV:JV),JV:JV&lt;&gt;"")))&gt;INDEX(KB:KB,MAX(_xlfn._xlws.FILTER(ROW(KB:KB),KB:KB&lt;&gt;""))),JV1,KB1)</f>
        <v>Combi</v>
      </c>
      <c r="JU34">
        <f t="shared" ref="JU34" si="270">SUM(JU2:JU26)</f>
        <v>148.02308225631714</v>
      </c>
      <c r="JV34" s="6" cm="1">
        <f t="array" ref="JV34">INDEX(JV1:JV26,MAX(_xlfn._xlws.FILTER(ROW(JV1:JV26),JV1:JV26&lt;&gt;"")))</f>
        <v>385</v>
      </c>
      <c r="JW34" s="6">
        <f t="shared" ref="JW34" si="271">IF(JT34="Kans",KB34-JV34,JV34-KB34)</f>
        <v>-162</v>
      </c>
      <c r="KA34">
        <f t="shared" ref="KA34" si="272">SUM(KA2:KA26)</f>
        <v>765.10077595710754</v>
      </c>
      <c r="KB34" s="6" cm="1">
        <f t="array" ref="KB34">INDEX(KB1:KB26,MAX(_xlfn._xlws.FILTER(ROW(KB1:KB26),KB1:KB26&lt;&gt;"")))</f>
        <v>547</v>
      </c>
      <c r="KF34" s="6" t="str" cm="1">
        <f t="array" ref="KF34">IF(INDEX(KH:KH,MAX(_xlfn._xlws.FILTER(ROW(KH:KH),KH:KH&lt;&gt;"")))&gt;INDEX(KN:KN,MAX(_xlfn._xlws.FILTER(ROW(KN:KN),KN:KN&lt;&gt;""))),KH1,KN1)</f>
        <v>Greedy</v>
      </c>
      <c r="KG34">
        <f t="shared" ref="KG34" si="273">SUM(KG2:KG26)</f>
        <v>487.81509566307068</v>
      </c>
      <c r="KH34" s="6" cm="1">
        <f t="array" ref="KH34">INDEX(KH1:KH26,MAX(_xlfn._xlws.FILTER(ROW(KH1:KH26),KH1:KH26&lt;&gt;"")))</f>
        <v>553</v>
      </c>
      <c r="KI34" s="6">
        <f t="shared" ref="KI34" si="274">IF(KF34="Kans",KN34-KH34,KH34-KN34)</f>
        <v>26</v>
      </c>
      <c r="KM34">
        <f t="shared" ref="KM34" si="275">SUM(KM2:KM26)</f>
        <v>363.49580073356628</v>
      </c>
      <c r="KN34" s="6" cm="1">
        <f t="array" ref="KN34">INDEX(KN1:KN26,MAX(_xlfn._xlws.FILTER(ROW(KN1:KN26),KN1:KN26&lt;&gt;"")))</f>
        <v>527</v>
      </c>
      <c r="KR34" s="6" t="str" cm="1">
        <f t="array" ref="KR34">IF(INDEX(KT:KT,MAX(_xlfn._xlws.FILTER(ROW(KT:KT),KT:KT&lt;&gt;"")))&gt;INDEX(KZ:KZ,MAX(_xlfn._xlws.FILTER(ROW(KZ:KZ),KZ:KZ&lt;&gt;""))),KT1,KZ1)</f>
        <v>Combi</v>
      </c>
      <c r="KS34">
        <f t="shared" ref="KS34" si="276">SUM(KS2:KS26)</f>
        <v>143.90760731697083</v>
      </c>
      <c r="KT34" s="6" cm="1">
        <f t="array" ref="KT34">INDEX(KT1:KT26,MAX(_xlfn._xlws.FILTER(ROW(KT1:KT26),KT1:KT26&lt;&gt;"")))</f>
        <v>389</v>
      </c>
      <c r="KU34" s="6">
        <f t="shared" ref="KU34" si="277">IF(KR34="Kans",KZ34-KT34,KT34-KZ34)</f>
        <v>-126</v>
      </c>
      <c r="KY34">
        <f t="shared" ref="KY34" si="278">SUM(KY2:KY26)</f>
        <v>593.59819912910461</v>
      </c>
      <c r="KZ34" s="6" cm="1">
        <f t="array" ref="KZ34">INDEX(KZ1:KZ26,MAX(_xlfn._xlws.FILTER(ROW(KZ1:KZ26),KZ1:KZ26&lt;&gt;"")))</f>
        <v>515</v>
      </c>
      <c r="LD34" s="6" t="str" cm="1">
        <f t="array" ref="LD34">IF(INDEX(LF:LF,MAX(_xlfn._xlws.FILTER(ROW(LF:LF),LF:LF&lt;&gt;"")))&gt;INDEX(LL:LL,MAX(_xlfn._xlws.FILTER(ROW(LL:LL),LL:LL&lt;&gt;""))),LF1,LL1)</f>
        <v>Greedy</v>
      </c>
      <c r="LE34">
        <f t="shared" ref="LE34" si="279">SUM(LE2:LE26)</f>
        <v>410.10039520263672</v>
      </c>
      <c r="LF34" s="6" cm="1">
        <f t="array" ref="LF34">INDEX(LF1:LF26,MAX(_xlfn._xlws.FILTER(ROW(LF1:LF26),LF1:LF26&lt;&gt;"")))</f>
        <v>498</v>
      </c>
      <c r="LG34" s="6">
        <f t="shared" ref="LG34" si="280">IF(LD34="Kans",LL34-LF34,LF34-LL34)</f>
        <v>4</v>
      </c>
      <c r="LK34">
        <f t="shared" ref="LK34" si="281">SUM(LK2:LK26)</f>
        <v>700.72938847541809</v>
      </c>
      <c r="LL34" s="6" cm="1">
        <f t="array" ref="LL34">INDEX(LL1:LL26,MAX(_xlfn._xlws.FILTER(ROW(LL1:LL26),LL1:LL26&lt;&gt;"")))</f>
        <v>494</v>
      </c>
      <c r="LP34" s="6" t="str" cm="1">
        <f t="array" ref="LP34">IF(INDEX(LR:LR,MAX(_xlfn._xlws.FILTER(ROW(LR:LR),LR:LR&lt;&gt;"")))&gt;INDEX(LX:LX,MAX(_xlfn._xlws.FILTER(ROW(LX:LX),LX:LX&lt;&gt;""))),LR1,LX1)</f>
        <v>Combi</v>
      </c>
      <c r="LQ34">
        <f t="shared" ref="LQ34" si="282">SUM(LQ2:LQ26)</f>
        <v>290.42189002037048</v>
      </c>
      <c r="LR34" s="6" cm="1">
        <f t="array" ref="LR34">INDEX(LR1:LR26,MAX(_xlfn._xlws.FILTER(ROW(LR1:LR26),LR1:LR26&lt;&gt;"")))</f>
        <v>376</v>
      </c>
      <c r="LS34" s="6">
        <f t="shared" ref="LS34" si="283">IF(LP34="Kans",LX34-LR34,LR34-LX34)</f>
        <v>-38</v>
      </c>
      <c r="LW34">
        <f t="shared" ref="LW34" si="284">SUM(LW2:LW26)</f>
        <v>527.79951572418213</v>
      </c>
      <c r="LX34" s="6" cm="1">
        <f t="array" ref="LX34">INDEX(LX1:LX26,MAX(_xlfn._xlws.FILTER(ROW(LX1:LX26),LX1:LX26&lt;&gt;"")))</f>
        <v>414</v>
      </c>
      <c r="MB34" s="6" t="str" cm="1">
        <f t="array" ref="MB34">IF(INDEX(MD:MD,MAX(_xlfn._xlws.FILTER(ROW(MD:MD),MD:MD&lt;&gt;"")))&gt;INDEX(MJ:MJ,MAX(_xlfn._xlws.FILTER(ROW(MJ:MJ),MJ:MJ&lt;&gt;""))),MD1,MJ1)</f>
        <v>Combi</v>
      </c>
      <c r="MC34">
        <f t="shared" ref="MC34" si="285">SUM(MC2:MC26)</f>
        <v>118.7723286151886</v>
      </c>
      <c r="MD34" s="6" cm="1">
        <f t="array" ref="MD34">INDEX(MD1:MD26,MAX(_xlfn._xlws.FILTER(ROW(MD1:MD26),MD1:MD26&lt;&gt;"")))</f>
        <v>372</v>
      </c>
      <c r="ME34" s="6">
        <f t="shared" ref="ME34" si="286">IF(MB34="Kans",MJ34-MD34,MD34-MJ34)</f>
        <v>-141</v>
      </c>
      <c r="MI34">
        <f t="shared" ref="MI34" si="287">SUM(MI2:MI26)</f>
        <v>701.32853078842163</v>
      </c>
      <c r="MJ34" s="6" cm="1">
        <f t="array" ref="MJ34">INDEX(MJ1:MJ26,MAX(_xlfn._xlws.FILTER(ROW(MJ1:MJ26),MJ1:MJ26&lt;&gt;"")))</f>
        <v>513</v>
      </c>
      <c r="MN34" s="6" t="str" cm="1">
        <f t="array" ref="MN34">IF(INDEX(MP:MP,MAX(_xlfn._xlws.FILTER(ROW(MP:MP),MP:MP&lt;&gt;"")))&gt;INDEX(MV:MV,MAX(_xlfn._xlws.FILTER(ROW(MV:MV),MV:MV&lt;&gt;""))),MP1,MV1)</f>
        <v>Combi</v>
      </c>
      <c r="MO34">
        <f t="shared" ref="MO34" si="288">SUM(MO2:MO26)</f>
        <v>698.56038475036621</v>
      </c>
      <c r="MP34" s="6" cm="1">
        <f t="array" ref="MP34">INDEX(MP1:MP26,MAX(_xlfn._xlws.FILTER(ROW(MP1:MP26),MP1:MP26&lt;&gt;"")))</f>
        <v>446</v>
      </c>
      <c r="MQ34" s="6">
        <f t="shared" ref="MQ34" si="289">IF(MN34="Kans",MV34-MP34,MP34-MV34)</f>
        <v>-80</v>
      </c>
      <c r="MU34">
        <f t="shared" ref="MU34" si="290">SUM(MU2:MU26)</f>
        <v>944.14279341697693</v>
      </c>
      <c r="MV34" s="6" cm="1">
        <f t="array" ref="MV34">INDEX(MV1:MV26,MAX(_xlfn._xlws.FILTER(ROW(MV1:MV26),MV1:MV26&lt;&gt;"")))</f>
        <v>526</v>
      </c>
      <c r="MZ34" s="6" t="str" cm="1">
        <f t="array" ref="MZ34">IF(INDEX(NB:NB,MAX(_xlfn._xlws.FILTER(ROW(NB:NB),NB:NB&lt;&gt;"")))&gt;INDEX(NH:NH,MAX(_xlfn._xlws.FILTER(ROW(NH:NH),NH:NH&lt;&gt;""))),NB1,NH1)</f>
        <v>Greedy</v>
      </c>
      <c r="NA34">
        <f t="shared" ref="NA34" si="291">SUM(NA2:NA26)</f>
        <v>484.44986796379089</v>
      </c>
      <c r="NB34" s="6" cm="1">
        <f t="array" ref="NB34">INDEX(NB1:NB26,MAX(_xlfn._xlws.FILTER(ROW(NB1:NB26),NB1:NB26&lt;&gt;"")))</f>
        <v>478</v>
      </c>
      <c r="NC34" s="6">
        <f t="shared" ref="NC34" si="292">IF(MZ34="Kans",NH34-NB34,NB34-NH34)</f>
        <v>28</v>
      </c>
      <c r="NG34">
        <f t="shared" ref="NG34" si="293">SUM(NG2:NG26)</f>
        <v>856.10609912872314</v>
      </c>
      <c r="NH34" s="6" cm="1">
        <f t="array" ref="NH34">INDEX(NH1:NH26,MAX(_xlfn._xlws.FILTER(ROW(NH1:NH26),NH1:NH26&lt;&gt;"")))</f>
        <v>450</v>
      </c>
      <c r="NL34" s="6" t="str" cm="1">
        <f t="array" ref="NL34">IF(INDEX(NN:NN,MAX(_xlfn._xlws.FILTER(ROW(NN:NN),NN:NN&lt;&gt;"")))&gt;INDEX(NT:NT,MAX(_xlfn._xlws.FILTER(ROW(NT:NT),NT:NT&lt;&gt;""))),NN1,NT1)</f>
        <v>Combi</v>
      </c>
      <c r="NM34">
        <f t="shared" ref="NM34" si="294">SUM(NM2:NM26)</f>
        <v>183.28027987480164</v>
      </c>
      <c r="NN34" s="6" cm="1">
        <f t="array" ref="NN34">INDEX(NN1:NN26,MAX(_xlfn._xlws.FILTER(ROW(NN1:NN26),NN1:NN26&lt;&gt;"")))</f>
        <v>373</v>
      </c>
      <c r="NO34" s="6">
        <f t="shared" ref="NO34" si="295">IF(NL34="Kans",NT34-NN34,NN34-NT34)</f>
        <v>-195</v>
      </c>
      <c r="NS34">
        <f t="shared" ref="NS34" si="296">SUM(NS2:NS26)</f>
        <v>304.51994943618774</v>
      </c>
      <c r="NT34" s="6" cm="1">
        <f t="array" ref="NT34">INDEX(NT1:NT26,MAX(_xlfn._xlws.FILTER(ROW(NT1:NT26),NT1:NT26&lt;&gt;"")))</f>
        <v>568</v>
      </c>
      <c r="NX34" s="6" t="str" cm="1">
        <f t="array" ref="NX34">IF(INDEX(NZ:NZ,MAX(_xlfn._xlws.FILTER(ROW(NZ:NZ),NZ:NZ&lt;&gt;"")))&gt;INDEX(OF:OF,MAX(_xlfn._xlws.FILTER(ROW(OF:OF),OF:OF&lt;&gt;""))),NZ1,OF1)</f>
        <v>Greedy</v>
      </c>
      <c r="NY34">
        <f t="shared" ref="NY34" si="297">SUM(NY2:NY26)</f>
        <v>456.80846238136292</v>
      </c>
      <c r="NZ34" s="6" cm="1">
        <f t="array" ref="NZ34">INDEX(NZ1:NZ26,MAX(_xlfn._xlws.FILTER(ROW(NZ1:NZ26),NZ1:NZ26&lt;&gt;"")))</f>
        <v>508</v>
      </c>
      <c r="OA34" s="6">
        <f t="shared" ref="OA34" si="298">IF(NX34="Kans",OF34-NZ34,NZ34-OF34)</f>
        <v>57</v>
      </c>
      <c r="OE34">
        <f t="shared" ref="OE34" si="299">SUM(OE2:OE26)</f>
        <v>424.89276671409607</v>
      </c>
      <c r="OF34" s="6" cm="1">
        <f t="array" ref="OF34">INDEX(OF1:OF26,MAX(_xlfn._xlws.FILTER(ROW(OF1:OF26),OF1:OF26&lt;&gt;"")))</f>
        <v>451</v>
      </c>
      <c r="OJ34" s="6" t="str" cm="1">
        <f t="array" ref="OJ34">IF(INDEX(OL:OL,MAX(_xlfn._xlws.FILTER(ROW(OL:OL),OL:OL&lt;&gt;"")))&gt;INDEX(OR:OR,MAX(_xlfn._xlws.FILTER(ROW(OR:OR),OR:OR&lt;&gt;""))),OL1,OR1)</f>
        <v>Greedy</v>
      </c>
      <c r="OK34">
        <f t="shared" ref="OK34" si="300">SUM(OK2:OK26)</f>
        <v>433.61611032485962</v>
      </c>
      <c r="OL34" s="6" cm="1">
        <f t="array" ref="OL34">INDEX(OL1:OL26,MAX(_xlfn._xlws.FILTER(ROW(OL1:OL26),OL1:OL26&lt;&gt;"")))</f>
        <v>489</v>
      </c>
      <c r="OM34" s="6">
        <f t="shared" ref="OM34" si="301">IF(OJ34="Kans",OR34-OL34,OL34-OR34)</f>
        <v>32</v>
      </c>
      <c r="OQ34">
        <f t="shared" ref="OQ34" si="302">SUM(OQ2:OQ26)</f>
        <v>423.41355013847351</v>
      </c>
      <c r="OR34" s="6" cm="1">
        <f t="array" ref="OR34">INDEX(OR1:OR26,MAX(_xlfn._xlws.FILTER(ROW(OR1:OR26),OR1:OR26&lt;&gt;"")))</f>
        <v>457</v>
      </c>
      <c r="OV34" s="6" t="str" cm="1">
        <f t="array" ref="OV34">IF(INDEX(OX:OX,MAX(_xlfn._xlws.FILTER(ROW(OX:OX),OX:OX&lt;&gt;"")))&gt;INDEX(PD:PD,MAX(_xlfn._xlws.FILTER(ROW(PD:PD),PD:PD&lt;&gt;""))),OX1,PD1)</f>
        <v>Greedy</v>
      </c>
      <c r="OW34">
        <f t="shared" ref="OW34" si="303">SUM(OW2:OW26)</f>
        <v>320.6430447101593</v>
      </c>
      <c r="OX34" s="6" cm="1">
        <f t="array" ref="OX34">INDEX(OX1:OX26,MAX(_xlfn._xlws.FILTER(ROW(OX1:OX26),OX1:OX26&lt;&gt;"")))</f>
        <v>516</v>
      </c>
      <c r="OY34" s="6">
        <f t="shared" ref="OY34" si="304">IF(OV34="Kans",PD34-OX34,OX34-PD34)</f>
        <v>100</v>
      </c>
      <c r="PC34">
        <f t="shared" ref="PC34" si="305">SUM(PC2:PC26)</f>
        <v>318.51195645332336</v>
      </c>
      <c r="PD34" s="6" cm="1">
        <f t="array" ref="PD34">INDEX(PD1:PD26,MAX(_xlfn._xlws.FILTER(ROW(PD1:PD26),PD1:PD26&lt;&gt;"")))</f>
        <v>416</v>
      </c>
      <c r="PH34" s="6" t="str" cm="1">
        <f t="array" ref="PH34">IF(INDEX(PJ:PJ,MAX(_xlfn._xlws.FILTER(ROW(PJ:PJ),PJ:PJ&lt;&gt;"")))&gt;INDEX(PP:PP,MAX(_xlfn._xlws.FILTER(ROW(PP:PP),PP:PP&lt;&gt;""))),PJ1,PP1)</f>
        <v>Combi</v>
      </c>
      <c r="PI34">
        <f t="shared" ref="PI34" si="306">SUM(PI2:PI26)</f>
        <v>300.98608589172363</v>
      </c>
      <c r="PJ34" s="6" cm="1">
        <f t="array" ref="PJ34">INDEX(PJ1:PJ26,MAX(_xlfn._xlws.FILTER(ROW(PJ1:PJ26),PJ1:PJ26&lt;&gt;"")))</f>
        <v>385</v>
      </c>
      <c r="PK34" s="6">
        <f t="shared" ref="PK34" si="307">IF(PH34="Kans",PP34-PJ34,PJ34-PP34)</f>
        <v>-126</v>
      </c>
      <c r="PO34">
        <f t="shared" ref="PO34" si="308">SUM(PO2:PO26)</f>
        <v>797.42003750801086</v>
      </c>
      <c r="PP34" s="6" cm="1">
        <f t="array" ref="PP34">INDEX(PP1:PP26,MAX(_xlfn._xlws.FILTER(ROW(PP1:PP26),PP1:PP26&lt;&gt;"")))</f>
        <v>511</v>
      </c>
      <c r="PT34" s="6" t="str" cm="1">
        <f t="array" ref="PT34">IF(INDEX(PV:PV,MAX(_xlfn._xlws.FILTER(ROW(PV:PV),PV:PV&lt;&gt;"")))&gt;INDEX(QB:QB,MAX(_xlfn._xlws.FILTER(ROW(QB:QB),QB:QB&lt;&gt;""))),PV1,QB1)</f>
        <v>Greedy</v>
      </c>
      <c r="PU34">
        <f t="shared" ref="PU34" si="309">SUM(PU2:PU26)</f>
        <v>407.09021282196045</v>
      </c>
      <c r="PV34" s="6" cm="1">
        <f t="array" ref="PV34">INDEX(PV1:PV26,MAX(_xlfn._xlws.FILTER(ROW(PV1:PV26),PV1:PV26&lt;&gt;"")))</f>
        <v>530</v>
      </c>
      <c r="PW34" s="6">
        <f t="shared" ref="PW34" si="310">IF(PT34="Kans",QB34-PV34,PV34-QB34)</f>
        <v>32</v>
      </c>
      <c r="QA34">
        <f t="shared" ref="QA34" si="311">SUM(QA2:QA26)</f>
        <v>535.61064767837524</v>
      </c>
      <c r="QB34" s="6" cm="1">
        <f t="array" ref="QB34">INDEX(QB1:QB26,MAX(_xlfn._xlws.FILTER(ROW(QB1:QB26),QB1:QB26&lt;&gt;"")))</f>
        <v>498</v>
      </c>
      <c r="QF34" s="6" t="str" cm="1">
        <f t="array" ref="QF34">IF(INDEX(QH:QH,MAX(_xlfn._xlws.FILTER(ROW(QH:QH),QH:QH&lt;&gt;"")))&gt;INDEX(QN:QN,MAX(_xlfn._xlws.FILTER(ROW(QN:QN),QN:QN&lt;&gt;""))),QH1,QN1)</f>
        <v>Greedy</v>
      </c>
      <c r="QG34">
        <f t="shared" ref="QG34" si="312">SUM(QG2:QG26)</f>
        <v>218.28401517868042</v>
      </c>
      <c r="QH34" s="6" cm="1">
        <f t="array" ref="QH34">INDEX(QH1:QH26,MAX(_xlfn._xlws.FILTER(ROW(QH1:QH26),QH1:QH26&lt;&gt;"")))</f>
        <v>512</v>
      </c>
      <c r="QI34" s="6">
        <f t="shared" ref="QI34" si="313">IF(QF34="Kans",QN34-QH34,QH34-QN34)</f>
        <v>59</v>
      </c>
      <c r="QM34">
        <f t="shared" ref="QM34" si="314">SUM(QM2:QM26)</f>
        <v>676.07596850395203</v>
      </c>
      <c r="QN34" s="6" cm="1">
        <f t="array" ref="QN34">INDEX(QN1:QN26,MAX(_xlfn._xlws.FILTER(ROW(QN1:QN26),QN1:QN26&lt;&gt;"")))</f>
        <v>453</v>
      </c>
      <c r="QR34" s="6" t="str" cm="1">
        <f t="array" ref="QR34">IF(INDEX(QT:QT,MAX(_xlfn._xlws.FILTER(ROW(QT:QT),QT:QT&lt;&gt;"")))&gt;INDEX(QZ:QZ,MAX(_xlfn._xlws.FILTER(ROW(QZ:QZ),QZ:QZ&lt;&gt;""))),QT1,QZ1)</f>
        <v>Greedy</v>
      </c>
      <c r="QS34">
        <f t="shared" ref="QS34" si="315">SUM(QS2:QS26)</f>
        <v>281.06166839599615</v>
      </c>
      <c r="QT34" s="6" cm="1">
        <f t="array" ref="QT34">INDEX(QT1:QT26,MAX(_xlfn._xlws.FILTER(ROW(QT1:QT26),QT1:QT26&lt;&gt;"")))</f>
        <v>494</v>
      </c>
      <c r="QU34" s="6">
        <f t="shared" ref="QU34" si="316">IF(QR34="Kans",QZ34-QT34,QT34-QZ34)</f>
        <v>54</v>
      </c>
      <c r="QY34">
        <f t="shared" ref="QY34" si="317">SUM(QY2:QY26)</f>
        <v>259.90730500221252</v>
      </c>
      <c r="QZ34" s="6" cm="1">
        <f t="array" ref="QZ34">INDEX(QZ1:QZ26,MAX(_xlfn._xlws.FILTER(ROW(QZ1:QZ26),QZ1:QZ26&lt;&gt;"")))</f>
        <v>440</v>
      </c>
      <c r="RD34" s="6" t="str" cm="1">
        <f t="array" ref="RD34">IF(INDEX(RF:RF,MAX(_xlfn._xlws.FILTER(ROW(RF:RF),RF:RF&lt;&gt;"")))&gt;INDEX(RL:RL,MAX(_xlfn._xlws.FILTER(ROW(RL:RL),RL:RL&lt;&gt;""))),RF1,RL1)</f>
        <v>Greedy</v>
      </c>
      <c r="RE34">
        <f t="shared" ref="RE34" si="318">SUM(RE2:RE26)</f>
        <v>484.45676493644714</v>
      </c>
      <c r="RF34" s="6" cm="1">
        <f t="array" ref="RF34">INDEX(RF1:RF26,MAX(_xlfn._xlws.FILTER(ROW(RF1:RF26),RF1:RF26&lt;&gt;"")))</f>
        <v>555</v>
      </c>
      <c r="RG34" s="6">
        <f t="shared" ref="RG34" si="319">IF(RD34="Kans",RL34-RF34,RF34-RL34)</f>
        <v>123</v>
      </c>
      <c r="RK34">
        <f t="shared" ref="RK34" si="320">SUM(RK2:RK26)</f>
        <v>270.47557950019836</v>
      </c>
      <c r="RL34" s="6" cm="1">
        <f t="array" ref="RL34">INDEX(RL1:RL26,MAX(_xlfn._xlws.FILTER(ROW(RL1:RL26),RL1:RL26&lt;&gt;"")))</f>
        <v>432</v>
      </c>
      <c r="RP34" s="6" t="str" cm="1">
        <f t="array" ref="RP34">IF(INDEX(RR:RR,MAX(_xlfn._xlws.FILTER(ROW(RR:RR),RR:RR&lt;&gt;"")))&gt;INDEX(RX:RX,MAX(_xlfn._xlws.FILTER(ROW(RX:RX),RX:RX&lt;&gt;""))),RR1,RX1)</f>
        <v>Greedy</v>
      </c>
      <c r="RQ34">
        <f t="shared" ref="RQ34" si="321">SUM(RQ2:RQ26)</f>
        <v>565.72820138931274</v>
      </c>
      <c r="RR34" s="6" cm="1">
        <f t="array" ref="RR34">INDEX(RR1:RR26,MAX(_xlfn._xlws.FILTER(ROW(RR1:RR26),RR1:RR26&lt;&gt;"")))</f>
        <v>579</v>
      </c>
      <c r="RS34" s="6">
        <f t="shared" ref="RS34" si="322">IF(RP34="Kans",RX34-RR34,RR34-RX34)</f>
        <v>158</v>
      </c>
      <c r="RW34">
        <f t="shared" ref="RW34" si="323">SUM(RW2:RW26)</f>
        <v>1306.0737164020538</v>
      </c>
      <c r="RX34" s="6" cm="1">
        <f t="array" ref="RX34">INDEX(RX1:RX26,MAX(_xlfn._xlws.FILTER(ROW(RX1:RX26),RX1:RX26&lt;&gt;"")))</f>
        <v>421</v>
      </c>
      <c r="SB34" s="6" t="str" cm="1">
        <f t="array" ref="SB34">IF(INDEX(SD:SD,MAX(_xlfn._xlws.FILTER(ROW(SD:SD),SD:SD&lt;&gt;"")))&gt;INDEX(SJ:SJ,MAX(_xlfn._xlws.FILTER(ROW(SJ:SJ),SJ:SJ&lt;&gt;""))),SD1,SJ1)</f>
        <v>Greedy</v>
      </c>
      <c r="SC34">
        <f t="shared" ref="SC34" si="324">SUM(SC2:SC26)</f>
        <v>515.64272141456604</v>
      </c>
      <c r="SD34" s="6" cm="1">
        <f t="array" ref="SD34">INDEX(SD1:SD26,MAX(_xlfn._xlws.FILTER(ROW(SD1:SD26),SD1:SD26&lt;&gt;"")))</f>
        <v>470</v>
      </c>
      <c r="SE34" s="6">
        <f t="shared" ref="SE34" si="325">IF(SB34="Kans",SJ34-SD34,SD34-SJ34)</f>
        <v>8</v>
      </c>
      <c r="SI34">
        <f t="shared" ref="SI34" si="326">SUM(SI2:SI26)</f>
        <v>462.43235111236572</v>
      </c>
      <c r="SJ34" s="6" cm="1">
        <f t="array" ref="SJ34">INDEX(SJ1:SJ26,MAX(_xlfn._xlws.FILTER(ROW(SJ1:SJ26),SJ1:SJ26&lt;&gt;"")))</f>
        <v>462</v>
      </c>
      <c r="SN34" s="6" t="str" cm="1">
        <f t="array" ref="SN34">IF(INDEX(SP:SP,MAX(_xlfn._xlws.FILTER(ROW(SP:SP),SP:SP&lt;&gt;"")))&gt;INDEX(SV:SV,MAX(_xlfn._xlws.FILTER(ROW(SV:SV),SV:SV&lt;&gt;""))),SP1,SV1)</f>
        <v>Combi</v>
      </c>
      <c r="SO34">
        <f t="shared" ref="SO34" si="327">SUM(SO2:SO26)</f>
        <v>291.22683215141296</v>
      </c>
      <c r="SP34" s="6" cm="1">
        <f t="array" ref="SP34">INDEX(SP1:SP26,MAX(_xlfn._xlws.FILTER(ROW(SP1:SP26),SP1:SP26&lt;&gt;"")))</f>
        <v>386</v>
      </c>
      <c r="SQ34" s="6">
        <f t="shared" ref="SQ34" si="328">IF(SN34="Kans",SV34-SP34,SP34-SV34)</f>
        <v>-89</v>
      </c>
      <c r="SU34">
        <f t="shared" ref="SU34" si="329">SUM(SU2:SU26)</f>
        <v>349.46060633659363</v>
      </c>
      <c r="SV34" s="6" cm="1">
        <f t="array" ref="SV34">INDEX(SV1:SV26,MAX(_xlfn._xlws.FILTER(ROW(SV1:SV26),SV1:SV26&lt;&gt;"")))</f>
        <v>475</v>
      </c>
      <c r="SZ34" s="6" t="str" cm="1">
        <f t="array" ref="SZ34">IF(INDEX(TB:TB,MAX(_xlfn._xlws.FILTER(ROW(TB:TB),TB:TB&lt;&gt;"")))&gt;INDEX(TH:TH,MAX(_xlfn._xlws.FILTER(ROW(TH:TH),TH:TH&lt;&gt;""))),TB1,TH1)</f>
        <v>Combi</v>
      </c>
      <c r="TA34">
        <f t="shared" ref="TA34" si="330">SUM(TA2:TA26)</f>
        <v>383.03657341003418</v>
      </c>
      <c r="TB34" s="6" cm="1">
        <f t="array" ref="TB34">INDEX(TB1:TB26,MAX(_xlfn._xlws.FILTER(ROW(TB1:TB26),TB1:TB26&lt;&gt;"")))</f>
        <v>374</v>
      </c>
      <c r="TC34" s="6">
        <f t="shared" ref="TC34" si="331">IF(SZ34="Kans",TH34-TB34,TB34-TH34)</f>
        <v>-167</v>
      </c>
      <c r="TG34">
        <f t="shared" ref="TG34" si="332">SUM(TG2:TG26)</f>
        <v>500.68450450897211</v>
      </c>
      <c r="TH34" s="6" cm="1">
        <f t="array" ref="TH34">INDEX(TH1:TH26,MAX(_xlfn._xlws.FILTER(ROW(TH1:TH26),TH1:TH26&lt;&gt;"")))</f>
        <v>541</v>
      </c>
      <c r="TL34" s="6" t="str" cm="1">
        <f t="array" ref="TL34">IF(INDEX(TN:TN,MAX(_xlfn._xlws.FILTER(ROW(TN:TN),TN:TN&lt;&gt;"")))&gt;INDEX(TT:TT,MAX(_xlfn._xlws.FILTER(ROW(TT:TT),TT:TT&lt;&gt;""))),TN1,TT1)</f>
        <v>Greedy</v>
      </c>
      <c r="TM34">
        <f t="shared" ref="TM34" si="333">SUM(TM2:TM26)</f>
        <v>431.52749228477478</v>
      </c>
      <c r="TN34" s="6" cm="1">
        <f t="array" ref="TN34">INDEX(TN1:TN26,MAX(_xlfn._xlws.FILTER(ROW(TN1:TN26),TN1:TN26&lt;&gt;"")))</f>
        <v>595</v>
      </c>
      <c r="TO34" s="6">
        <f t="shared" ref="TO34" si="334">IF(TL34="Kans",TT34-TN34,TN34-TT34)</f>
        <v>187</v>
      </c>
      <c r="TS34">
        <f t="shared" ref="TS34" si="335">SUM(TS2:TS26)</f>
        <v>273.40281915664673</v>
      </c>
      <c r="TT34" s="6" cm="1">
        <f t="array" ref="TT34">INDEX(TT1:TT26,MAX(_xlfn._xlws.FILTER(ROW(TT1:TT26),TT1:TT26&lt;&gt;"")))</f>
        <v>408</v>
      </c>
      <c r="TX34" s="6" t="str" cm="1">
        <f t="array" ref="TX34">IF(INDEX(TZ:TZ,MAX(_xlfn._xlws.FILTER(ROW(TZ:TZ),TZ:TZ&lt;&gt;"")))&gt;INDEX(UF:UF,MAX(_xlfn._xlws.FILTER(ROW(UF:UF),UF:UF&lt;&gt;""))),TZ1,UF1)</f>
        <v>Combi</v>
      </c>
      <c r="TY34">
        <f t="shared" ref="TY34" si="336">SUM(TY2:TY26)</f>
        <v>204.03526616096497</v>
      </c>
      <c r="TZ34" s="6" cm="1">
        <f t="array" ref="TZ34">INDEX(TZ1:TZ26,MAX(_xlfn._xlws.FILTER(ROW(TZ1:TZ26),TZ1:TZ26&lt;&gt;"")))</f>
        <v>460</v>
      </c>
      <c r="UA34" s="6">
        <f t="shared" ref="UA34" si="337">IF(TX34="Kans",UF34-TZ34,TZ34-UF34)</f>
        <v>-173</v>
      </c>
      <c r="UE34">
        <f t="shared" ref="UE34" si="338">SUM(UE2:UE26)</f>
        <v>772.76322054862976</v>
      </c>
      <c r="UF34" s="6" cm="1">
        <f t="array" ref="UF34">INDEX(UF1:UF26,MAX(_xlfn._xlws.FILTER(ROW(UF1:UF26),UF1:UF26&lt;&gt;"")))</f>
        <v>633</v>
      </c>
      <c r="UJ34" s="6" t="str" cm="1">
        <f t="array" ref="UJ34">IF(INDEX(UL:UL,MAX(_xlfn._xlws.FILTER(ROW(UL:UL),UL:UL&lt;&gt;"")))&gt;INDEX(UR:UR,MAX(_xlfn._xlws.FILTER(ROW(UR:UR),UR:UR&lt;&gt;""))),UL1,UR1)</f>
        <v>Combi</v>
      </c>
      <c r="UK34">
        <f t="shared" ref="UK34" si="339">SUM(UK2:UK26)</f>
        <v>109.39210391044617</v>
      </c>
      <c r="UL34" s="6" cm="1">
        <f t="array" ref="UL34">INDEX(UL1:UL26,MAX(_xlfn._xlws.FILTER(ROW(UL1:UL26),UL1:UL26&lt;&gt;"")))</f>
        <v>354</v>
      </c>
      <c r="UM34" s="6">
        <f t="shared" ref="UM34" si="340">IF(UJ34="Kans",UR34-UL34,UL34-UR34)</f>
        <v>-233</v>
      </c>
      <c r="UQ34">
        <f t="shared" ref="UQ34" si="341">SUM(UQ2:UQ26)</f>
        <v>864.88552308082603</v>
      </c>
      <c r="UR34" s="6" cm="1">
        <f t="array" ref="UR34">INDEX(UR1:UR26,MAX(_xlfn._xlws.FILTER(ROW(UR1:UR26),UR1:UR26&lt;&gt;"")))</f>
        <v>587</v>
      </c>
      <c r="UV34" s="6" t="str" cm="1">
        <f t="array" ref="UV34">IF(INDEX(UX:UX,MAX(_xlfn._xlws.FILTER(ROW(UX:UX),UX:UX&lt;&gt;"")))&gt;INDEX(VD:VD,MAX(_xlfn._xlws.FILTER(ROW(VD:VD),VD:VD&lt;&gt;""))),UX1,VD1)</f>
        <v>Greedy</v>
      </c>
      <c r="UW34">
        <f t="shared" ref="UW34" si="342">SUM(UW2:UW26)</f>
        <v>483.90740394592285</v>
      </c>
      <c r="UX34" s="6" cm="1">
        <f t="array" ref="UX34">INDEX(UX1:UX26,MAX(_xlfn._xlws.FILTER(ROW(UX1:UX26),UX1:UX26&lt;&gt;"")))</f>
        <v>539</v>
      </c>
      <c r="UY34" s="6">
        <f t="shared" ref="UY34" si="343">IF(UV34="Kans",VD34-UX34,UX34-VD34)</f>
        <v>99</v>
      </c>
      <c r="VC34">
        <f t="shared" ref="VC34" si="344">SUM(VC2:VC26)</f>
        <v>986.2146372795105</v>
      </c>
      <c r="VD34" s="6" cm="1">
        <f t="array" ref="VD34">INDEX(VD1:VD26,MAX(_xlfn._xlws.FILTER(ROW(VD1:VD26),VD1:VD26&lt;&gt;"")))</f>
        <v>440</v>
      </c>
      <c r="VH34" s="6" t="str" cm="1">
        <f t="array" ref="VH34">IF(INDEX(VJ:VJ,MAX(_xlfn._xlws.FILTER(ROW(VJ:VJ),VJ:VJ&lt;&gt;"")))&gt;INDEX(VP:VP,MAX(_xlfn._xlws.FILTER(ROW(VP:VP),VP:VP&lt;&gt;""))),VJ1,VP1)</f>
        <v>Combi</v>
      </c>
      <c r="VI34">
        <f t="shared" ref="VI34" si="345">SUM(VI2:VI26)</f>
        <v>165.05412101745605</v>
      </c>
      <c r="VJ34" s="6" cm="1">
        <f t="array" ref="VJ34">INDEX(VJ1:VJ26,MAX(_xlfn._xlws.FILTER(ROW(VJ1:VJ26),VJ1:VJ26&lt;&gt;"")))</f>
        <v>443</v>
      </c>
      <c r="VK34" s="6">
        <f t="shared" ref="VK34" si="346">IF(VH34="Kans",VP34-VJ34,VJ34-VP34)</f>
        <v>-83</v>
      </c>
      <c r="VO34">
        <f t="shared" ref="VO34" si="347">SUM(VO2:VO26)</f>
        <v>333.16159176826477</v>
      </c>
      <c r="VP34" s="6" cm="1">
        <f t="array" ref="VP34">INDEX(VP1:VP26,MAX(_xlfn._xlws.FILTER(ROW(VP1:VP26),VP1:VP26&lt;&gt;"")))</f>
        <v>526</v>
      </c>
      <c r="VT34" s="6" t="str" cm="1">
        <f t="array" ref="VT34">IF(INDEX(VV:VV,MAX(_xlfn._xlws.FILTER(ROW(VV:VV),VV:VV&lt;&gt;"")))&gt;INDEX(WB:WB,MAX(_xlfn._xlws.FILTER(ROW(WB:WB),WB:WB&lt;&gt;""))),VV1,WB1)</f>
        <v>Combi</v>
      </c>
      <c r="VU34">
        <f t="shared" ref="VU34" si="348">SUM(VU2:VU26)</f>
        <v>108.06977701187135</v>
      </c>
      <c r="VV34" s="6" cm="1">
        <f t="array" ref="VV34">INDEX(VV1:VV26,MAX(_xlfn._xlws.FILTER(ROW(VV1:VV26),VV1:VV26&lt;&gt;"")))</f>
        <v>371</v>
      </c>
      <c r="VW34" s="6">
        <f t="shared" ref="VW34" si="349">IF(VT34="Kans",WB34-VV34,VV34-WB34)</f>
        <v>-212</v>
      </c>
      <c r="WA34">
        <f t="shared" ref="WA34" si="350">SUM(WA2:WA26)</f>
        <v>600.77684998512268</v>
      </c>
      <c r="WB34" s="6" cm="1">
        <f t="array" ref="WB34">INDEX(WB1:WB26,MAX(_xlfn._xlws.FILTER(ROW(WB1:WB26),WB1:WB26&lt;&gt;"")))</f>
        <v>583</v>
      </c>
      <c r="WF34" s="6" t="str" cm="1">
        <f t="array" ref="WF34">IF(INDEX(WH:WH,MAX(_xlfn._xlws.FILTER(ROW(WH:WH),WH:WH&lt;&gt;"")))&gt;INDEX(WN:WN,MAX(_xlfn._xlws.FILTER(ROW(WN:WN),WN:WN&lt;&gt;""))),WH1,WN1)</f>
        <v>Combi</v>
      </c>
      <c r="WG34">
        <f t="shared" ref="WG34" si="351">SUM(WG2:WG26)</f>
        <v>384.49925994873047</v>
      </c>
      <c r="WH34" s="6" cm="1">
        <f t="array" ref="WH34">INDEX(WH1:WH26,MAX(_xlfn._xlws.FILTER(ROW(WH1:WH26),WH1:WH26&lt;&gt;"")))</f>
        <v>471</v>
      </c>
      <c r="WI34" s="6">
        <f t="shared" ref="WI34" si="352">IF(WF34="Kans",WN34-WH34,WH34-WN34)</f>
        <v>-38</v>
      </c>
      <c r="WM34">
        <f t="shared" ref="WM34" si="353">SUM(WM2:WM26)</f>
        <v>317.48639464378357</v>
      </c>
      <c r="WN34" s="6" cm="1">
        <f t="array" ref="WN34">INDEX(WN1:WN26,MAX(_xlfn._xlws.FILTER(ROW(WN1:WN26),WN1:WN26&lt;&gt;"")))</f>
        <v>509</v>
      </c>
      <c r="WR34" s="6" t="str" cm="1">
        <f t="array" ref="WR34">IF(INDEX(WT:WT,MAX(_xlfn._xlws.FILTER(ROW(WT:WT),WT:WT&lt;&gt;"")))&gt;INDEX(WZ:WZ,MAX(_xlfn._xlws.FILTER(ROW(WZ:WZ),WZ:WZ&lt;&gt;""))),WT1,WZ1)</f>
        <v>Combi</v>
      </c>
      <c r="WS34">
        <f>SUM(WS2:WS26)</f>
        <v>606.45695757865906</v>
      </c>
      <c r="WT34" s="6" cm="1">
        <f t="array" ref="WT34">INDEX(WT1:WT26,MAX(_xlfn._xlws.FILTER(ROW(WT1:WT26),WT1:WT26&lt;&gt;"")))</f>
        <v>545</v>
      </c>
      <c r="WU34" s="6">
        <f>IF(WR34="Kans",WZ34-WT34,WT34-WZ34)</f>
        <v>89</v>
      </c>
      <c r="WY34">
        <f>SUM(WY2:WY26)</f>
        <v>341.33518981933594</v>
      </c>
      <c r="WZ34" s="6" cm="1">
        <f t="array" ref="WZ34">INDEX(WZ1:WZ26,MAX(_xlfn._xlws.FILTER(ROW(WZ1:WZ26),WZ1:WZ26&lt;&gt;"")))</f>
        <v>456</v>
      </c>
      <c r="XD34" s="6" t="str" cm="1">
        <f t="array" ref="XD34">IF(INDEX(XF:XF,MAX(_xlfn._xlws.FILTER(ROW(XF:XF),XF:XF&lt;&gt;"")))&gt;INDEX(XL:XL,MAX(_xlfn._xlws.FILTER(ROW(XL:XL),XL:XL&lt;&gt;""))),XF1,XL1)</f>
        <v>Greedy</v>
      </c>
      <c r="XE34">
        <f t="shared" ref="XE34" si="354">SUM(XE2:XE26)</f>
        <v>373.67059779167175</v>
      </c>
      <c r="XF34" s="6" cm="1">
        <f t="array" ref="XF34">INDEX(XF1:XF26,MAX(_xlfn._xlws.FILTER(ROW(XF1:XF26),XF1:XF26&lt;&gt;"")))</f>
        <v>439</v>
      </c>
      <c r="XG34" s="6">
        <f t="shared" ref="XG34" si="355">IF(XD34="Kans",XL34-XF34,XF34-XL34)</f>
        <v>-62</v>
      </c>
      <c r="XK34">
        <f t="shared" ref="XK34" si="356">SUM(XK2:XK26)</f>
        <v>526.8115086555481</v>
      </c>
      <c r="XL34" s="6" cm="1">
        <f t="array" ref="XL34">INDEX(XL1:XL26,MAX(_xlfn._xlws.FILTER(ROW(XL1:XL26),XL1:XL26&lt;&gt;"")))</f>
        <v>501</v>
      </c>
      <c r="XP34" s="6" t="str" cm="1">
        <f t="array" ref="XP34">IF(INDEX(XR:XR,MAX(_xlfn._xlws.FILTER(ROW(XR:XR),XR:XR&lt;&gt;"")))&gt;INDEX(XX:XX,MAX(_xlfn._xlws.FILTER(ROW(XX:XX),XX:XX&lt;&gt;""))),XR1,XX1)</f>
        <v>Combi</v>
      </c>
      <c r="XQ34">
        <f t="shared" ref="XQ34" si="357">SUM(XQ2:XQ26)</f>
        <v>380.33267855644226</v>
      </c>
      <c r="XR34" s="6" cm="1">
        <f t="array" ref="XR34">INDEX(XR1:XR26,MAX(_xlfn._xlws.FILTER(ROW(XR1:XR26),XR1:XR26&lt;&gt;"")))</f>
        <v>493</v>
      </c>
      <c r="XS34" s="6">
        <f t="shared" ref="XS34" si="358">IF(XP34="Kans",XX34-XR34,XR34-XX34)</f>
        <v>57</v>
      </c>
      <c r="XW34">
        <f t="shared" ref="XW34" si="359">SUM(XW2:XW26)</f>
        <v>228.63171601295468</v>
      </c>
      <c r="XX34" s="6" cm="1">
        <f t="array" ref="XX34">INDEX(XX1:XX26,MAX(_xlfn._xlws.FILTER(ROW(XX1:XX26),XX1:XX26&lt;&gt;"")))</f>
        <v>436</v>
      </c>
      <c r="YB34" s="6" t="str" cm="1">
        <f t="array" ref="YB34">IF(INDEX(YD:YD,MAX(_xlfn._xlws.FILTER(ROW(YD:YD),YD:YD&lt;&gt;"")))&gt;INDEX(YJ:YJ,MAX(_xlfn._xlws.FILTER(ROW(YJ:YJ),YJ:YJ&lt;&gt;""))),YD1,YJ1)</f>
        <v>Combi</v>
      </c>
      <c r="YC34">
        <f t="shared" ref="YC34" si="360">SUM(YC2:YC26)</f>
        <v>665.55218482017517</v>
      </c>
      <c r="YD34" s="6" cm="1">
        <f t="array" ref="YD34">INDEX(YD1:YD26,MAX(_xlfn._xlws.FILTER(ROW(YD1:YD26),YD1:YD26&lt;&gt;"")))</f>
        <v>508</v>
      </c>
      <c r="YE34" s="6">
        <f t="shared" ref="YE34" si="361">IF(YB34="Kans",YJ34-YD34,YD34-YJ34)</f>
        <v>153</v>
      </c>
      <c r="YI34">
        <f t="shared" ref="YI34" si="362">SUM(YI2:YI26)</f>
        <v>184.15318894386292</v>
      </c>
      <c r="YJ34" s="6" cm="1">
        <f t="array" ref="YJ34">INDEX(YJ1:YJ26,MAX(_xlfn._xlws.FILTER(ROW(YJ1:YJ26),YJ1:YJ26&lt;&gt;"")))</f>
        <v>355</v>
      </c>
      <c r="YN34" s="6" t="str" cm="1">
        <f t="array" ref="YN34">IF(INDEX(YP:YP,MAX(_xlfn._xlws.FILTER(ROW(YP:YP),YP:YP&lt;&gt;"")))&gt;INDEX(YV:YV,MAX(_xlfn._xlws.FILTER(ROW(YV:YV),YV:YV&lt;&gt;""))),YP1,YV1)</f>
        <v>Combi</v>
      </c>
      <c r="YO34">
        <f t="shared" ref="YO34" si="363">SUM(YO2:YO26)</f>
        <v>1775.709644317627</v>
      </c>
      <c r="YP34" s="6" cm="1">
        <f t="array" ref="YP34">INDEX(YP1:YP26,MAX(_xlfn._xlws.FILTER(ROW(YP1:YP26),YP1:YP26&lt;&gt;"")))</f>
        <v>458</v>
      </c>
      <c r="YQ34" s="6">
        <f t="shared" ref="YQ34" si="364">IF(YN34="Kans",YV34-YP34,YP34-YV34)</f>
        <v>25</v>
      </c>
      <c r="YU34">
        <f t="shared" ref="YU34" si="365">SUM(YU2:YU26)</f>
        <v>169.67296123504639</v>
      </c>
      <c r="YV34" s="6" cm="1">
        <f t="array" ref="YV34">INDEX(YV1:YV26,MAX(_xlfn._xlws.FILTER(ROW(YV1:YV26),YV1:YV26&lt;&gt;"")))</f>
        <v>433</v>
      </c>
      <c r="YZ34" s="6" t="str" cm="1">
        <f t="array" ref="YZ34">IF(INDEX(ZB:ZB,MAX(_xlfn._xlws.FILTER(ROW(ZB:ZB),ZB:ZB&lt;&gt;"")))&gt;INDEX(ZH:ZH,MAX(_xlfn._xlws.FILTER(ROW(ZH:ZH),ZH:ZH&lt;&gt;""))),ZB1,ZH1)</f>
        <v>Combi</v>
      </c>
      <c r="ZA34">
        <f t="shared" ref="ZA34" si="366">SUM(ZA2:ZA26)</f>
        <v>379.05470108985901</v>
      </c>
      <c r="ZB34" s="6" cm="1">
        <f t="array" ref="ZB34">INDEX(ZB1:ZB26,MAX(_xlfn._xlws.FILTER(ROW(ZB1:ZB26),ZB1:ZB26&lt;&gt;"")))</f>
        <v>490</v>
      </c>
      <c r="ZC34" s="6">
        <f t="shared" ref="ZC34" si="367">IF(YZ34="Kans",ZH34-ZB34,ZB34-ZH34)</f>
        <v>71</v>
      </c>
      <c r="ZG34">
        <f t="shared" ref="ZG34" si="368">SUM(ZG2:ZG26)</f>
        <v>186.20626187324524</v>
      </c>
      <c r="ZH34" s="6" cm="1">
        <f t="array" ref="ZH34">INDEX(ZH1:ZH26,MAX(_xlfn._xlws.FILTER(ROW(ZH1:ZH26),ZH1:ZH26&lt;&gt;"")))</f>
        <v>419</v>
      </c>
      <c r="ZL34" s="6" t="str" cm="1">
        <f t="array" ref="ZL34">IF(INDEX(ZN:ZN,MAX(_xlfn._xlws.FILTER(ROW(ZN:ZN),ZN:ZN&lt;&gt;"")))&gt;INDEX(ZT:ZT,MAX(_xlfn._xlws.FILTER(ROW(ZT:ZT),ZT:ZT&lt;&gt;""))),ZN1,ZT1)</f>
        <v>Greedy</v>
      </c>
      <c r="ZM34">
        <f t="shared" ref="ZM34" si="369">SUM(ZM2:ZM26)</f>
        <v>1163.2818386554718</v>
      </c>
      <c r="ZN34" s="6" cm="1">
        <f t="array" ref="ZN34">INDEX(ZN1:ZN26,MAX(_xlfn._xlws.FILTER(ROW(ZN1:ZN26),ZN1:ZN26&lt;&gt;"")))</f>
        <v>415</v>
      </c>
      <c r="ZO34" s="6">
        <f t="shared" ref="ZO34" si="370">IF(ZL34="Kans",ZT34-ZN34,ZN34-ZT34)</f>
        <v>-70</v>
      </c>
      <c r="ZS34">
        <f t="shared" ref="ZS34" si="371">SUM(ZS2:ZS26)</f>
        <v>249.29041981697083</v>
      </c>
      <c r="ZT34" s="6" cm="1">
        <f t="array" ref="ZT34">INDEX(ZT1:ZT26,MAX(_xlfn._xlws.FILTER(ROW(ZT1:ZT26),ZT1:ZT26&lt;&gt;"")))</f>
        <v>485</v>
      </c>
      <c r="ZX34" s="6" t="str" cm="1">
        <f t="array" ref="ZX34">IF(INDEX(ZZ:ZZ,MAX(_xlfn._xlws.FILTER(ROW(ZZ:ZZ),ZZ:ZZ&lt;&gt;"")))&gt;INDEX(AAF:AAF,MAX(_xlfn._xlws.FILTER(ROW(AAF:AAF),AAF:AAF&lt;&gt;""))),ZZ1,AAF1)</f>
        <v>Greedy</v>
      </c>
      <c r="ZY34">
        <f t="shared" ref="ZY34" si="372">SUM(ZY2:ZY26)</f>
        <v>503.11203622817993</v>
      </c>
      <c r="ZZ34" s="6" cm="1">
        <f t="array" ref="ZZ34">INDEX(ZZ1:ZZ26,MAX(_xlfn._xlws.FILTER(ROW(ZZ1:ZZ26),ZZ1:ZZ26&lt;&gt;"")))</f>
        <v>383</v>
      </c>
      <c r="AAA34" s="6">
        <f t="shared" ref="AAA34" si="373">IF(ZX34="Kans",AAF34-ZZ34,ZZ34-AAF34)</f>
        <v>-130</v>
      </c>
      <c r="AAE34">
        <f t="shared" ref="AAE34" si="374">SUM(AAE2:AAE26)</f>
        <v>276.40579438209534</v>
      </c>
      <c r="AAF34" s="6" cm="1">
        <f t="array" ref="AAF34">INDEX(AAF1:AAF26,MAX(_xlfn._xlws.FILTER(ROW(AAF1:AAF26),AAF1:AAF26&lt;&gt;"")))</f>
        <v>513</v>
      </c>
      <c r="AAJ34" s="6" t="str" cm="1">
        <f t="array" ref="AAJ34">IF(INDEX(AAL:AAL,MAX(_xlfn._xlws.FILTER(ROW(AAL:AAL),AAL:AAL&lt;&gt;"")))&gt;INDEX(AAR:AAR,MAX(_xlfn._xlws.FILTER(ROW(AAR:AAR),AAR:AAR&lt;&gt;""))),AAL1,AAR1)</f>
        <v>Combi</v>
      </c>
      <c r="AAK34">
        <f t="shared" ref="AAK34" si="375">SUM(AAK2:AAK26)</f>
        <v>1120.2980577945709</v>
      </c>
      <c r="AAL34" s="6" cm="1">
        <f t="array" ref="AAL34">INDEX(AAL1:AAL26,MAX(_xlfn._xlws.FILTER(ROW(AAL1:AAL26),AAL1:AAL26&lt;&gt;"")))</f>
        <v>574</v>
      </c>
      <c r="AAM34" s="6">
        <f t="shared" ref="AAM34" si="376">IF(AAJ34="Kans",AAR34-AAL34,AAL34-AAR34)</f>
        <v>249</v>
      </c>
      <c r="AAQ34">
        <f t="shared" ref="AAQ34" si="377">SUM(AAQ2:AAQ26)</f>
        <v>219.19730067253113</v>
      </c>
      <c r="AAR34" s="6" cm="1">
        <f t="array" ref="AAR34">INDEX(AAR1:AAR26,MAX(_xlfn._xlws.FILTER(ROW(AAR1:AAR26),AAR1:AAR26&lt;&gt;"")))</f>
        <v>325</v>
      </c>
      <c r="AAV34" s="6" t="str" cm="1">
        <f t="array" ref="AAV34">IF(INDEX(AAX:AAX,MAX(_xlfn._xlws.FILTER(ROW(AAX:AAX),AAX:AAX&lt;&gt;"")))&gt;INDEX(ABD:ABD,MAX(_xlfn._xlws.FILTER(ROW(ABD:ABD),ABD:ABD&lt;&gt;""))),AAX1,ABD1)</f>
        <v>Greedy</v>
      </c>
      <c r="AAW34">
        <f t="shared" ref="AAW34" si="378">SUM(AAW2:AAW26)</f>
        <v>477.46193695068365</v>
      </c>
      <c r="AAX34" s="6" cm="1">
        <f t="array" ref="AAX34">INDEX(AAX1:AAX26,MAX(_xlfn._xlws.FILTER(ROW(AAX1:AAX26),AAX1:AAX26&lt;&gt;"")))</f>
        <v>389</v>
      </c>
      <c r="AAY34" s="6">
        <f t="shared" ref="AAY34" si="379">IF(AAV34="Kans",ABD34-AAX34,AAX34-ABD34)</f>
        <v>-103</v>
      </c>
      <c r="ABC34">
        <f t="shared" ref="ABC34" si="380">SUM(ABC2:ABC26)</f>
        <v>365.04966282844543</v>
      </c>
      <c r="ABD34" s="6" cm="1">
        <f t="array" ref="ABD34">INDEX(ABD1:ABD26,MAX(_xlfn._xlws.FILTER(ROW(ABD1:ABD26),ABD1:ABD26&lt;&gt;"")))</f>
        <v>492</v>
      </c>
      <c r="ABH34" s="6" t="str" cm="1">
        <f t="array" ref="ABH34">IF(INDEX(ABJ:ABJ,MAX(_xlfn._xlws.FILTER(ROW(ABJ:ABJ),ABJ:ABJ&lt;&gt;"")))&gt;INDEX(ABP:ABP,MAX(_xlfn._xlws.FILTER(ROW(ABP:ABP),ABP:ABP&lt;&gt;""))),ABJ1,ABP1)</f>
        <v>Greedy</v>
      </c>
      <c r="ABI34">
        <f t="shared" ref="ABI34" si="381">SUM(ABI2:ABI26)</f>
        <v>378.37217903137207</v>
      </c>
      <c r="ABJ34" s="6" cm="1">
        <f t="array" ref="ABJ34">INDEX(ABJ1:ABJ26,MAX(_xlfn._xlws.FILTER(ROW(ABJ1:ABJ26),ABJ1:ABJ26&lt;&gt;"")))</f>
        <v>501</v>
      </c>
      <c r="ABK34" s="6">
        <f t="shared" ref="ABK34" si="382">IF(ABH34="Kans",ABP34-ABJ34,ABJ34-ABP34)</f>
        <v>-89</v>
      </c>
      <c r="ABO34">
        <f t="shared" ref="ABO34" si="383">SUM(ABO2:ABO26)</f>
        <v>508.2839183807373</v>
      </c>
      <c r="ABP34" s="6" cm="1">
        <f t="array" ref="ABP34">INDEX(ABP1:ABP26,MAX(_xlfn._xlws.FILTER(ROW(ABP1:ABP26),ABP1:ABP26&lt;&gt;"")))</f>
        <v>590</v>
      </c>
      <c r="ABT34" s="6" t="str" cm="1">
        <f t="array" ref="ABT34">IF(INDEX(ABV:ABV,MAX(_xlfn._xlws.FILTER(ROW(ABV:ABV),ABV:ABV&lt;&gt;"")))&gt;INDEX(ACB:ACB,MAX(_xlfn._xlws.FILTER(ROW(ACB:ACB),ACB:ACB&lt;&gt;""))),ABV1,ACB1)</f>
        <v>Combi</v>
      </c>
      <c r="ABU34">
        <f t="shared" ref="ABU34" si="384">SUM(ABU2:ABU26)</f>
        <v>574.20747804641724</v>
      </c>
      <c r="ABV34" s="6" cm="1">
        <f t="array" ref="ABV34">INDEX(ABV1:ABV26,MAX(_xlfn._xlws.FILTER(ROW(ABV1:ABV26),ABV1:ABV26&lt;&gt;"")))</f>
        <v>612</v>
      </c>
      <c r="ABW34" s="6">
        <f t="shared" ref="ABW34" si="385">IF(ABT34="Kans",ACB34-ABV34,ABV34-ACB34)</f>
        <v>170</v>
      </c>
      <c r="ACA34">
        <f t="shared" ref="ACA34" si="386">SUM(ACA2:ACA26)</f>
        <v>193.07891964912415</v>
      </c>
      <c r="ACB34" s="6" cm="1">
        <f t="array" ref="ACB34">INDEX(ACB1:ACB26,MAX(_xlfn._xlws.FILTER(ROW(ACB1:ACB26),ACB1:ACB26&lt;&gt;"")))</f>
        <v>442</v>
      </c>
      <c r="ACF34" s="6" t="str" cm="1">
        <f t="array" ref="ACF34">IF(INDEX(ACH:ACH,MAX(_xlfn._xlws.FILTER(ROW(ACH:ACH),ACH:ACH&lt;&gt;"")))&gt;INDEX(ACN:ACN,MAX(_xlfn._xlws.FILTER(ROW(ACN:ACN),ACN:ACN&lt;&gt;""))),ACH1,ACN1)</f>
        <v>Greedy</v>
      </c>
      <c r="ACG34">
        <f t="shared" ref="ACG34" si="387">SUM(ACG2:ACG26)</f>
        <v>599.90660381317139</v>
      </c>
      <c r="ACH34" s="6" cm="1">
        <f t="array" ref="ACH34">INDEX(ACH1:ACH26,MAX(_xlfn._xlws.FILTER(ROW(ACH1:ACH26),ACH1:ACH26&lt;&gt;"")))</f>
        <v>452</v>
      </c>
      <c r="ACI34" s="6">
        <f t="shared" ref="ACI34" si="388">IF(ACF34="Kans",ACN34-ACH34,ACH34-ACN34)</f>
        <v>-32</v>
      </c>
      <c r="ACM34">
        <f t="shared" ref="ACM34" si="389">SUM(ACM2:ACM26)</f>
        <v>378.20560717582703</v>
      </c>
      <c r="ACN34" s="6" cm="1">
        <f t="array" ref="ACN34">INDEX(ACN1:ACN26,MAX(_xlfn._xlws.FILTER(ROW(ACN1:ACN26),ACN1:ACN26&lt;&gt;"")))</f>
        <v>484</v>
      </c>
      <c r="ACR34" s="6" t="str" cm="1">
        <f t="array" ref="ACR34">IF(INDEX(ACT:ACT,MAX(_xlfn._xlws.FILTER(ROW(ACT:ACT),ACT:ACT&lt;&gt;"")))&gt;INDEX(ACZ:ACZ,MAX(_xlfn._xlws.FILTER(ROW(ACZ:ACZ),ACZ:ACZ&lt;&gt;""))),ACT1,ACZ1)</f>
        <v>Combi</v>
      </c>
      <c r="ACS34">
        <f t="shared" ref="ACS34" si="390">SUM(ACS2:ACS26)</f>
        <v>1037.1450834274292</v>
      </c>
      <c r="ACT34" s="6" cm="1">
        <f t="array" ref="ACT34">INDEX(ACT1:ACT26,MAX(_xlfn._xlws.FILTER(ROW(ACT1:ACT26),ACT1:ACT26&lt;&gt;"")))</f>
        <v>623</v>
      </c>
      <c r="ACU34" s="6">
        <f t="shared" ref="ACU34" si="391">IF(ACR34="Kans",ACZ34-ACT34,ACT34-ACZ34)</f>
        <v>141</v>
      </c>
      <c r="ACY34">
        <f t="shared" ref="ACY34" si="392">SUM(ACY2:ACY26)</f>
        <v>157.27037835121155</v>
      </c>
      <c r="ACZ34" s="6" cm="1">
        <f t="array" ref="ACZ34">INDEX(ACZ1:ACZ26,MAX(_xlfn._xlws.FILTER(ROW(ACZ1:ACZ26),ACZ1:ACZ26&lt;&gt;"")))</f>
        <v>482</v>
      </c>
      <c r="ADD34" s="6" t="str" cm="1">
        <f t="array" ref="ADD34">IF(INDEX(ADF:ADF,MAX(_xlfn._xlws.FILTER(ROW(ADF:ADF),ADF:ADF&lt;&gt;"")))&gt;INDEX(ADL:ADL,MAX(_xlfn._xlws.FILTER(ROW(ADL:ADL),ADL:ADL&lt;&gt;""))),ADF1,ADL1)</f>
        <v>Combi</v>
      </c>
      <c r="ADE34">
        <f t="shared" ref="ADE34" si="393">SUM(ADE2:ADE26)</f>
        <v>658.95338821411144</v>
      </c>
      <c r="ADF34" s="6" cm="1">
        <f t="array" ref="ADF34">INDEX(ADF1:ADF26,MAX(_xlfn._xlws.FILTER(ROW(ADF1:ADF26),ADF1:ADF26&lt;&gt;"")))</f>
        <v>556</v>
      </c>
      <c r="ADG34" s="6">
        <f t="shared" ref="ADG34" si="394">IF(ADD34="Kans",ADL34-ADF34,ADF34-ADL34)</f>
        <v>102</v>
      </c>
      <c r="ADK34">
        <f t="shared" ref="ADK34" si="395">SUM(ADK2:ADK26)</f>
        <v>248.03652119636538</v>
      </c>
      <c r="ADL34" s="6" cm="1">
        <f t="array" ref="ADL34">INDEX(ADL1:ADL26,MAX(_xlfn._xlws.FILTER(ROW(ADL1:ADL26),ADL1:ADL26&lt;&gt;"")))</f>
        <v>454</v>
      </c>
      <c r="ADP34" s="6" t="str" cm="1">
        <f t="array" ref="ADP34">IF(INDEX(ADR:ADR,MAX(_xlfn._xlws.FILTER(ROW(ADR:ADR),ADR:ADR&lt;&gt;"")))&gt;INDEX(ADX:ADX,MAX(_xlfn._xlws.FILTER(ROW(ADX:ADX),ADX:ADX&lt;&gt;""))),ADR1,ADX1)</f>
        <v>Combi</v>
      </c>
      <c r="ADQ34">
        <f t="shared" ref="ADQ34" si="396">SUM(ADQ2:ADQ26)</f>
        <v>428.36717200279236</v>
      </c>
      <c r="ADR34" s="6" cm="1">
        <f t="array" ref="ADR34">INDEX(ADR1:ADR26,MAX(_xlfn._xlws.FILTER(ROW(ADR1:ADR26),ADR1:ADR26&lt;&gt;"")))</f>
        <v>644</v>
      </c>
      <c r="ADS34" s="6">
        <f t="shared" ref="ADS34" si="397">IF(ADP34="Kans",ADX34-ADR34,ADR34-ADX34)</f>
        <v>237</v>
      </c>
      <c r="ADW34">
        <f t="shared" ref="ADW34" si="398">SUM(ADW2:ADW26)</f>
        <v>218.5372679233551</v>
      </c>
      <c r="ADX34" s="6" cm="1">
        <f t="array" ref="ADX34">INDEX(ADX1:ADX26,MAX(_xlfn._xlws.FILTER(ROW(ADX1:ADX26),ADX1:ADX26&lt;&gt;"")))</f>
        <v>407</v>
      </c>
      <c r="AEB34" s="6" t="str" cm="1">
        <f t="array" ref="AEB34">IF(INDEX(AED:AED,MAX(_xlfn._xlws.FILTER(ROW(AED:AED),AED:AED&lt;&gt;"")))&gt;INDEX(AEJ:AEJ,MAX(_xlfn._xlws.FILTER(ROW(AEJ:AEJ),AEJ:AEJ&lt;&gt;""))),AED1,AEJ1)</f>
        <v>Greedy</v>
      </c>
      <c r="AEC34">
        <f t="shared" ref="AEC34" si="399">SUM(AEC2:AEC26)</f>
        <v>677.41457962989807</v>
      </c>
      <c r="AED34" s="6" cm="1">
        <f t="array" ref="AED34">INDEX(AED1:AED26,MAX(_xlfn._xlws.FILTER(ROW(AED1:AED26),AED1:AED26&lt;&gt;"")))</f>
        <v>404</v>
      </c>
      <c r="AEE34" s="6">
        <f t="shared" ref="AEE34" si="400">IF(AEB34="Kans",AEJ34-AED34,AED34-AEJ34)</f>
        <v>-76</v>
      </c>
      <c r="AEI34">
        <f t="shared" ref="AEI34" si="401">SUM(AEI2:AEI26)</f>
        <v>411.27616620063782</v>
      </c>
      <c r="AEJ34" s="6" cm="1">
        <f t="array" ref="AEJ34">INDEX(AEJ1:AEJ26,MAX(_xlfn._xlws.FILTER(ROW(AEJ1:AEJ26),AEJ1:AEJ26&lt;&gt;"")))</f>
        <v>480</v>
      </c>
      <c r="AEN34" s="6" t="str" cm="1">
        <f t="array" ref="AEN34">IF(INDEX(AEP:AEP,MAX(_xlfn._xlws.FILTER(ROW(AEP:AEP),AEP:AEP&lt;&gt;"")))&gt;INDEX(AEV:AEV,MAX(_xlfn._xlws.FILTER(ROW(AEV:AEV),AEV:AEV&lt;&gt;""))),AEP1,AEV1)</f>
        <v>Combi</v>
      </c>
      <c r="AEO34">
        <f t="shared" ref="AEO34" si="402">SUM(AEO2:AEO26)</f>
        <v>480.91359305381775</v>
      </c>
      <c r="AEP34" s="6" cm="1">
        <f t="array" ref="AEP34">INDEX(AEP1:AEP26,MAX(_xlfn._xlws.FILTER(ROW(AEP1:AEP26),AEP1:AEP26&lt;&gt;"")))</f>
        <v>677</v>
      </c>
      <c r="AEQ34" s="6">
        <f t="shared" ref="AEQ34" si="403">IF(AEN34="Kans",AEV34-AEP34,AEP34-AEV34)</f>
        <v>213</v>
      </c>
      <c r="AEU34">
        <f t="shared" ref="AEU34" si="404">SUM(AEU2:AEU26)</f>
        <v>212.6727032661438</v>
      </c>
      <c r="AEV34" s="6" cm="1">
        <f t="array" ref="AEV34">INDEX(AEV1:AEV26,MAX(_xlfn._xlws.FILTER(ROW(AEV1:AEV26),AEV1:AEV26&lt;&gt;"")))</f>
        <v>464</v>
      </c>
      <c r="AEZ34" s="6" t="str" cm="1">
        <f t="array" ref="AEZ34">IF(INDEX(AFB:AFB,MAX(_xlfn._xlws.FILTER(ROW(AFB:AFB),AFB:AFB&lt;&gt;"")))&gt;INDEX(AFH:AFH,MAX(_xlfn._xlws.FILTER(ROW(AFH:AFH),AFH:AFH&lt;&gt;""))),AFB1,AFH1)</f>
        <v>Greedy</v>
      </c>
      <c r="AFA34">
        <f t="shared" ref="AFA34" si="405">SUM(AFA2:AFA26)</f>
        <v>992.17390370368958</v>
      </c>
      <c r="AFB34" s="6" cm="1">
        <f t="array" ref="AFB34">INDEX(AFB1:AFB26,MAX(_xlfn._xlws.FILTER(ROW(AFB1:AFB26),AFB1:AFB26&lt;&gt;"")))</f>
        <v>460</v>
      </c>
      <c r="AFC34" s="6">
        <f t="shared" ref="AFC34" si="406">IF(AEZ34="Kans",AFH34-AFB34,AFB34-AFH34)</f>
        <v>-47</v>
      </c>
      <c r="AFG34">
        <f t="shared" ref="AFG34" si="407">SUM(AFG2:AFG26)</f>
        <v>233.61639952659607</v>
      </c>
      <c r="AFH34" s="6" cm="1">
        <f t="array" ref="AFH34">INDEX(AFH1:AFH26,MAX(_xlfn._xlws.FILTER(ROW(AFH1:AFH26),AFH1:AFH26&lt;&gt;"")))</f>
        <v>507</v>
      </c>
      <c r="AFL34" s="6" t="str" cm="1">
        <f t="array" ref="AFL34">IF(INDEX(AFN:AFN,MAX(_xlfn._xlws.FILTER(ROW(AFN:AFN),AFN:AFN&lt;&gt;"")))&gt;INDEX(AFT:AFT,MAX(_xlfn._xlws.FILTER(ROW(AFT:AFT),AFT:AFT&lt;&gt;""))),AFN1,AFT1)</f>
        <v>Combi</v>
      </c>
      <c r="AFM34">
        <f t="shared" ref="AFM34" si="408">SUM(AFM2:AFM26)</f>
        <v>500.7812860012055</v>
      </c>
      <c r="AFN34" s="6" cm="1">
        <f t="array" ref="AFN34">INDEX(AFN1:AFN26,MAX(_xlfn._xlws.FILTER(ROW(AFN1:AFN26),AFN1:AFN26&lt;&gt;"")))</f>
        <v>522</v>
      </c>
      <c r="AFO34" s="6">
        <f t="shared" ref="AFO34" si="409">IF(AFL34="Kans",AFT34-AFN34,AFN34-AFT34)</f>
        <v>26</v>
      </c>
      <c r="AFS34">
        <f t="shared" ref="AFS34" si="410">SUM(AFS2:AFS26)</f>
        <v>269.57216382026672</v>
      </c>
      <c r="AFT34" s="6" cm="1">
        <f t="array" ref="AFT34">INDEX(AFT1:AFT26,MAX(_xlfn._xlws.FILTER(ROW(AFT1:AFT26),AFT1:AFT26&lt;&gt;"")))</f>
        <v>496</v>
      </c>
      <c r="AFX34" s="6" t="str" cm="1">
        <f t="array" ref="AFX34">IF(INDEX(AFZ:AFZ,MAX(_xlfn._xlws.FILTER(ROW(AFZ:AFZ),AFZ:AFZ&lt;&gt;"")))&gt;INDEX(AGF:AGF,MAX(_xlfn._xlws.FILTER(ROW(AGF:AGF),AGF:AGF&lt;&gt;""))),AFZ1,AGF1)</f>
        <v>Combi</v>
      </c>
      <c r="AFY34">
        <f t="shared" ref="AFY34" si="411">SUM(AFY2:AFY26)</f>
        <v>645.93720722198486</v>
      </c>
      <c r="AFZ34" s="6" cm="1">
        <f t="array" ref="AFZ34">INDEX(AFZ1:AFZ26,MAX(_xlfn._xlws.FILTER(ROW(AFZ1:AFZ26),AFZ1:AFZ26&lt;&gt;"")))</f>
        <v>503</v>
      </c>
      <c r="AGA34" s="6">
        <f t="shared" ref="AGA34" si="412">IF(AFX34="Kans",AGF34-AFZ34,AFZ34-AGF34)</f>
        <v>21</v>
      </c>
      <c r="AGE34">
        <f t="shared" ref="AGE34" si="413">SUM(AGE2:AGE26)</f>
        <v>384.47437739372253</v>
      </c>
      <c r="AGF34" s="6" cm="1">
        <f t="array" ref="AGF34">INDEX(AGF1:AGF26,MAX(_xlfn._xlws.FILTER(ROW(AGF1:AGF26),AGF1:AGF26&lt;&gt;"")))</f>
        <v>482</v>
      </c>
      <c r="AGJ34" s="6" t="str" cm="1">
        <f t="array" ref="AGJ34">IF(INDEX(AGL:AGL,MAX(_xlfn._xlws.FILTER(ROW(AGL:AGL),AGL:AGL&lt;&gt;"")))&gt;INDEX(AGR:AGR,MAX(_xlfn._xlws.FILTER(ROW(AGR:AGR),AGR:AGR&lt;&gt;""))),AGL1,AGR1)</f>
        <v>Greedy</v>
      </c>
      <c r="AGK34">
        <f t="shared" ref="AGK34" si="414">SUM(AGK2:AGK26)</f>
        <v>629.79424333572388</v>
      </c>
      <c r="AGL34" s="6" cm="1">
        <f t="array" ref="AGL34">INDEX(AGL1:AGL26,MAX(_xlfn._xlws.FILTER(ROW(AGL1:AGL26),AGL1:AGL26&lt;&gt;"")))</f>
        <v>433</v>
      </c>
      <c r="AGM34" s="6">
        <f t="shared" ref="AGM34" si="415">IF(AGJ34="Kans",AGR34-AGL34,AGL34-AGR34)</f>
        <v>-57</v>
      </c>
      <c r="AGQ34">
        <f t="shared" ref="AGQ34" si="416">SUM(AGQ2:AGQ26)</f>
        <v>568.0067024230957</v>
      </c>
      <c r="AGR34" s="6" cm="1">
        <f t="array" ref="AGR34">INDEX(AGR1:AGR26,MAX(_xlfn._xlws.FILTER(ROW(AGR1:AGR26),AGR1:AGR26&lt;&gt;"")))</f>
        <v>490</v>
      </c>
      <c r="AGV34" s="6" t="str" cm="1">
        <f t="array" ref="AGV34">IF(INDEX(AGX:AGX,MAX(_xlfn._xlws.FILTER(ROW(AGX:AGX),AGX:AGX&lt;&gt;"")))&gt;INDEX(AHD:AHD,MAX(_xlfn._xlws.FILTER(ROW(AHD:AHD),AHD:AHD&lt;&gt;""))),AGX1,AHD1)</f>
        <v>Greedy</v>
      </c>
      <c r="AGW34">
        <f t="shared" ref="AGW34" si="417">SUM(AGW2:AGW26)</f>
        <v>675.91924166679382</v>
      </c>
      <c r="AGX34" s="6" cm="1">
        <f t="array" ref="AGX34">INDEX(AGX1:AGX26,MAX(_xlfn._xlws.FILTER(ROW(AGX1:AGX26),AGX1:AGX26&lt;&gt;"")))</f>
        <v>407</v>
      </c>
      <c r="AGY34" s="6">
        <f t="shared" ref="AGY34" si="418">IF(AGV34="Kans",AHD34-AGX34,AGX34-AHD34)</f>
        <v>-91</v>
      </c>
      <c r="AHC34">
        <f t="shared" ref="AHC34" si="419">SUM(AHC2:AHC26)</f>
        <v>461.53638172149658</v>
      </c>
      <c r="AHD34" s="6" cm="1">
        <f t="array" ref="AHD34">INDEX(AHD1:AHD26,MAX(_xlfn._xlws.FILTER(ROW(AHD1:AHD26),AHD1:AHD26&lt;&gt;"")))</f>
        <v>498</v>
      </c>
      <c r="AHH34" s="6" t="str" cm="1">
        <f t="array" ref="AHH34">IF(INDEX(AHJ:AHJ,MAX(_xlfn._xlws.FILTER(ROW(AHJ:AHJ),AHJ:AHJ&lt;&gt;"")))&gt;INDEX(AHP:AHP,MAX(_xlfn._xlws.FILTER(ROW(AHP:AHP),AHP:AHP&lt;&gt;""))),AHJ1,AHP1)</f>
        <v>Greedy</v>
      </c>
      <c r="AHI34">
        <f t="shared" ref="AHI34" si="420">SUM(AHI2:AHI26)</f>
        <v>347.35678029060364</v>
      </c>
      <c r="AHJ34" s="6" cm="1">
        <f t="array" ref="AHJ34">INDEX(AHJ1:AHJ26,MAX(_xlfn._xlws.FILTER(ROW(AHJ1:AHJ26),AHJ1:AHJ26&lt;&gt;"")))</f>
        <v>409</v>
      </c>
      <c r="AHK34" s="6">
        <f t="shared" ref="AHK34" si="421">IF(AHH34="Kans",AHP34-AHJ34,AHJ34-AHP34)</f>
        <v>-67</v>
      </c>
      <c r="AHO34">
        <f t="shared" ref="AHO34" si="422">SUM(AHO2:AHO26)</f>
        <v>352.65432786941528</v>
      </c>
      <c r="AHP34" s="6" cm="1">
        <f t="array" ref="AHP34">INDEX(AHP1:AHP26,MAX(_xlfn._xlws.FILTER(ROW(AHP1:AHP26),AHP1:AHP26&lt;&gt;"")))</f>
        <v>476</v>
      </c>
      <c r="AHT34" s="6" t="str" cm="1">
        <f t="array" ref="AHT34">IF(INDEX(AHV:AHV,MAX(_xlfn._xlws.FILTER(ROW(AHV:AHV),AHV:AHV&lt;&gt;"")))&gt;INDEX(AIB:AIB,MAX(_xlfn._xlws.FILTER(ROW(AIB:AIB),AIB:AIB&lt;&gt;""))),AHV1,AIB1)</f>
        <v>Combi</v>
      </c>
      <c r="AHU34">
        <f t="shared" ref="AHU34" si="423">SUM(AHU2:AHU26)</f>
        <v>348.60441088676453</v>
      </c>
      <c r="AHV34" s="6" cm="1">
        <f t="array" ref="AHV34">INDEX(AHV1:AHV26,MAX(_xlfn._xlws.FILTER(ROW(AHV1:AHV26),AHV1:AHV26&lt;&gt;"")))</f>
        <v>515</v>
      </c>
      <c r="AHW34" s="6">
        <f t="shared" ref="AHW34" si="424">IF(AHT34="Kans",AIB34-AHV34,AHV34-AIB34)</f>
        <v>59</v>
      </c>
      <c r="AIA34">
        <f t="shared" ref="AIA34" si="425">SUM(AIA2:AIA26)</f>
        <v>208.58765959739685</v>
      </c>
      <c r="AIB34" s="6" cm="1">
        <f t="array" ref="AIB34">INDEX(AIB1:AIB26,MAX(_xlfn._xlws.FILTER(ROW(AIB1:AIB26),AIB1:AIB26&lt;&gt;"")))</f>
        <v>456</v>
      </c>
      <c r="AIF34" s="6" t="str" cm="1">
        <f t="array" ref="AIF34">IF(INDEX(AIH:AIH,MAX(_xlfn._xlws.FILTER(ROW(AIH:AIH),AIH:AIH&lt;&gt;"")))&gt;INDEX(AIN:AIN,MAX(_xlfn._xlws.FILTER(ROW(AIN:AIN),AIN:AIN&lt;&gt;""))),AIH1,AIN1)</f>
        <v>Combi</v>
      </c>
      <c r="AIG34">
        <f t="shared" ref="AIG34" si="426">SUM(AIG2:AIG26)</f>
        <v>1148.3213999271393</v>
      </c>
      <c r="AIH34" s="6" cm="1">
        <f t="array" ref="AIH34">INDEX(AIH1:AIH26,MAX(_xlfn._xlws.FILTER(ROW(AIH1:AIH26),AIH1:AIH26&lt;&gt;"")))</f>
        <v>547</v>
      </c>
      <c r="AII34" s="6">
        <f t="shared" ref="AII34" si="427">IF(AIF34="Kans",AIN34-AIH34,AIH34-AIN34)</f>
        <v>150</v>
      </c>
      <c r="AIM34">
        <f t="shared" ref="AIM34" si="428">SUM(AIM2:AIM26)</f>
        <v>279.73965525627136</v>
      </c>
      <c r="AIN34" s="6" cm="1">
        <f t="array" ref="AIN34">INDEX(AIN1:AIN26,MAX(_xlfn._xlws.FILTER(ROW(AIN1:AIN26),AIN1:AIN26&lt;&gt;"")))</f>
        <v>397</v>
      </c>
      <c r="AIR34" s="6" t="str" cm="1">
        <f t="array" ref="AIR34">IF(INDEX(AIT:AIT,MAX(_xlfn._xlws.FILTER(ROW(AIT:AIT),AIT:AIT&lt;&gt;"")))&gt;INDEX(AIZ:AIZ,MAX(_xlfn._xlws.FILTER(ROW(AIZ:AIZ),AIZ:AIZ&lt;&gt;""))),AIT1,AIZ1)</f>
        <v>Combi</v>
      </c>
      <c r="AIS34">
        <f t="shared" ref="AIS34" si="429">SUM(AIS2:AIS26)</f>
        <v>1422.8714761734009</v>
      </c>
      <c r="AIT34" s="6" cm="1">
        <f t="array" ref="AIT34">INDEX(AIT1:AIT26,MAX(_xlfn._xlws.FILTER(ROW(AIT1:AIT26),AIT1:AIT26&lt;&gt;"")))</f>
        <v>549</v>
      </c>
      <c r="AIU34" s="6">
        <f t="shared" ref="AIU34" si="430">IF(AIR34="Kans",AIZ34-AIT34,AIT34-AIZ34)</f>
        <v>119</v>
      </c>
      <c r="AIY34">
        <f t="shared" ref="AIY34" si="431">SUM(AIY2:AIY26)</f>
        <v>205.12546682357788</v>
      </c>
      <c r="AIZ34" s="6" cm="1">
        <f t="array" ref="AIZ34">INDEX(AIZ1:AIZ26,MAX(_xlfn._xlws.FILTER(ROW(AIZ1:AIZ26),AIZ1:AIZ26&lt;&gt;"")))</f>
        <v>430</v>
      </c>
      <c r="AJD34" s="6" t="str" cm="1">
        <f t="array" ref="AJD34">IF(INDEX(AJF:AJF,MAX(_xlfn._xlws.FILTER(ROW(AJF:AJF),AJF:AJF&lt;&gt;"")))&gt;INDEX(AJL:AJL,MAX(_xlfn._xlws.FILTER(ROW(AJL:AJL),AJL:AJL&lt;&gt;""))),AJF1,AJL1)</f>
        <v>Greedy</v>
      </c>
      <c r="AJE34">
        <f t="shared" ref="AJE34" si="432">SUM(AJE2:AJE26)</f>
        <v>292.42859554290771</v>
      </c>
      <c r="AJF34" s="6" cm="1">
        <f t="array" ref="AJF34">INDEX(AJF1:AJF26,MAX(_xlfn._xlws.FILTER(ROW(AJF1:AJF26),AJF1:AJF26&lt;&gt;"")))</f>
        <v>415</v>
      </c>
      <c r="AJG34" s="6">
        <f t="shared" ref="AJG34" si="433">IF(AJD34="Kans",AJL34-AJF34,AJF34-AJL34)</f>
        <v>-34</v>
      </c>
      <c r="AJK34">
        <f t="shared" ref="AJK34" si="434">SUM(AJK2:AJK26)</f>
        <v>351.98750448226929</v>
      </c>
      <c r="AJL34" s="6" cm="1">
        <f t="array" ref="AJL34">INDEX(AJL1:AJL26,MAX(_xlfn._xlws.FILTER(ROW(AJL1:AJL26),AJL1:AJL26&lt;&gt;"")))</f>
        <v>449</v>
      </c>
      <c r="AJP34" s="6" t="str" cm="1">
        <f t="array" ref="AJP34">IF(INDEX(AJR:AJR,MAX(_xlfn._xlws.FILTER(ROW(AJR:AJR),AJR:AJR&lt;&gt;"")))&gt;INDEX(AJX:AJX,MAX(_xlfn._xlws.FILTER(ROW(AJX:AJX),AJX:AJX&lt;&gt;""))),AJR1,AJX1)</f>
        <v>Greedy</v>
      </c>
      <c r="AJQ34">
        <f t="shared" ref="AJQ34" si="435">SUM(AJQ2:AJQ26)</f>
        <v>316.83922410011292</v>
      </c>
      <c r="AJR34" s="6" cm="1">
        <f t="array" ref="AJR34">INDEX(AJR1:AJR26,MAX(_xlfn._xlws.FILTER(ROW(AJR1:AJR26),AJR1:AJR26&lt;&gt;"")))</f>
        <v>506</v>
      </c>
      <c r="AJS34" s="6">
        <f t="shared" ref="AJS34" si="436">IF(AJP34="Kans",AJX34-AJR34,AJR34-AJX34)</f>
        <v>-83</v>
      </c>
      <c r="AJW34">
        <f t="shared" ref="AJW34" si="437">SUM(AJW2:AJW26)</f>
        <v>353.36362648010248</v>
      </c>
      <c r="AJX34" s="6" cm="1">
        <f t="array" ref="AJX34">INDEX(AJX1:AJX26,MAX(_xlfn._xlws.FILTER(ROW(AJX1:AJX26),AJX1:AJX26&lt;&gt;"")))</f>
        <v>589</v>
      </c>
      <c r="AKB34" s="6" t="str" cm="1">
        <f t="array" ref="AKB34">IF(INDEX(AKD:AKD,MAX(_xlfn._xlws.FILTER(ROW(AKD:AKD),AKD:AKD&lt;&gt;"")))&gt;INDEX(AKJ:AKJ,MAX(_xlfn._xlws.FILTER(ROW(AKJ:AKJ),AKJ:AKJ&lt;&gt;""))),AKD1,AKJ1)</f>
        <v>Greedy</v>
      </c>
      <c r="AKC34">
        <f t="shared" ref="AKC34" si="438">SUM(AKC2:AKC26)</f>
        <v>350.23771858215332</v>
      </c>
      <c r="AKD34" s="6" cm="1">
        <f t="array" ref="AKD34">INDEX(AKD1:AKD26,MAX(_xlfn._xlws.FILTER(ROW(AKD1:AKD26),AKD1:AKD26&lt;&gt;"")))</f>
        <v>509</v>
      </c>
      <c r="AKE34" s="6">
        <f t="shared" ref="AKE34" si="439">IF(AKB34="Kans",AKJ34-AKD34,AKD34-AKJ34)</f>
        <v>-70</v>
      </c>
      <c r="AKI34">
        <f t="shared" ref="AKI34" si="440">SUM(AKI2:AKI26)</f>
        <v>472.05769062042242</v>
      </c>
      <c r="AKJ34" s="6" cm="1">
        <f t="array" ref="AKJ34">INDEX(AKJ1:AKJ26,MAX(_xlfn._xlws.FILTER(ROW(AKJ1:AKJ26),AKJ1:AKJ26&lt;&gt;"")))</f>
        <v>579</v>
      </c>
      <c r="AKN34" s="6" t="str" cm="1">
        <f t="array" ref="AKN34">IF(INDEX(AKP:AKP,MAX(_xlfn._xlws.FILTER(ROW(AKP:AKP),AKP:AKP&lt;&gt;"")))&gt;INDEX(AKV:AKV,MAX(_xlfn._xlws.FILTER(ROW(AKV:AKV),AKV:AKV&lt;&gt;""))),AKP1,AKV1)</f>
        <v>Greedy</v>
      </c>
      <c r="AKO34">
        <f t="shared" ref="AKO34" si="441">SUM(AKO2:AKO26)</f>
        <v>519.76774120330811</v>
      </c>
      <c r="AKP34" s="6" cm="1">
        <f t="array" ref="AKP34">INDEX(AKP1:AKP26,MAX(_xlfn._xlws.FILTER(ROW(AKP1:AKP26),AKP1:AKP26&lt;&gt;"")))</f>
        <v>426</v>
      </c>
      <c r="AKQ34" s="6">
        <f t="shared" ref="AKQ34" si="442">IF(AKN34="Kans",AKV34-AKP34,AKP34-AKV34)</f>
        <v>-51</v>
      </c>
      <c r="AKU34">
        <f t="shared" ref="AKU34" si="443">SUM(AKU2:AKU26)</f>
        <v>319.98368406295782</v>
      </c>
      <c r="AKV34" s="6" cm="1">
        <f t="array" ref="AKV34">INDEX(AKV1:AKV26,MAX(_xlfn._xlws.FILTER(ROW(AKV1:AKV26),AKV1:AKV26&lt;&gt;"")))</f>
        <v>477</v>
      </c>
      <c r="AKZ34" s="6" t="str" cm="1">
        <f t="array" ref="AKZ34">IF(INDEX(ALB:ALB,MAX(_xlfn._xlws.FILTER(ROW(ALB:ALB),ALB:ALB&lt;&gt;"")))&gt;INDEX(ALH:ALH,MAX(_xlfn._xlws.FILTER(ROW(ALH:ALH),ALH:ALH&lt;&gt;""))),ALB1,ALH1)</f>
        <v>Combi</v>
      </c>
      <c r="ALA34">
        <f t="shared" ref="ALA34" si="444">SUM(ALA2:ALA26)</f>
        <v>336.11266350746155</v>
      </c>
      <c r="ALB34" s="6" cm="1">
        <f t="array" ref="ALB34">INDEX(ALB1:ALB26,MAX(_xlfn._xlws.FILTER(ROW(ALB1:ALB26),ALB1:ALB26&lt;&gt;"")))</f>
        <v>539</v>
      </c>
      <c r="ALC34" s="6">
        <f t="shared" ref="ALC34" si="445">IF(AKZ34="Kans",ALH34-ALB34,ALB34-ALH34)</f>
        <v>110</v>
      </c>
      <c r="ALG34">
        <f t="shared" ref="ALG34" si="446">SUM(ALG2:ALG26)</f>
        <v>349.63754773139954</v>
      </c>
      <c r="ALH34" s="6" cm="1">
        <f t="array" ref="ALH34">INDEX(ALH1:ALH26,MAX(_xlfn._xlws.FILTER(ROW(ALH1:ALH26),ALH1:ALH26&lt;&gt;"")))</f>
        <v>429</v>
      </c>
      <c r="ALL34" s="6" t="str" cm="1">
        <f t="array" ref="ALL34">IF(INDEX(ALN:ALN,MAX(_xlfn._xlws.FILTER(ROW(ALN:ALN),ALN:ALN&lt;&gt;"")))&gt;INDEX(ALT:ALT,MAX(_xlfn._xlws.FILTER(ROW(ALT:ALT),ALT:ALT&lt;&gt;""))),ALN1,ALT1)</f>
        <v>Combi</v>
      </c>
      <c r="ALM34">
        <f t="shared" ref="ALM34" si="447">SUM(ALM2:ALM26)</f>
        <v>722.05368709564209</v>
      </c>
      <c r="ALN34" s="6" cm="1">
        <f t="array" ref="ALN34">INDEX(ALN1:ALN26,MAX(_xlfn._xlws.FILTER(ROW(ALN1:ALN26),ALN1:ALN26&lt;&gt;"")))</f>
        <v>653</v>
      </c>
      <c r="ALO34" s="6">
        <f t="shared" ref="ALO34" si="448">IF(ALL34="Kans",ALT34-ALN34,ALN34-ALT34)</f>
        <v>284</v>
      </c>
      <c r="ALS34">
        <f t="shared" ref="ALS34" si="449">SUM(ALS2:ALS26)</f>
        <v>107.37442922592163</v>
      </c>
      <c r="ALT34" s="6" cm="1">
        <f t="array" ref="ALT34">INDEX(ALT1:ALT26,MAX(_xlfn._xlws.FILTER(ROW(ALT1:ALT26),ALT1:ALT26&lt;&gt;"")))</f>
        <v>369</v>
      </c>
      <c r="ALX34" s="6" t="str" cm="1">
        <f t="array" ref="ALX34">IF(INDEX(ALZ:ALZ,MAX(_xlfn._xlws.FILTER(ROW(ALZ:ALZ),ALZ:ALZ&lt;&gt;"")))&gt;INDEX(AMF:AMF,MAX(_xlfn._xlws.FILTER(ROW(AMF:AMF),AMF:AMF&lt;&gt;""))),ALZ1,AMF1)</f>
        <v>Greedy</v>
      </c>
      <c r="ALY34">
        <f t="shared" ref="ALY34" si="450">SUM(ALY2:ALY26)</f>
        <v>397.34246301651001</v>
      </c>
      <c r="ALZ34" s="6" cm="1">
        <f t="array" ref="ALZ34">INDEX(ALZ1:ALZ26,MAX(_xlfn._xlws.FILTER(ROW(ALZ1:ALZ26),ALZ1:ALZ26&lt;&gt;"")))</f>
        <v>453</v>
      </c>
      <c r="AMA34" s="6">
        <f t="shared" ref="AMA34" si="451">IF(ALX34="Kans",AMF34-ALZ34,ALZ34-AMF34)</f>
        <v>-12</v>
      </c>
      <c r="AME34">
        <f t="shared" ref="AME34" si="452">SUM(AME2:AME26)</f>
        <v>331.53053760528564</v>
      </c>
      <c r="AMF34" s="6" cm="1">
        <f t="array" ref="AMF34">INDEX(AMF1:AMF26,MAX(_xlfn._xlws.FILTER(ROW(AMF1:AMF26),AMF1:AMF26&lt;&gt;"")))</f>
        <v>465</v>
      </c>
      <c r="AMJ34" s="6" t="str" cm="1">
        <f t="array" ref="AMJ34">IF(INDEX(AML:AML,MAX(_xlfn._xlws.FILTER(ROW(AML:AML),AML:AML&lt;&gt;"")))&gt;INDEX(AMR:AMR,MAX(_xlfn._xlws.FILTER(ROW(AMR:AMR),AMR:AMR&lt;&gt;""))),AML1,AMR1)</f>
        <v>Greedy</v>
      </c>
      <c r="AMK34">
        <f t="shared" ref="AMK34" si="453">SUM(AMK2:AMK26)</f>
        <v>281.85414528846741</v>
      </c>
      <c r="AML34" s="6" cm="1">
        <f t="array" ref="AML34">INDEX(AML1:AML26,MAX(_xlfn._xlws.FILTER(ROW(AML1:AML26),AML1:AML26&lt;&gt;"")))</f>
        <v>531</v>
      </c>
      <c r="AMM34" s="6">
        <f t="shared" ref="AMM34" si="454">IF(AMJ34="Kans",AMR34-AML34,AML34-AMR34)</f>
        <v>-31</v>
      </c>
      <c r="AMQ34">
        <f t="shared" ref="AMQ34" si="455">SUM(AMQ2:AMQ26)</f>
        <v>369.24225807189941</v>
      </c>
      <c r="AMR34" s="6" cm="1">
        <f t="array" ref="AMR34">INDEX(AMR1:AMR26,MAX(_xlfn._xlws.FILTER(ROW(AMR1:AMR26),AMR1:AMR26&lt;&gt;"")))</f>
        <v>562</v>
      </c>
      <c r="AMV34" s="6" t="str" cm="1">
        <f t="array" ref="AMV34">IF(INDEX(AMX:AMX,MAX(_xlfn._xlws.FILTER(ROW(AMX:AMX),AMX:AMX&lt;&gt;"")))&gt;INDEX(AND:AND,MAX(_xlfn._xlws.FILTER(ROW(AND:AND),AND:AND&lt;&gt;""))),AMX1,AND1)</f>
        <v>Combi</v>
      </c>
      <c r="AMW34">
        <f t="shared" ref="AMW34" si="456">SUM(AMW2:AMW26)</f>
        <v>1161.3830890655518</v>
      </c>
      <c r="AMX34" s="6" cm="1">
        <f t="array" ref="AMX34">INDEX(AMX1:AMX26,MAX(_xlfn._xlws.FILTER(ROW(AMX1:AMX26),AMX1:AMX26&lt;&gt;"")))</f>
        <v>617</v>
      </c>
      <c r="AMY34" s="6">
        <f t="shared" ref="AMY34" si="457">IF(AMV34="Kans",AND34-AMX34,AMX34-AND34)</f>
        <v>166</v>
      </c>
      <c r="ANC34">
        <f t="shared" ref="ANC34" si="458">SUM(ANC2:ANC26)</f>
        <v>171.01515364646912</v>
      </c>
      <c r="AND34" s="6" cm="1">
        <f t="array" ref="AND34">INDEX(AND1:AND26,MAX(_xlfn._xlws.FILTER(ROW(AND1:AND26),AND1:AND26&lt;&gt;"")))</f>
        <v>451</v>
      </c>
      <c r="ANH34" s="6" t="str" cm="1">
        <f t="array" ref="ANH34">IF(INDEX(ANJ:ANJ,MAX(_xlfn._xlws.FILTER(ROW(ANJ:ANJ),ANJ:ANJ&lt;&gt;"")))&gt;INDEX(ANP:ANP,MAX(_xlfn._xlws.FILTER(ROW(ANP:ANP),ANP:ANP&lt;&gt;""))),ANJ1,ANP1)</f>
        <v>Combi</v>
      </c>
      <c r="ANI34">
        <f t="shared" ref="ANI34" si="459">SUM(ANI2:ANI26)</f>
        <v>531.49724864959717</v>
      </c>
      <c r="ANJ34" s="6" cm="1">
        <f t="array" ref="ANJ34">INDEX(ANJ1:ANJ26,MAX(_xlfn._xlws.FILTER(ROW(ANJ1:ANJ26),ANJ1:ANJ26&lt;&gt;"")))</f>
        <v>548</v>
      </c>
      <c r="ANK34" s="6">
        <f t="shared" ref="ANK34" si="460">IF(ANH34="Kans",ANP34-ANJ34,ANJ34-ANP34)</f>
        <v>124</v>
      </c>
      <c r="ANO34">
        <f t="shared" ref="ANO34" si="461">SUM(ANO2:ANO26)</f>
        <v>282.97050833702087</v>
      </c>
      <c r="ANP34" s="6" cm="1">
        <f t="array" ref="ANP34">INDEX(ANP1:ANP26,MAX(_xlfn._xlws.FILTER(ROW(ANP1:ANP26),ANP1:ANP26&lt;&gt;"")))</f>
        <v>424</v>
      </c>
      <c r="ANT34" s="6" t="str" cm="1">
        <f t="array" ref="ANT34">IF(INDEX(ANV:ANV,MAX(_xlfn._xlws.FILTER(ROW(ANV:ANV),ANV:ANV&lt;&gt;"")))&gt;INDEX(AOB:AOB,MAX(_xlfn._xlws.FILTER(ROW(AOB:AOB),AOB:AOB&lt;&gt;""))),ANV1,AOB1)</f>
        <v>Greedy</v>
      </c>
      <c r="ANU34">
        <f t="shared" ref="ANU34" si="462">SUM(ANU2:ANU26)</f>
        <v>358.65286231040955</v>
      </c>
      <c r="ANV34" s="6" cm="1">
        <f t="array" ref="ANV34">INDEX(ANV1:ANV26,MAX(_xlfn._xlws.FILTER(ROW(ANV1:ANV26),ANV1:ANV26&lt;&gt;"")))</f>
        <v>442</v>
      </c>
      <c r="ANW34" s="6">
        <f t="shared" ref="ANW34" si="463">IF(ANT34="Kans",AOB34-ANV34,ANV34-AOB34)</f>
        <v>-14</v>
      </c>
      <c r="AOA34">
        <f t="shared" ref="AOA34" si="464">SUM(AOA2:AOA26)</f>
        <v>518.67669081687927</v>
      </c>
      <c r="AOB34" s="6" cm="1">
        <f t="array" ref="AOB34">INDEX(AOB1:AOB26,MAX(_xlfn._xlws.FILTER(ROW(AOB1:AOB26),AOB1:AOB26&lt;&gt;"")))</f>
        <v>456</v>
      </c>
      <c r="AOF34" s="6" t="str" cm="1">
        <f t="array" ref="AOF34">IF(INDEX(AOH:AOH,MAX(_xlfn._xlws.FILTER(ROW(AOH:AOH),AOH:AOH&lt;&gt;"")))&gt;INDEX(AON:AON,MAX(_xlfn._xlws.FILTER(ROW(AON:AON),AON:AON&lt;&gt;""))),AOH1,AON1)</f>
        <v>Combi</v>
      </c>
      <c r="AOG34">
        <f t="shared" ref="AOG34" si="465">SUM(AOG2:AOG26)</f>
        <v>456.10692572593689</v>
      </c>
      <c r="AOH34" s="6" cm="1">
        <f t="array" ref="AOH34">INDEX(AOH1:AOH26,MAX(_xlfn._xlws.FILTER(ROW(AOH1:AOH26),AOH1:AOH26&lt;&gt;"")))</f>
        <v>533</v>
      </c>
      <c r="AOI34" s="6">
        <f t="shared" ref="AOI34" si="466">IF(AOF34="Kans",AON34-AOH34,AOH34-AON34)</f>
        <v>80</v>
      </c>
      <c r="AOM34">
        <f t="shared" ref="AOM34" si="467">SUM(AOM2:AOM26)</f>
        <v>342.98392510414124</v>
      </c>
      <c r="AON34" s="6" cm="1">
        <f t="array" ref="AON34">INDEX(AON1:AON26,MAX(_xlfn._xlws.FILTER(ROW(AON1:AON26),AON1:AON26&lt;&gt;"")))</f>
        <v>453</v>
      </c>
      <c r="AOR34" s="6" t="str" cm="1">
        <f t="array" ref="AOR34">IF(INDEX(AOT:AOT,MAX(_xlfn._xlws.FILTER(ROW(AOT:AOT),AOT:AOT&lt;&gt;"")))&gt;INDEX(AOZ:AOZ,MAX(_xlfn._xlws.FILTER(ROW(AOZ:AOZ),AOZ:AOZ&lt;&gt;""))),AOT1,AOZ1)</f>
        <v>Combi</v>
      </c>
      <c r="AOS34">
        <f t="shared" ref="AOS34" si="468">SUM(AOS2:AOS26)</f>
        <v>846.22461318969727</v>
      </c>
      <c r="AOT34" s="6" cm="1">
        <f t="array" ref="AOT34">INDEX(AOT1:AOT26,MAX(_xlfn._xlws.FILTER(ROW(AOT1:AOT26),AOT1:AOT26&lt;&gt;"")))</f>
        <v>681</v>
      </c>
      <c r="AOU34" s="6">
        <f t="shared" ref="AOU34" si="469">IF(AOR34="Kans",AOZ34-AOT34,AOT34-AOZ34)</f>
        <v>297</v>
      </c>
      <c r="AOY34">
        <f t="shared" ref="AOY34" si="470">SUM(AOY2:AOY26)</f>
        <v>193.21223044395447</v>
      </c>
      <c r="AOZ34" s="6" cm="1">
        <f t="array" ref="AOZ34">INDEX(AOZ1:AOZ26,MAX(_xlfn._xlws.FILTER(ROW(AOZ1:AOZ26),AOZ1:AOZ26&lt;&gt;"")))</f>
        <v>384</v>
      </c>
      <c r="APD34" s="6" t="str" cm="1">
        <f t="array" ref="APD34">IF(INDEX(APF:APF,MAX(_xlfn._xlws.FILTER(ROW(APF:APF),APF:APF&lt;&gt;"")))&gt;INDEX(APL:APL,MAX(_xlfn._xlws.FILTER(ROW(APL:APL),APL:APL&lt;&gt;""))),APF1,APL1)</f>
        <v>Combi</v>
      </c>
      <c r="APE34">
        <f t="shared" ref="APE34" si="471">SUM(APE2:APE26)</f>
        <v>620.92391204833984</v>
      </c>
      <c r="APF34" s="6" cm="1">
        <f t="array" ref="APF34">INDEX(APF1:APF26,MAX(_xlfn._xlws.FILTER(ROW(APF1:APF26),APF1:APF26&lt;&gt;"")))</f>
        <v>522</v>
      </c>
      <c r="APG34" s="6">
        <f t="shared" ref="APG34" si="472">IF(APD34="Kans",APL34-APF34,APF34-APL34)</f>
        <v>14</v>
      </c>
      <c r="APK34">
        <f t="shared" ref="APK34" si="473">SUM(APK2:APK26)</f>
        <v>192.94221878051758</v>
      </c>
      <c r="APL34" s="6" cm="1">
        <f t="array" ref="APL34">INDEX(APL1:APL26,MAX(_xlfn._xlws.FILTER(ROW(APL1:APL26),APL1:APL26&lt;&gt;"")))</f>
        <v>508</v>
      </c>
      <c r="APP34" s="6" t="str" cm="1">
        <f t="array" ref="APP34">IF(INDEX(APR:APR,MAX(_xlfn._xlws.FILTER(ROW(APR:APR),APR:APR&lt;&gt;"")))&gt;INDEX(APX:APX,MAX(_xlfn._xlws.FILTER(ROW(APX:APX),APX:APX&lt;&gt;""))),APR1,APX1)</f>
        <v>Greedy</v>
      </c>
      <c r="APQ34">
        <f t="shared" ref="APQ34" si="474">SUM(APQ2:APQ26)</f>
        <v>241.03245615959167</v>
      </c>
      <c r="APR34" s="6" cm="1">
        <f t="array" ref="APR34">INDEX(APR1:APR26,MAX(_xlfn._xlws.FILTER(ROW(APR1:APR26),APR1:APR26&lt;&gt;"")))</f>
        <v>429</v>
      </c>
      <c r="APS34" s="6">
        <f t="shared" ref="APS34" si="475">IF(APP34="Kans",APX34-APR34,APR34-APX34)</f>
        <v>-114</v>
      </c>
      <c r="APW34">
        <f t="shared" ref="APW34" si="476">SUM(APW2:APW26)</f>
        <v>506.29212880134583</v>
      </c>
      <c r="APX34" s="6" cm="1">
        <f t="array" ref="APX34">INDEX(APX1:APX26,MAX(_xlfn._xlws.FILTER(ROW(APX1:APX26),APX1:APX26&lt;&gt;"")))</f>
        <v>543</v>
      </c>
      <c r="AQB34" s="6" t="str" cm="1">
        <f t="array" ref="AQB34">IF(INDEX(AQD:AQD,MAX(_xlfn._xlws.FILTER(ROW(AQD:AQD),AQD:AQD&lt;&gt;"")))&gt;INDEX(AQJ:AQJ,MAX(_xlfn._xlws.FILTER(ROW(AQJ:AQJ),AQJ:AQJ&lt;&gt;""))),AQD1,AQJ1)</f>
        <v>Combi</v>
      </c>
      <c r="AQC34">
        <f t="shared" ref="AQC34" si="477">SUM(AQC2:AQC26)</f>
        <v>1361.0248553752899</v>
      </c>
      <c r="AQD34" s="6" cm="1">
        <f t="array" ref="AQD34">INDEX(AQD1:AQD26,MAX(_xlfn._xlws.FILTER(ROW(AQD1:AQD26),AQD1:AQD26&lt;&gt;"")))</f>
        <v>549</v>
      </c>
      <c r="AQE34" s="6">
        <f t="shared" ref="AQE34" si="478">IF(AQB34="Kans",AQJ34-AQD34,AQD34-AQJ34)</f>
        <v>62</v>
      </c>
      <c r="AQI34">
        <f t="shared" ref="AQI34" si="479">SUM(AQI2:AQI26)</f>
        <v>300.22438406944275</v>
      </c>
      <c r="AQJ34" s="6" cm="1">
        <f t="array" ref="AQJ34">INDEX(AQJ1:AQJ26,MAX(_xlfn._xlws.FILTER(ROW(AQJ1:AQJ26),AQJ1:AQJ26&lt;&gt;"")))</f>
        <v>487</v>
      </c>
      <c r="AQN34" s="6" t="str" cm="1">
        <f t="array" ref="AQN34">IF(INDEX(AQP:AQP,MAX(_xlfn._xlws.FILTER(ROW(AQP:AQP),AQP:AQP&lt;&gt;"")))&gt;INDEX(AQV:AQV,MAX(_xlfn._xlws.FILTER(ROW(AQV:AQV),AQV:AQV&lt;&gt;""))),AQP1,AQV1)</f>
        <v>Greedy</v>
      </c>
      <c r="AQO34">
        <f t="shared" ref="AQO34" si="480">SUM(AQO2:AQO26)</f>
        <v>1272.2059721946716</v>
      </c>
      <c r="AQP34" s="6" cm="1">
        <f t="array" ref="AQP34">INDEX(AQP1:AQP26,MAX(_xlfn._xlws.FILTER(ROW(AQP1:AQP26),AQP1:AQP26&lt;&gt;"")))</f>
        <v>479</v>
      </c>
      <c r="AQQ34" s="6">
        <f t="shared" ref="AQQ34" si="481">IF(AQN34="Kans",AQV34-AQP34,AQP34-AQV34)</f>
        <v>-67</v>
      </c>
      <c r="AQU34">
        <f t="shared" ref="AQU34" si="482">SUM(AQU2:AQU26)</f>
        <v>227.9395740032196</v>
      </c>
      <c r="AQV34" s="6" cm="1">
        <f t="array" ref="AQV34">INDEX(AQV1:AQV26,MAX(_xlfn._xlws.FILTER(ROW(AQV1:AQV26),AQV1:AQV26&lt;&gt;"")))</f>
        <v>546</v>
      </c>
      <c r="AQZ34" s="6" t="str" cm="1">
        <f t="array" ref="AQZ34">IF(INDEX(ARB:ARB,MAX(_xlfn._xlws.FILTER(ROW(ARB:ARB),ARB:ARB&lt;&gt;"")))&gt;INDEX(ARH:ARH,MAX(_xlfn._xlws.FILTER(ROW(ARH:ARH),ARH:ARH&lt;&gt;""))),ARB1,ARH1)</f>
        <v>Greedy</v>
      </c>
      <c r="ARA34">
        <f t="shared" ref="ARA34" si="483">SUM(ARA2:ARA26)</f>
        <v>519.02686166763306</v>
      </c>
      <c r="ARB34" s="6" cm="1">
        <f t="array" ref="ARB34">INDEX(ARB1:ARB26,MAX(_xlfn._xlws.FILTER(ROW(ARB1:ARB26),ARB1:ARB26&lt;&gt;"")))</f>
        <v>453</v>
      </c>
      <c r="ARC34" s="6">
        <f t="shared" ref="ARC34" si="484">IF(AQZ34="Kans",ARH34-ARB34,ARB34-ARH34)</f>
        <v>-28</v>
      </c>
      <c r="ARG34">
        <f t="shared" ref="ARG34" si="485">SUM(ARG2:ARG26)</f>
        <v>204.39802622795105</v>
      </c>
      <c r="ARH34" s="6" cm="1">
        <f t="array" ref="ARH34">INDEX(ARH1:ARH26,MAX(_xlfn._xlws.FILTER(ROW(ARH1:ARH26),ARH1:ARH26&lt;&gt;"")))</f>
        <v>481</v>
      </c>
      <c r="ARL34" s="6" t="str" cm="1">
        <f t="array" ref="ARL34">IF(INDEX(ARN:ARN,MAX(_xlfn._xlws.FILTER(ROW(ARN:ARN),ARN:ARN&lt;&gt;"")))&gt;INDEX(ART:ART,MAX(_xlfn._xlws.FILTER(ROW(ART:ART),ART:ART&lt;&gt;""))),ARN1,ART1)</f>
        <v>Combi</v>
      </c>
      <c r="ARM34">
        <f t="shared" ref="ARM34" si="486">SUM(ARM2:ARM26)</f>
        <v>299.61214542388916</v>
      </c>
      <c r="ARN34" s="6" cm="1">
        <f t="array" ref="ARN34">INDEX(ARN1:ARN26,MAX(_xlfn._xlws.FILTER(ROW(ARN1:ARN26),ARN1:ARN26&lt;&gt;"")))</f>
        <v>510</v>
      </c>
      <c r="ARO34" s="6">
        <f t="shared" ref="ARO34" si="487">IF(ARL34="Kans",ART34-ARN34,ARN34-ART34)</f>
        <v>49</v>
      </c>
      <c r="ARS34">
        <f t="shared" ref="ARS34" si="488">SUM(ARS2:ARS26)</f>
        <v>416.94472622871399</v>
      </c>
      <c r="ART34" s="6" cm="1">
        <f t="array" ref="ART34">INDEX(ART1:ART26,MAX(_xlfn._xlws.FILTER(ROW(ART1:ART26),ART1:ART26&lt;&gt;"")))</f>
        <v>461</v>
      </c>
      <c r="ARX34" s="6" t="str" cm="1">
        <f t="array" ref="ARX34">IF(INDEX(ARZ:ARZ,MAX(_xlfn._xlws.FILTER(ROW(ARZ:ARZ),ARZ:ARZ&lt;&gt;"")))&gt;INDEX(ASF:ASF,MAX(_xlfn._xlws.FILTER(ROW(ASF:ASF),ASF:ASF&lt;&gt;""))),ARZ1,ASF1)</f>
        <v>Combi</v>
      </c>
      <c r="ARY34">
        <f t="shared" ref="ARY34" si="489">SUM(ARY2:ARY26)</f>
        <v>1046.9244408607483</v>
      </c>
      <c r="ARZ34" s="6" cm="1">
        <f t="array" ref="ARZ34">INDEX(ARZ1:ARZ26,MAX(_xlfn._xlws.FILTER(ROW(ARZ1:ARZ26),ARZ1:ARZ26&lt;&gt;"")))</f>
        <v>600</v>
      </c>
      <c r="ASA34" s="6">
        <f t="shared" ref="ASA34" si="490">IF(ARX34="Kans",ASF34-ARZ34,ARZ34-ASF34)</f>
        <v>140</v>
      </c>
      <c r="ASE34">
        <f t="shared" ref="ASE34" si="491">SUM(ASE2:ASE26)</f>
        <v>186.41493487358093</v>
      </c>
      <c r="ASF34" s="6" cm="1">
        <f t="array" ref="ASF34">INDEX(ASF1:ASF26,MAX(_xlfn._xlws.FILTER(ROW(ASF1:ASF26),ASF1:ASF26&lt;&gt;"")))</f>
        <v>460</v>
      </c>
      <c r="ASJ34" s="6" t="str" cm="1">
        <f t="array" ref="ASJ34">IF(INDEX(ASL:ASL,MAX(_xlfn._xlws.FILTER(ROW(ASL:ASL),ASL:ASL&lt;&gt;"")))&gt;INDEX(ASR:ASR,MAX(_xlfn._xlws.FILTER(ROW(ASR:ASR),ASR:ASR&lt;&gt;""))),ASL1,ASR1)</f>
        <v>Combi</v>
      </c>
      <c r="ASK34">
        <f t="shared" ref="ASK34" si="492">SUM(ASK2:ASK26)</f>
        <v>989.88103580474854</v>
      </c>
      <c r="ASL34" s="6" cm="1">
        <f t="array" ref="ASL34">INDEX(ASL1:ASL26,MAX(_xlfn._xlws.FILTER(ROW(ASL1:ASL26),ASL1:ASL26&lt;&gt;"")))</f>
        <v>542</v>
      </c>
      <c r="ASM34" s="6">
        <f t="shared" ref="ASM34" si="493">IF(ASJ34="Kans",ASR34-ASL34,ASL34-ASR34)</f>
        <v>99</v>
      </c>
      <c r="ASQ34">
        <f t="shared" ref="ASQ34" si="494">SUM(ASQ2:ASQ26)</f>
        <v>163.00318598747251</v>
      </c>
      <c r="ASR34" s="6" cm="1">
        <f t="array" ref="ASR34">INDEX(ASR1:ASR26,MAX(_xlfn._xlws.FILTER(ROW(ASR1:ASR26),ASR1:ASR26&lt;&gt;"")))</f>
        <v>443</v>
      </c>
      <c r="ASV34" s="6" t="str" cm="1">
        <f t="array" ref="ASV34">IF(INDEX(ASX:ASX,MAX(_xlfn._xlws.FILTER(ROW(ASX:ASX),ASX:ASX&lt;&gt;"")))&gt;INDEX(ATD:ATD,MAX(_xlfn._xlws.FILTER(ROW(ATD:ATD),ATD:ATD&lt;&gt;""))),ASX1,ATD1)</f>
        <v>Combi</v>
      </c>
      <c r="ASW34">
        <f t="shared" ref="ASW34" si="495">SUM(ASW2:ASW26)</f>
        <v>498.94377160072332</v>
      </c>
      <c r="ASX34" s="6" cm="1">
        <f t="array" ref="ASX34">INDEX(ASX1:ASX26,MAX(_xlfn._xlws.FILTER(ROW(ASX1:ASX26),ASX1:ASX26&lt;&gt;"")))</f>
        <v>434</v>
      </c>
      <c r="ASY34" s="6">
        <f t="shared" ref="ASY34" si="496">IF(ASV34="Kans",ATD34-ASX34,ASX34-ATD34)</f>
        <v>45</v>
      </c>
      <c r="ATC34">
        <f t="shared" ref="ATC34" si="497">SUM(ATC2:ATC26)</f>
        <v>193.67356586456299</v>
      </c>
      <c r="ATD34" s="6" cm="1">
        <f t="array" ref="ATD34">INDEX(ATD1:ATD26,MAX(_xlfn._xlws.FILTER(ROW(ATD1:ATD26),ATD1:ATD26&lt;&gt;"")))</f>
        <v>389</v>
      </c>
      <c r="ATH34" s="6" t="str" cm="1">
        <f t="array" ref="ATH34">IF(INDEX(ATJ:ATJ,MAX(_xlfn._xlws.FILTER(ROW(ATJ:ATJ),ATJ:ATJ&lt;&gt;"")))&gt;INDEX(ATP:ATP,MAX(_xlfn._xlws.FILTER(ROW(ATP:ATP),ATP:ATP&lt;&gt;""))),ATJ1,ATP1)</f>
        <v>Combi</v>
      </c>
      <c r="ATI34">
        <f t="shared" ref="ATI34" si="498">SUM(ATI2:ATI26)</f>
        <v>846.03400659561157</v>
      </c>
      <c r="ATJ34" s="6" cm="1">
        <f t="array" ref="ATJ34">INDEX(ATJ1:ATJ26,MAX(_xlfn._xlws.FILTER(ROW(ATJ1:ATJ26),ATJ1:ATJ26&lt;&gt;"")))</f>
        <v>492</v>
      </c>
      <c r="ATK34" s="6">
        <f t="shared" ref="ATK34" si="499">IF(ATH34="Kans",ATP34-ATJ34,ATJ34-ATP34)</f>
        <v>16</v>
      </c>
      <c r="ATO34">
        <f t="shared" ref="ATO34" si="500">SUM(ATO2:ATO26)</f>
        <v>159.96244955062866</v>
      </c>
      <c r="ATP34" s="6" cm="1">
        <f t="array" ref="ATP34">INDEX(ATP1:ATP26,MAX(_xlfn._xlws.FILTER(ROW(ATP1:ATP26),ATP1:ATP26&lt;&gt;"")))</f>
        <v>476</v>
      </c>
      <c r="ATT34" s="6" t="str" cm="1">
        <f t="array" ref="ATT34">IF(INDEX(ATV:ATV,MAX(_xlfn._xlws.FILTER(ROW(ATV:ATV),ATV:ATV&lt;&gt;"")))&gt;INDEX(AUB:AUB,MAX(_xlfn._xlws.FILTER(ROW(AUB:AUB),AUB:AUB&lt;&gt;""))),ATV1,AUB1)</f>
        <v>Greedy</v>
      </c>
      <c r="ATU34">
        <f t="shared" ref="ATU34" si="501">SUM(ATU2:ATU26)</f>
        <v>376.13085460662847</v>
      </c>
      <c r="ATV34" s="6" cm="1">
        <f t="array" ref="ATV34">INDEX(ATV1:ATV26,MAX(_xlfn._xlws.FILTER(ROW(ATV1:ATV26),ATV1:ATV26&lt;&gt;"")))</f>
        <v>375</v>
      </c>
      <c r="ATW34" s="6">
        <f t="shared" ref="ATW34" si="502">IF(ATT34="Kans",AUB34-ATV34,ATV34-AUB34)</f>
        <v>-155</v>
      </c>
      <c r="AUA34">
        <f t="shared" ref="AUA34" si="503">SUM(AUA2:AUA26)</f>
        <v>416.08324790000916</v>
      </c>
      <c r="AUB34" s="6" cm="1">
        <f t="array" ref="AUB34">INDEX(AUB1:AUB26,MAX(_xlfn._xlws.FILTER(ROW(AUB1:AUB26),AUB1:AUB26&lt;&gt;"")))</f>
        <v>530</v>
      </c>
    </row>
    <row r="35" spans="1:1224" x14ac:dyDescent="0.25">
      <c r="F35">
        <v>369</v>
      </c>
      <c r="L35">
        <v>630</v>
      </c>
      <c r="R35">
        <v>493</v>
      </c>
      <c r="X35">
        <v>597</v>
      </c>
      <c r="AD35">
        <v>378</v>
      </c>
      <c r="AJ35">
        <v>479</v>
      </c>
      <c r="AP35">
        <v>444</v>
      </c>
      <c r="AV35">
        <v>568</v>
      </c>
      <c r="BB35">
        <v>454</v>
      </c>
      <c r="BH35">
        <v>547</v>
      </c>
      <c r="BN35">
        <v>424</v>
      </c>
      <c r="BT35">
        <v>510</v>
      </c>
      <c r="BZ35">
        <v>638</v>
      </c>
      <c r="CF35">
        <v>424</v>
      </c>
      <c r="CL35">
        <v>479</v>
      </c>
      <c r="CR35">
        <v>456</v>
      </c>
      <c r="CX35">
        <v>420</v>
      </c>
      <c r="DD35">
        <v>484</v>
      </c>
      <c r="DJ35">
        <v>579</v>
      </c>
      <c r="DP35">
        <v>394</v>
      </c>
      <c r="DV35">
        <v>494</v>
      </c>
      <c r="EB35">
        <v>509</v>
      </c>
      <c r="EH35">
        <v>347</v>
      </c>
      <c r="EN35">
        <v>550</v>
      </c>
      <c r="ET35">
        <v>410</v>
      </c>
      <c r="EZ35">
        <v>481</v>
      </c>
      <c r="FF35">
        <v>502</v>
      </c>
      <c r="FL35">
        <v>411</v>
      </c>
      <c r="FR35">
        <v>595</v>
      </c>
      <c r="FX35">
        <v>505</v>
      </c>
      <c r="GD35">
        <v>564</v>
      </c>
      <c r="GJ35">
        <v>459</v>
      </c>
      <c r="GP35">
        <v>450</v>
      </c>
      <c r="GV35">
        <v>404</v>
      </c>
      <c r="HB35">
        <v>447</v>
      </c>
      <c r="HH35">
        <v>539</v>
      </c>
      <c r="HN35">
        <v>388</v>
      </c>
      <c r="HT35">
        <v>564</v>
      </c>
      <c r="HZ35">
        <v>451</v>
      </c>
      <c r="IF35">
        <v>450</v>
      </c>
      <c r="IL35">
        <v>470</v>
      </c>
      <c r="IR35">
        <v>556</v>
      </c>
      <c r="IX35">
        <v>472</v>
      </c>
      <c r="JD35">
        <v>417</v>
      </c>
      <c r="JJ35">
        <v>339</v>
      </c>
      <c r="JP35">
        <v>518</v>
      </c>
      <c r="JV35">
        <v>385</v>
      </c>
      <c r="KB35">
        <v>547</v>
      </c>
      <c r="KH35">
        <v>553</v>
      </c>
      <c r="KN35">
        <v>527</v>
      </c>
      <c r="KT35">
        <v>389</v>
      </c>
      <c r="KZ35">
        <v>515</v>
      </c>
      <c r="LF35">
        <v>498</v>
      </c>
      <c r="LL35">
        <v>494</v>
      </c>
      <c r="LR35">
        <v>376</v>
      </c>
      <c r="LX35">
        <v>414</v>
      </c>
      <c r="MD35">
        <v>372</v>
      </c>
      <c r="MJ35">
        <v>513</v>
      </c>
      <c r="MP35">
        <v>446</v>
      </c>
      <c r="MV35">
        <v>526</v>
      </c>
      <c r="NB35">
        <v>478</v>
      </c>
      <c r="NH35">
        <v>450</v>
      </c>
      <c r="NN35">
        <v>373</v>
      </c>
      <c r="NT35">
        <v>568</v>
      </c>
      <c r="NZ35">
        <v>508</v>
      </c>
      <c r="OF35">
        <v>451</v>
      </c>
      <c r="OL35">
        <v>489</v>
      </c>
      <c r="OR35">
        <v>457</v>
      </c>
      <c r="OX35">
        <v>516</v>
      </c>
      <c r="PD35">
        <v>416</v>
      </c>
      <c r="PJ35">
        <v>385</v>
      </c>
      <c r="PP35">
        <v>511</v>
      </c>
      <c r="PV35">
        <v>530</v>
      </c>
      <c r="QB35">
        <v>498</v>
      </c>
      <c r="QH35">
        <v>512</v>
      </c>
      <c r="QN35">
        <v>453</v>
      </c>
      <c r="QT35">
        <v>494</v>
      </c>
      <c r="QZ35">
        <v>440</v>
      </c>
      <c r="RF35">
        <v>555</v>
      </c>
      <c r="RL35">
        <v>432</v>
      </c>
      <c r="RR35">
        <v>579</v>
      </c>
      <c r="RX35">
        <v>421</v>
      </c>
      <c r="SD35">
        <v>470</v>
      </c>
      <c r="SJ35">
        <v>462</v>
      </c>
      <c r="SP35">
        <v>386</v>
      </c>
      <c r="SV35">
        <v>475</v>
      </c>
      <c r="TB35">
        <v>374</v>
      </c>
      <c r="TH35">
        <v>541</v>
      </c>
      <c r="TN35">
        <v>595</v>
      </c>
      <c r="TT35">
        <v>408</v>
      </c>
      <c r="TZ35">
        <v>460</v>
      </c>
      <c r="UF35">
        <v>633</v>
      </c>
      <c r="UL35">
        <v>354</v>
      </c>
      <c r="UR35">
        <v>587</v>
      </c>
      <c r="UX35">
        <v>539</v>
      </c>
      <c r="VD35">
        <v>440</v>
      </c>
      <c r="VJ35">
        <v>443</v>
      </c>
      <c r="VP35">
        <v>526</v>
      </c>
      <c r="VV35">
        <v>371</v>
      </c>
      <c r="WB35">
        <v>583</v>
      </c>
      <c r="WH35">
        <v>471</v>
      </c>
      <c r="WN35">
        <v>509</v>
      </c>
      <c r="WT35">
        <v>545</v>
      </c>
      <c r="WZ35">
        <v>456</v>
      </c>
      <c r="XF35">
        <v>439</v>
      </c>
      <c r="XL35">
        <v>501</v>
      </c>
      <c r="XR35">
        <v>493</v>
      </c>
      <c r="XX35">
        <v>436</v>
      </c>
      <c r="YD35">
        <v>508</v>
      </c>
      <c r="YJ35">
        <v>355</v>
      </c>
      <c r="YP35">
        <v>458</v>
      </c>
      <c r="YV35">
        <v>433</v>
      </c>
      <c r="ZB35">
        <v>490</v>
      </c>
      <c r="ZH35">
        <v>419</v>
      </c>
      <c r="ZN35">
        <v>415</v>
      </c>
      <c r="ZT35">
        <v>485</v>
      </c>
      <c r="ZZ35">
        <v>383</v>
      </c>
      <c r="AAF35">
        <v>513</v>
      </c>
      <c r="AAL35">
        <v>574</v>
      </c>
      <c r="AAR35">
        <v>325</v>
      </c>
      <c r="AAX35">
        <v>389</v>
      </c>
      <c r="ABD35">
        <v>492</v>
      </c>
      <c r="ABJ35">
        <v>501</v>
      </c>
      <c r="ABP35">
        <v>590</v>
      </c>
      <c r="ABV35">
        <v>612</v>
      </c>
      <c r="ACB35">
        <v>442</v>
      </c>
      <c r="ACH35">
        <v>452</v>
      </c>
      <c r="ACN35">
        <v>484</v>
      </c>
      <c r="ACT35">
        <v>623</v>
      </c>
      <c r="ACZ35">
        <v>482</v>
      </c>
      <c r="ADF35">
        <v>556</v>
      </c>
      <c r="ADL35">
        <v>454</v>
      </c>
      <c r="ADR35">
        <v>644</v>
      </c>
      <c r="ADX35">
        <v>407</v>
      </c>
      <c r="AED35">
        <v>404</v>
      </c>
      <c r="AEJ35">
        <v>480</v>
      </c>
      <c r="AEP35">
        <v>677</v>
      </c>
      <c r="AEV35">
        <v>464</v>
      </c>
      <c r="AFB35">
        <v>460</v>
      </c>
      <c r="AFH35">
        <v>507</v>
      </c>
      <c r="AFN35">
        <v>522</v>
      </c>
      <c r="AFT35">
        <v>496</v>
      </c>
      <c r="AFZ35">
        <v>503</v>
      </c>
      <c r="AGF35">
        <v>482</v>
      </c>
      <c r="AGL35">
        <v>433</v>
      </c>
      <c r="AGR35">
        <v>490</v>
      </c>
      <c r="AGX35">
        <v>407</v>
      </c>
      <c r="AHD35">
        <v>498</v>
      </c>
      <c r="AHJ35">
        <v>409</v>
      </c>
      <c r="AHP35">
        <v>476</v>
      </c>
      <c r="AHV35">
        <v>515</v>
      </c>
      <c r="AIB35">
        <v>456</v>
      </c>
      <c r="AIH35">
        <v>547</v>
      </c>
      <c r="AIN35">
        <v>397</v>
      </c>
      <c r="AIT35">
        <v>549</v>
      </c>
      <c r="AIZ35">
        <v>430</v>
      </c>
      <c r="AJF35">
        <v>415</v>
      </c>
      <c r="AJL35">
        <v>449</v>
      </c>
      <c r="AJR35">
        <v>506</v>
      </c>
      <c r="AJX35">
        <v>589</v>
      </c>
      <c r="AKD35">
        <v>509</v>
      </c>
      <c r="AKJ35">
        <v>579</v>
      </c>
      <c r="AKP35">
        <v>426</v>
      </c>
      <c r="AKV35">
        <v>477</v>
      </c>
      <c r="ALB35">
        <v>539</v>
      </c>
      <c r="ALH35">
        <v>429</v>
      </c>
      <c r="ALN35">
        <v>653</v>
      </c>
      <c r="ALT35">
        <v>369</v>
      </c>
      <c r="ALZ35">
        <v>453</v>
      </c>
      <c r="AMF35">
        <v>465</v>
      </c>
      <c r="AML35">
        <v>531</v>
      </c>
      <c r="AMR35">
        <v>562</v>
      </c>
      <c r="AMX35">
        <v>617</v>
      </c>
      <c r="AND35">
        <v>451</v>
      </c>
      <c r="ANJ35">
        <v>548</v>
      </c>
      <c r="ANP35">
        <v>424</v>
      </c>
      <c r="ANV35">
        <v>442</v>
      </c>
      <c r="AOB35">
        <v>456</v>
      </c>
      <c r="AOH35">
        <v>533</v>
      </c>
      <c r="AON35">
        <v>453</v>
      </c>
      <c r="AOT35">
        <v>681</v>
      </c>
      <c r="AOZ35">
        <v>384</v>
      </c>
      <c r="APF35">
        <v>522</v>
      </c>
      <c r="APL35">
        <v>508</v>
      </c>
      <c r="APR35">
        <v>429</v>
      </c>
      <c r="APX35">
        <v>543</v>
      </c>
      <c r="AQD35">
        <v>549</v>
      </c>
      <c r="AQJ35">
        <v>487</v>
      </c>
      <c r="AQP35">
        <v>479</v>
      </c>
      <c r="AQV35">
        <v>546</v>
      </c>
      <c r="ARB35">
        <v>453</v>
      </c>
      <c r="ARH35">
        <v>481</v>
      </c>
      <c r="ARN35">
        <v>510</v>
      </c>
      <c r="ART35">
        <v>461</v>
      </c>
      <c r="ARZ35">
        <v>600</v>
      </c>
      <c r="ASF35">
        <v>460</v>
      </c>
      <c r="ASL35">
        <v>542</v>
      </c>
      <c r="ASR35">
        <v>443</v>
      </c>
      <c r="ASX35">
        <v>434</v>
      </c>
      <c r="ATD35">
        <v>389</v>
      </c>
      <c r="ATJ35">
        <v>492</v>
      </c>
      <c r="ATP35">
        <v>476</v>
      </c>
      <c r="ATV35">
        <v>375</v>
      </c>
      <c r="AUB35">
        <v>530</v>
      </c>
    </row>
    <row r="45" spans="1:1224" x14ac:dyDescent="0.25">
      <c r="A45" s="6" t="s">
        <v>4803</v>
      </c>
      <c r="B45" s="6" t="s">
        <v>4804</v>
      </c>
      <c r="C45" s="6" t="s">
        <v>1</v>
      </c>
      <c r="D45" s="6" t="s">
        <v>4805</v>
      </c>
    </row>
    <row r="46" spans="1:1224" x14ac:dyDescent="0.25">
      <c r="A46" s="6" t="s">
        <v>4795</v>
      </c>
      <c r="B46">
        <v>51</v>
      </c>
      <c r="C46">
        <v>51</v>
      </c>
      <c r="D46">
        <f>SUM(B46:C46)</f>
        <v>102</v>
      </c>
    </row>
    <row r="48" spans="1:1224" x14ac:dyDescent="0.25">
      <c r="A48" s="6"/>
      <c r="B48" s="6" t="s">
        <v>4806</v>
      </c>
      <c r="C48" s="6" t="s">
        <v>4807</v>
      </c>
      <c r="D48" s="6" t="s">
        <v>4808</v>
      </c>
      <c r="E48" s="6" t="s">
        <v>4809</v>
      </c>
      <c r="F48" s="6" t="s">
        <v>4804</v>
      </c>
      <c r="G48" s="6" t="s">
        <v>4810</v>
      </c>
    </row>
    <row r="49" spans="1:10" x14ac:dyDescent="0.25">
      <c r="A49" s="7" t="s">
        <v>1</v>
      </c>
      <c r="B49">
        <f>COUNTIF(34:34,"Greedy")</f>
        <v>46</v>
      </c>
      <c r="C49" s="10" cm="1">
        <f t="array" ref="C49">SUM(_xlfn._xlws.FILTER($B$34:$AVL$34,($B$1:$AVL$1="Greedy")))/$D$46</f>
        <v>464.4019607843137</v>
      </c>
      <c r="D49" s="9" cm="1">
        <f t="array" ref="D49">_xlfn.STDEV.P(_xlfn._xlws.FILTER($B$34:$AVL$34,($B$1:$AVL$1="Greedy")))</f>
        <v>65.186197835985098</v>
      </c>
      <c r="E49" s="8" t="str" cm="1">
        <f t="array" ref="E49">TEXT(SUM(_xlfn._xlws.FILTER($B$34:$AVL$34,($B$1:$AVL$1="Move timeGreedy")))/$D$46/86400,"mm:ss")</f>
        <v>05:13</v>
      </c>
      <c r="F49" t="str" cm="1">
        <f t="array" ref="F49">TEXT(AVERAGE(_xlfn._xlws.FILTER($B$2:$AVL$26,($B$1:$AVL$1="Move timeGreedy")))/86400,"ss,00")</f>
        <v>22,50</v>
      </c>
      <c r="G49">
        <v>1</v>
      </c>
      <c r="H49">
        <f>56/46</f>
        <v>1.2173913043478262</v>
      </c>
      <c r="J49" s="11">
        <v>0.6452</v>
      </c>
    </row>
    <row r="50" spans="1:10" x14ac:dyDescent="0.25">
      <c r="A50" s="7" t="s">
        <v>2</v>
      </c>
      <c r="B50">
        <f>COUNTIF(34:34,"Combi")</f>
        <v>56</v>
      </c>
      <c r="C50" s="10" cm="1">
        <f t="array" ref="C50">SUM(_xlfn._xlws.FILTER($B$34:$AVL$34,($B$1:$AVL$1="Combi")))/$D$46</f>
        <v>499.95098039215685</v>
      </c>
      <c r="D50" s="10" cm="1">
        <f t="array" ref="D50">_xlfn.STDEV.P(_xlfn._xlws.FILTER($B$34:$AVL$34,($B$1:$AVL$1="Combi")))</f>
        <v>69.614537789084338</v>
      </c>
      <c r="E50" s="8" t="str" cm="1">
        <f t="array" ref="E50">TEXT(SUM(_xlfn._xlws.FILTER($B$34:$AVL$34,($B$1:$AVL$1="Move timeCombi")))/$D$46/86400,"mm:ss")</f>
        <v>10:19</v>
      </c>
      <c r="F50" t="str" cm="1">
        <f t="array" ref="F50">TEXT(AVERAGE(_xlfn._xlws.FILTER($B$2:$AVL$26,($B$1:$AVL$1="Move timeCombi")))/86400,"ss,00")</f>
        <v>44,21</v>
      </c>
      <c r="G50">
        <v>1</v>
      </c>
      <c r="H50">
        <f>46/56</f>
        <v>0.8214285714285714</v>
      </c>
      <c r="J50" s="11">
        <v>0.6452</v>
      </c>
    </row>
    <row r="51" spans="1:10" x14ac:dyDescent="0.25">
      <c r="A51" s="7" t="s">
        <v>4811</v>
      </c>
      <c r="B51">
        <f>D46-B50-B49</f>
        <v>0</v>
      </c>
    </row>
    <row r="54" spans="1:10" x14ac:dyDescent="0.25">
      <c r="G54" t="s">
        <v>4796</v>
      </c>
      <c r="J54" s="10">
        <f>C50-C49</f>
        <v>35.54901960784315</v>
      </c>
    </row>
    <row r="55" spans="1:10" x14ac:dyDescent="0.25">
      <c r="B55" t="s">
        <v>4812</v>
      </c>
      <c r="C55" s="11">
        <f>J56</f>
        <v>0.64533225961280227</v>
      </c>
      <c r="E55" s="8">
        <f>102*0.7009</f>
        <v>71.491799999999998</v>
      </c>
      <c r="G55" t="s">
        <v>4797</v>
      </c>
      <c r="J55" s="10">
        <f>SQRT(POWER(D49,2) +POWER(D50,2))</f>
        <v>95.369933731234383</v>
      </c>
    </row>
    <row r="56" spans="1:10" x14ac:dyDescent="0.25">
      <c r="B56" t="s">
        <v>4814</v>
      </c>
      <c r="C56" s="12">
        <f>B50/(B49+B50)</f>
        <v>0.5490196078431373</v>
      </c>
      <c r="E56">
        <v>56</v>
      </c>
      <c r="G56" t="s">
        <v>4798</v>
      </c>
      <c r="H56" t="s">
        <v>4799</v>
      </c>
      <c r="J56">
        <f>1-_xlfn.NORM.DIST(0,J54,J55,TRUE)</f>
        <v>0.64533225961280227</v>
      </c>
    </row>
    <row r="57" spans="1:10" x14ac:dyDescent="0.25">
      <c r="E57" t="s">
        <v>4813</v>
      </c>
      <c r="G57" t="s">
        <v>4800</v>
      </c>
      <c r="H57">
        <f>B50</f>
        <v>56</v>
      </c>
      <c r="J57">
        <f>_xlfn.BINOM.DIST(B50,B49+B50,J56,TRUE)</f>
        <v>2.8212016459969118E-2</v>
      </c>
    </row>
    <row r="58" spans="1:10" x14ac:dyDescent="0.25">
      <c r="G58" s="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Heek</dc:creator>
  <cp:lastModifiedBy>Stijn Boschloo</cp:lastModifiedBy>
  <dcterms:created xsi:type="dcterms:W3CDTF">2015-06-05T18:19:34Z</dcterms:created>
  <dcterms:modified xsi:type="dcterms:W3CDTF">2026-02-13T08:34:29Z</dcterms:modified>
</cp:coreProperties>
</file>