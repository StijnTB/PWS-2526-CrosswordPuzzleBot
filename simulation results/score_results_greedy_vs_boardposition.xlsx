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corderius-my.sharepoint.com/personal/143187_corderius_nl/Documents/5e 6e jaar PWS/PWS repository/simulation results/"/>
    </mc:Choice>
  </mc:AlternateContent>
  <xr:revisionPtr revIDLastSave="16" documentId="8_{1DC8EFA3-ADCF-409C-9CA9-806148A2445B}" xr6:coauthVersionLast="47" xr6:coauthVersionMax="47" xr10:uidLastSave="{AE0B2C55-5DE7-4A49-826D-FD7CF5100417}"/>
  <bookViews>
    <workbookView xWindow="-120" yWindow="-120" windowWidth="20730" windowHeight="11040" xr2:uid="{00000000-000D-0000-FFFF-FFFF00000000}"/>
  </bookViews>
  <sheets>
    <sheet name="Blad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Q1" i="1" l="1"/>
  <c r="AMK1" i="1"/>
  <c r="AME1" i="1"/>
  <c r="ALY1" i="1"/>
  <c r="ALS1" i="1"/>
  <c r="ALM1" i="1"/>
  <c r="ALG1" i="1"/>
  <c r="ALA1" i="1"/>
  <c r="AKU1" i="1"/>
  <c r="AKO1" i="1"/>
  <c r="AKI1" i="1"/>
  <c r="AKC1" i="1"/>
  <c r="AJW1" i="1"/>
  <c r="AJQ1" i="1"/>
  <c r="AJK1" i="1"/>
  <c r="AJE1" i="1"/>
  <c r="AIY1" i="1"/>
  <c r="AIS1" i="1"/>
  <c r="AIM1" i="1"/>
  <c r="AIG1" i="1"/>
  <c r="AIA1" i="1"/>
  <c r="AHU1" i="1"/>
  <c r="AHO1" i="1"/>
  <c r="AHI1" i="1"/>
  <c r="AHC1" i="1"/>
  <c r="AGW1" i="1"/>
  <c r="AGQ1" i="1"/>
  <c r="AGK1" i="1"/>
  <c r="AGE1" i="1"/>
  <c r="AFY1" i="1"/>
  <c r="AFS1" i="1"/>
  <c r="AFM1" i="1"/>
  <c r="AFG1" i="1"/>
  <c r="AFA1" i="1"/>
  <c r="AEU1" i="1"/>
  <c r="AEO1" i="1"/>
  <c r="AEI1" i="1"/>
  <c r="AEC1" i="1"/>
  <c r="ADW1" i="1"/>
  <c r="ADQ1" i="1"/>
  <c r="ADK1" i="1"/>
  <c r="ADE1" i="1"/>
  <c r="ACY1" i="1"/>
  <c r="ACS1" i="1"/>
  <c r="ACM1" i="1"/>
  <c r="ACG1" i="1"/>
  <c r="ACA1" i="1"/>
  <c r="ABU1" i="1"/>
  <c r="ABO1" i="1"/>
  <c r="ABI1" i="1"/>
  <c r="ABC1" i="1"/>
  <c r="AAW1" i="1"/>
  <c r="AAQ1" i="1"/>
  <c r="AAK1" i="1"/>
  <c r="AAE1" i="1"/>
  <c r="ZY1" i="1"/>
  <c r="ZS1" i="1"/>
  <c r="ZM1" i="1"/>
  <c r="ZG1" i="1"/>
  <c r="ZA1" i="1"/>
  <c r="YU1" i="1"/>
  <c r="YO1" i="1"/>
  <c r="YI1" i="1"/>
  <c r="YC1" i="1"/>
  <c r="XW1" i="1"/>
  <c r="XQ1" i="1"/>
  <c r="XK1" i="1"/>
  <c r="XE1" i="1"/>
  <c r="WY1" i="1"/>
  <c r="WS1" i="1"/>
  <c r="WM1" i="1"/>
  <c r="WG1" i="1"/>
  <c r="WA1" i="1"/>
  <c r="VU1" i="1"/>
  <c r="VO1" i="1"/>
  <c r="VI1" i="1"/>
  <c r="VC1" i="1"/>
  <c r="UW1" i="1"/>
  <c r="UQ1" i="1"/>
  <c r="UK1" i="1"/>
  <c r="UE1" i="1"/>
  <c r="TY1" i="1"/>
  <c r="TS1" i="1"/>
  <c r="TM1" i="1"/>
  <c r="TG1" i="1"/>
  <c r="TA1" i="1"/>
  <c r="SU1" i="1"/>
  <c r="SO1" i="1"/>
  <c r="SI1" i="1"/>
  <c r="SC1" i="1"/>
  <c r="RW1" i="1"/>
  <c r="RQ1" i="1"/>
  <c r="RK1" i="1"/>
  <c r="RE1" i="1"/>
  <c r="QY1" i="1"/>
  <c r="QS1" i="1"/>
  <c r="QM1" i="1"/>
  <c r="QG1" i="1"/>
  <c r="QA1" i="1"/>
  <c r="PU1" i="1"/>
  <c r="PO1" i="1"/>
  <c r="PI1" i="1"/>
  <c r="PC1" i="1"/>
  <c r="OW1" i="1"/>
  <c r="OQ1" i="1"/>
  <c r="OK1" i="1"/>
  <c r="OE1" i="1"/>
  <c r="NY1" i="1"/>
  <c r="NS1" i="1"/>
  <c r="NM1" i="1"/>
  <c r="NG1" i="1"/>
  <c r="NA1" i="1"/>
  <c r="MU1" i="1"/>
  <c r="MO1" i="1"/>
  <c r="MI1" i="1"/>
  <c r="MC1" i="1"/>
  <c r="LW1" i="1"/>
  <c r="LQ1" i="1"/>
  <c r="LK1" i="1"/>
  <c r="LE1" i="1"/>
  <c r="KY1" i="1"/>
  <c r="KS1" i="1"/>
  <c r="KM1" i="1"/>
  <c r="KG1" i="1"/>
  <c r="KA1" i="1"/>
  <c r="JU1" i="1"/>
  <c r="JO1" i="1"/>
  <c r="JI1" i="1"/>
  <c r="JC1" i="1"/>
  <c r="IW1" i="1"/>
  <c r="IQ1" i="1"/>
  <c r="IK1" i="1"/>
  <c r="IE1" i="1"/>
  <c r="HY1" i="1"/>
  <c r="HS1" i="1"/>
  <c r="HM1" i="1"/>
  <c r="HG1" i="1"/>
  <c r="HA1" i="1"/>
  <c r="GU1" i="1"/>
  <c r="GO1" i="1"/>
  <c r="GI1" i="1"/>
  <c r="GC1" i="1"/>
  <c r="FW1" i="1"/>
  <c r="FQ1" i="1"/>
  <c r="FK1" i="1"/>
  <c r="FE1" i="1"/>
  <c r="EY1" i="1"/>
  <c r="ES1" i="1"/>
  <c r="EM1" i="1"/>
  <c r="EG1" i="1"/>
  <c r="EA1" i="1"/>
  <c r="DU1" i="1"/>
  <c r="DO1" i="1"/>
  <c r="DI1" i="1"/>
  <c r="DC1" i="1"/>
  <c r="CW1" i="1"/>
  <c r="CQ1" i="1"/>
  <c r="CK1" i="1"/>
  <c r="CE1" i="1"/>
  <c r="BY1" i="1"/>
  <c r="BS1" i="1"/>
  <c r="BM1" i="1"/>
  <c r="BG1" i="1"/>
  <c r="BA1" i="1"/>
  <c r="AU1" i="1"/>
  <c r="AO1" i="1"/>
  <c r="AI1" i="1"/>
  <c r="AC1" i="1"/>
  <c r="W1" i="1"/>
  <c r="Q1" i="1"/>
  <c r="K1" i="1"/>
  <c r="E1" i="1"/>
  <c r="F49" i="1" s="1" a="1"/>
  <c r="F49" i="1" s="1"/>
  <c r="E49" i="1" l="1" a="1"/>
  <c r="E49" i="1" s="1"/>
  <c r="E50" i="1" a="1"/>
  <c r="E50" i="1" s="1"/>
  <c r="F50" i="1" a="1"/>
  <c r="F50" i="1" s="1"/>
  <c r="J50" i="1"/>
  <c r="J49" i="1"/>
  <c r="SY59" i="1"/>
  <c r="SY60" i="1"/>
  <c r="SY61" i="1"/>
  <c r="SY62" i="1"/>
  <c r="SY63" i="1"/>
  <c r="SY64" i="1"/>
  <c r="SY65" i="1"/>
  <c r="SY66" i="1"/>
  <c r="SY67" i="1"/>
  <c r="SY68" i="1"/>
  <c r="SY69" i="1"/>
  <c r="SY70" i="1"/>
  <c r="SY71" i="1"/>
  <c r="SY72" i="1"/>
  <c r="SY73" i="1"/>
  <c r="SY74" i="1"/>
  <c r="SY75" i="1"/>
  <c r="SY76" i="1"/>
  <c r="SY77" i="1"/>
  <c r="SY78" i="1"/>
  <c r="SY79" i="1"/>
  <c r="SY80" i="1"/>
  <c r="SY81" i="1"/>
  <c r="SY58" i="1"/>
  <c r="SX59" i="1"/>
  <c r="SX60" i="1"/>
  <c r="SX61" i="1"/>
  <c r="SX62" i="1"/>
  <c r="SX63" i="1"/>
  <c r="SX64" i="1"/>
  <c r="SX65" i="1"/>
  <c r="SX66" i="1"/>
  <c r="SX67" i="1"/>
  <c r="SX68" i="1"/>
  <c r="SX69" i="1"/>
  <c r="SX70" i="1"/>
  <c r="SX71" i="1"/>
  <c r="SX72" i="1"/>
  <c r="SX73" i="1"/>
  <c r="SX74" i="1"/>
  <c r="SX75" i="1"/>
  <c r="SX76" i="1"/>
  <c r="SX77" i="1"/>
  <c r="SX78" i="1"/>
  <c r="SX79" i="1"/>
  <c r="SX80" i="1"/>
  <c r="SX81" i="1"/>
  <c r="SX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58" i="1"/>
  <c r="R19" i="1"/>
  <c r="L21" i="1"/>
  <c r="L22" i="1" s="1"/>
  <c r="C77" i="1" s="1"/>
  <c r="F21" i="1"/>
  <c r="D46" i="1"/>
  <c r="AMQ34" i="1"/>
  <c r="Q34" i="1"/>
  <c r="W34" i="1"/>
  <c r="X34" i="1" a="1"/>
  <c r="X34" i="1" s="1"/>
  <c r="AC34" i="1"/>
  <c r="AD34" i="1" a="1"/>
  <c r="AD34" i="1" s="1"/>
  <c r="AI34" i="1"/>
  <c r="AJ34" i="1" a="1"/>
  <c r="AJ34" i="1"/>
  <c r="AO34" i="1"/>
  <c r="AP34" i="1" a="1"/>
  <c r="AP34" i="1" s="1"/>
  <c r="AU34" i="1"/>
  <c r="AV34" i="1" a="1"/>
  <c r="AV34" i="1" s="1"/>
  <c r="BA34" i="1"/>
  <c r="BB34" i="1" a="1"/>
  <c r="BB34" i="1" s="1"/>
  <c r="BG34" i="1"/>
  <c r="BH34" i="1" a="1"/>
  <c r="BH34" i="1" s="1"/>
  <c r="BM34" i="1"/>
  <c r="BN34" i="1" a="1"/>
  <c r="BN34" i="1" s="1"/>
  <c r="BL34" i="1" s="1" a="1"/>
  <c r="BL34" i="1" s="1"/>
  <c r="BO34" i="1" s="1"/>
  <c r="BS34" i="1"/>
  <c r="BT34" i="1" a="1"/>
  <c r="BT34" i="1" s="1"/>
  <c r="BY34" i="1"/>
  <c r="BZ34" i="1" a="1"/>
  <c r="BZ34" i="1" s="1"/>
  <c r="CE34" i="1"/>
  <c r="CF34" i="1" a="1"/>
  <c r="CF34" i="1" s="1"/>
  <c r="CK34" i="1"/>
  <c r="CL34" i="1" a="1"/>
  <c r="CL34" i="1" s="1"/>
  <c r="CQ34" i="1"/>
  <c r="CR34" i="1" a="1"/>
  <c r="CR34" i="1" s="1"/>
  <c r="CW34" i="1"/>
  <c r="CX34" i="1" a="1"/>
  <c r="CX34" i="1" s="1"/>
  <c r="DC34" i="1"/>
  <c r="DD34" i="1" a="1"/>
  <c r="DD34" i="1" s="1"/>
  <c r="DI34" i="1"/>
  <c r="DJ34" i="1" a="1"/>
  <c r="DJ34" i="1" s="1"/>
  <c r="DO34" i="1"/>
  <c r="DP34" i="1" a="1"/>
  <c r="DP34" i="1" s="1"/>
  <c r="DU34" i="1"/>
  <c r="DV34" i="1" a="1"/>
  <c r="DV34" i="1" s="1"/>
  <c r="EA34" i="1"/>
  <c r="EB34" i="1" a="1"/>
  <c r="EB34" i="1" s="1"/>
  <c r="EG34" i="1"/>
  <c r="EH34" i="1" a="1"/>
  <c r="EH34" i="1" s="1"/>
  <c r="EM34" i="1"/>
  <c r="EN34" i="1" a="1"/>
  <c r="EN34" i="1" s="1"/>
  <c r="ES34" i="1"/>
  <c r="ET34" i="1" a="1"/>
  <c r="ET34" i="1" s="1"/>
  <c r="ER34" i="1" s="1" a="1"/>
  <c r="ER34" i="1" s="1"/>
  <c r="EU34" i="1" s="1"/>
  <c r="EY34" i="1"/>
  <c r="EZ34" i="1" a="1"/>
  <c r="EZ34" i="1" s="1"/>
  <c r="FE34" i="1"/>
  <c r="FF34" i="1" a="1"/>
  <c r="FF34" i="1" s="1"/>
  <c r="FD34" i="1" s="1" a="1"/>
  <c r="FD34" i="1" s="1"/>
  <c r="FG34" i="1" s="1"/>
  <c r="FK34" i="1"/>
  <c r="FL34" i="1" a="1"/>
  <c r="FL34" i="1" s="1"/>
  <c r="FQ34" i="1"/>
  <c r="FR34" i="1" a="1"/>
  <c r="FR34" i="1" s="1"/>
  <c r="FW34" i="1"/>
  <c r="FX34" i="1" a="1"/>
  <c r="FX34" i="1" s="1"/>
  <c r="GC34" i="1"/>
  <c r="GD34" i="1" a="1"/>
  <c r="GD34" i="1" s="1"/>
  <c r="GI34" i="1"/>
  <c r="GJ34" i="1" a="1"/>
  <c r="GJ34" i="1" s="1"/>
  <c r="GO34" i="1"/>
  <c r="GP34" i="1" a="1"/>
  <c r="GP34" i="1" s="1"/>
  <c r="GU34" i="1"/>
  <c r="GV34" i="1" a="1"/>
  <c r="GV34" i="1" s="1"/>
  <c r="HA34" i="1"/>
  <c r="HB34" i="1" a="1"/>
  <c r="HB34" i="1" s="1"/>
  <c r="HG34" i="1"/>
  <c r="HH34" i="1" a="1"/>
  <c r="HH34" i="1" s="1"/>
  <c r="HM34" i="1"/>
  <c r="HN34" i="1" a="1"/>
  <c r="HN34" i="1" s="1"/>
  <c r="HS34" i="1"/>
  <c r="HT34" i="1" a="1"/>
  <c r="HT34" i="1" s="1"/>
  <c r="HY34" i="1"/>
  <c r="HZ34" i="1" a="1"/>
  <c r="HZ34" i="1" s="1"/>
  <c r="IE34" i="1"/>
  <c r="IF34" i="1" a="1"/>
  <c r="IF34" i="1" s="1"/>
  <c r="IK34" i="1"/>
  <c r="IL34" i="1" a="1"/>
  <c r="IL34" i="1" s="1"/>
  <c r="IJ34" i="1" s="1" a="1"/>
  <c r="IJ34" i="1" s="1"/>
  <c r="IM34" i="1" s="1"/>
  <c r="IQ34" i="1"/>
  <c r="IR34" i="1" a="1"/>
  <c r="IR34" i="1" s="1"/>
  <c r="IW34" i="1"/>
  <c r="IX34" i="1" a="1"/>
  <c r="IX34" i="1" s="1"/>
  <c r="IV34" i="1" s="1" a="1"/>
  <c r="IV34" i="1" s="1"/>
  <c r="IY34" i="1" s="1"/>
  <c r="JC34" i="1"/>
  <c r="JD34" i="1" a="1"/>
  <c r="JD34" i="1" s="1"/>
  <c r="JI34" i="1"/>
  <c r="JJ34" i="1" a="1"/>
  <c r="JJ34" i="1" s="1"/>
  <c r="JO34" i="1"/>
  <c r="JP34" i="1" a="1"/>
  <c r="JP34" i="1" s="1"/>
  <c r="JU34" i="1"/>
  <c r="JV34" i="1" a="1"/>
  <c r="JV34" i="1" s="1"/>
  <c r="KA34" i="1"/>
  <c r="KB34" i="1" a="1"/>
  <c r="KB34" i="1" s="1"/>
  <c r="KG34" i="1"/>
  <c r="KH34" i="1" a="1"/>
  <c r="KH34" i="1" s="1"/>
  <c r="KM34" i="1"/>
  <c r="KN34" i="1" a="1"/>
  <c r="KN34" i="1" s="1"/>
  <c r="KS34" i="1"/>
  <c r="KT34" i="1" a="1"/>
  <c r="KT34" i="1" s="1"/>
  <c r="KY34" i="1"/>
  <c r="KZ34" i="1" a="1"/>
  <c r="KZ34" i="1" s="1"/>
  <c r="LE34" i="1"/>
  <c r="LF34" i="1" a="1"/>
  <c r="LF34" i="1" s="1"/>
  <c r="LK34" i="1"/>
  <c r="LL34" i="1" a="1"/>
  <c r="LL34" i="1" s="1"/>
  <c r="LQ34" i="1"/>
  <c r="LR34" i="1" a="1"/>
  <c r="LR34" i="1" s="1"/>
  <c r="LW34" i="1"/>
  <c r="LX34" i="1" a="1"/>
  <c r="LX34" i="1" s="1"/>
  <c r="MC34" i="1"/>
  <c r="MD34" i="1" a="1"/>
  <c r="MD34" i="1" s="1"/>
  <c r="MB34" i="1" s="1" a="1"/>
  <c r="MB34" i="1" s="1"/>
  <c r="ME34" i="1" s="1"/>
  <c r="MI34" i="1"/>
  <c r="MJ34" i="1" a="1"/>
  <c r="MJ34" i="1" s="1"/>
  <c r="MO34" i="1"/>
  <c r="MP34" i="1" a="1"/>
  <c r="MP34" i="1" s="1"/>
  <c r="MN34" i="1" s="1" a="1"/>
  <c r="MN34" i="1" s="1"/>
  <c r="MQ34" i="1" s="1"/>
  <c r="MU34" i="1"/>
  <c r="MV34" i="1" a="1"/>
  <c r="MV34" i="1" s="1"/>
  <c r="NA34" i="1"/>
  <c r="NB34" i="1" a="1"/>
  <c r="NB34" i="1" s="1"/>
  <c r="NG34" i="1"/>
  <c r="NH34" i="1" a="1"/>
  <c r="NH34" i="1" s="1"/>
  <c r="NM34" i="1"/>
  <c r="NN34" i="1" a="1"/>
  <c r="NN34" i="1" s="1"/>
  <c r="NS34" i="1"/>
  <c r="NT34" i="1" a="1"/>
  <c r="NT34" i="1" s="1"/>
  <c r="NY34" i="1"/>
  <c r="NZ34" i="1" a="1"/>
  <c r="NZ34" i="1" s="1"/>
  <c r="OE34" i="1"/>
  <c r="OF34" i="1" a="1"/>
  <c r="OF34" i="1" s="1"/>
  <c r="OK34" i="1"/>
  <c r="OL34" i="1" a="1"/>
  <c r="OL34" i="1" s="1"/>
  <c r="OQ34" i="1"/>
  <c r="OR34" i="1" a="1"/>
  <c r="OR34" i="1" s="1"/>
  <c r="OW34" i="1"/>
  <c r="OX34" i="1" a="1"/>
  <c r="OX34" i="1" s="1"/>
  <c r="PC34" i="1"/>
  <c r="PD34" i="1" a="1"/>
  <c r="PD34" i="1" s="1"/>
  <c r="PI34" i="1"/>
  <c r="PJ34" i="1" a="1"/>
  <c r="PJ34" i="1" s="1"/>
  <c r="PO34" i="1"/>
  <c r="PP34" i="1" a="1"/>
  <c r="PP34" i="1" s="1"/>
  <c r="PU34" i="1"/>
  <c r="PV34" i="1" a="1"/>
  <c r="PV34" i="1" s="1"/>
  <c r="PT34" i="1" s="1" a="1"/>
  <c r="PT34" i="1" s="1"/>
  <c r="PW34" i="1" s="1"/>
  <c r="QA34" i="1"/>
  <c r="QB34" i="1" a="1"/>
  <c r="QB34" i="1" s="1"/>
  <c r="QG34" i="1"/>
  <c r="QH34" i="1" a="1"/>
  <c r="QH34" i="1" s="1"/>
  <c r="QF34" i="1" s="1" a="1"/>
  <c r="QF34" i="1" s="1"/>
  <c r="QI34" i="1" s="1"/>
  <c r="QM34" i="1"/>
  <c r="QN34" i="1" a="1"/>
  <c r="QN34" i="1" s="1"/>
  <c r="QS34" i="1"/>
  <c r="QT34" i="1" a="1"/>
  <c r="QT34" i="1" s="1"/>
  <c r="QY34" i="1"/>
  <c r="QZ34" i="1" a="1"/>
  <c r="QZ34" i="1" s="1"/>
  <c r="RE34" i="1"/>
  <c r="RF34" i="1" a="1"/>
  <c r="RF34" i="1" s="1"/>
  <c r="RK34" i="1"/>
  <c r="RL34" i="1" a="1"/>
  <c r="RL34" i="1" s="1"/>
  <c r="RQ34" i="1"/>
  <c r="RR34" i="1" a="1"/>
  <c r="RR34" i="1" s="1"/>
  <c r="RW34" i="1"/>
  <c r="RX34" i="1" a="1"/>
  <c r="RX34" i="1" s="1"/>
  <c r="SC34" i="1"/>
  <c r="SD34" i="1" a="1"/>
  <c r="SD34" i="1" s="1"/>
  <c r="SI34" i="1"/>
  <c r="SJ34" i="1" a="1"/>
  <c r="SJ34" i="1" s="1"/>
  <c r="SO34" i="1"/>
  <c r="SP34" i="1" a="1"/>
  <c r="SP34" i="1" s="1"/>
  <c r="SU34" i="1"/>
  <c r="SV34" i="1" a="1"/>
  <c r="SV34" i="1" s="1"/>
  <c r="TA34" i="1"/>
  <c r="TB34" i="1" a="1"/>
  <c r="TB34" i="1" s="1"/>
  <c r="TG34" i="1"/>
  <c r="TH34" i="1" a="1"/>
  <c r="TH34" i="1" s="1"/>
  <c r="TM34" i="1"/>
  <c r="TN34" i="1" a="1"/>
  <c r="TN34" i="1" s="1"/>
  <c r="TS34" i="1"/>
  <c r="TT34" i="1" a="1"/>
  <c r="TT34" i="1" s="1"/>
  <c r="TY34" i="1"/>
  <c r="TZ34" i="1" a="1"/>
  <c r="TZ34" i="1" s="1"/>
  <c r="UE34" i="1"/>
  <c r="UF34" i="1" a="1"/>
  <c r="UF34" i="1" s="1"/>
  <c r="UK34" i="1"/>
  <c r="UL34" i="1" a="1"/>
  <c r="UL34" i="1" s="1"/>
  <c r="UQ34" i="1"/>
  <c r="UR34" i="1" a="1"/>
  <c r="UR34" i="1" s="1"/>
  <c r="UW34" i="1"/>
  <c r="UX34" i="1" a="1"/>
  <c r="UX34" i="1" s="1"/>
  <c r="VC34" i="1"/>
  <c r="VD34" i="1" a="1"/>
  <c r="VD34" i="1" s="1"/>
  <c r="VI34" i="1"/>
  <c r="VJ34" i="1" a="1"/>
  <c r="VJ34" i="1" s="1"/>
  <c r="VH34" i="1" s="1" a="1"/>
  <c r="VH34" i="1" s="1"/>
  <c r="VK34" i="1" s="1"/>
  <c r="VO34" i="1"/>
  <c r="VP34" i="1" a="1"/>
  <c r="VP34" i="1" s="1"/>
  <c r="VU34" i="1"/>
  <c r="VV34" i="1" a="1"/>
  <c r="VV34" i="1" s="1"/>
  <c r="VT34" i="1" s="1" a="1"/>
  <c r="VT34" i="1" s="1"/>
  <c r="VW34" i="1" s="1"/>
  <c r="WA34" i="1"/>
  <c r="WB34" i="1" a="1"/>
  <c r="WB34" i="1" s="1"/>
  <c r="WG34" i="1"/>
  <c r="WH34" i="1" a="1"/>
  <c r="WH34" i="1" s="1"/>
  <c r="WM34" i="1"/>
  <c r="WN34" i="1" a="1"/>
  <c r="WN34" i="1" s="1"/>
  <c r="WS34" i="1"/>
  <c r="WT34" i="1" a="1"/>
  <c r="WT34" i="1" s="1"/>
  <c r="WY34" i="1"/>
  <c r="WZ34" i="1" a="1"/>
  <c r="WZ34" i="1" s="1"/>
  <c r="XE34" i="1"/>
  <c r="XF34" i="1" a="1"/>
  <c r="XF34" i="1" s="1"/>
  <c r="XK34" i="1"/>
  <c r="XL34" i="1" a="1"/>
  <c r="XL34" i="1" s="1"/>
  <c r="XQ34" i="1"/>
  <c r="XR34" i="1" a="1"/>
  <c r="XR34" i="1" s="1"/>
  <c r="XP34" i="1" s="1" a="1"/>
  <c r="XP34" i="1" s="1"/>
  <c r="XS34" i="1" s="1"/>
  <c r="XW34" i="1"/>
  <c r="XX34" i="1" a="1"/>
  <c r="XX34" i="1" s="1"/>
  <c r="YC34" i="1"/>
  <c r="YD34" i="1" a="1"/>
  <c r="YD34" i="1" s="1"/>
  <c r="YI34" i="1"/>
  <c r="YJ34" i="1" a="1"/>
  <c r="YJ34" i="1" s="1"/>
  <c r="YO34" i="1"/>
  <c r="YP34" i="1" a="1"/>
  <c r="YP34" i="1" s="1"/>
  <c r="YU34" i="1"/>
  <c r="YV34" i="1" a="1"/>
  <c r="YV34" i="1" s="1"/>
  <c r="ZA34" i="1"/>
  <c r="ZB34" i="1" a="1"/>
  <c r="ZB34" i="1" s="1"/>
  <c r="ZG34" i="1"/>
  <c r="ZH34" i="1" a="1"/>
  <c r="ZH34" i="1" s="1"/>
  <c r="ZM34" i="1"/>
  <c r="ZN34" i="1" a="1"/>
  <c r="ZN34" i="1" s="1"/>
  <c r="ZS34" i="1"/>
  <c r="ZT34" i="1" a="1"/>
  <c r="ZT34" i="1" s="1"/>
  <c r="ZY34" i="1"/>
  <c r="ZZ34" i="1" a="1"/>
  <c r="ZZ34" i="1" s="1"/>
  <c r="AAE34" i="1"/>
  <c r="AAF34" i="1" a="1"/>
  <c r="AAF34" i="1" s="1"/>
  <c r="AAK34" i="1"/>
  <c r="AAL34" i="1" a="1"/>
  <c r="AAL34" i="1" s="1"/>
  <c r="AAQ34" i="1"/>
  <c r="AAR34" i="1" a="1"/>
  <c r="AAR34" i="1" s="1"/>
  <c r="AAW34" i="1"/>
  <c r="AAX34" i="1" a="1"/>
  <c r="AAX34" i="1" s="1"/>
  <c r="AAV34" i="1" s="1" a="1"/>
  <c r="AAV34" i="1" s="1"/>
  <c r="AAY34" i="1" s="1"/>
  <c r="ABC34" i="1"/>
  <c r="ABD34" i="1" a="1"/>
  <c r="ABD34" i="1" s="1"/>
  <c r="ABI34" i="1"/>
  <c r="ABJ34" i="1" a="1"/>
  <c r="ABJ34" i="1" s="1"/>
  <c r="ABH34" i="1" s="1" a="1"/>
  <c r="ABH34" i="1" s="1"/>
  <c r="ABK34" i="1" s="1"/>
  <c r="ABO34" i="1"/>
  <c r="ABP34" i="1" a="1"/>
  <c r="ABP34" i="1" s="1"/>
  <c r="ABU34" i="1"/>
  <c r="ABV34" i="1" a="1"/>
  <c r="ABV34" i="1" s="1"/>
  <c r="ACA34" i="1"/>
  <c r="ACB34" i="1" a="1"/>
  <c r="ACB34" i="1" s="1"/>
  <c r="ACG34" i="1"/>
  <c r="ACH34" i="1" a="1"/>
  <c r="ACH34" i="1" s="1"/>
  <c r="ACM34" i="1"/>
  <c r="ACN34" i="1" a="1"/>
  <c r="ACN34" i="1" s="1"/>
  <c r="ACS34" i="1"/>
  <c r="ACT34" i="1" a="1"/>
  <c r="ACT34" i="1" s="1"/>
  <c r="ACY34" i="1"/>
  <c r="ACZ34" i="1" a="1"/>
  <c r="ACZ34" i="1" s="1"/>
  <c r="ADE34" i="1"/>
  <c r="ADF34" i="1" a="1"/>
  <c r="ADF34" i="1" s="1"/>
  <c r="ADK34" i="1"/>
  <c r="ADL34" i="1" a="1"/>
  <c r="ADL34" i="1" s="1"/>
  <c r="ADQ34" i="1"/>
  <c r="ADR34" i="1" a="1"/>
  <c r="ADR34" i="1" s="1"/>
  <c r="ADW34" i="1"/>
  <c r="ADX34" i="1" a="1"/>
  <c r="ADX34" i="1" s="1"/>
  <c r="AEC34" i="1"/>
  <c r="AED34" i="1" a="1"/>
  <c r="AED34" i="1" s="1"/>
  <c r="AEI34" i="1"/>
  <c r="AEJ34" i="1" a="1"/>
  <c r="AEJ34" i="1" s="1"/>
  <c r="AEO34" i="1"/>
  <c r="AEP34" i="1" a="1"/>
  <c r="AEP34" i="1" s="1"/>
  <c r="AEU34" i="1"/>
  <c r="AEV34" i="1" a="1"/>
  <c r="AEV34" i="1" s="1"/>
  <c r="AFA34" i="1"/>
  <c r="AFB34" i="1" a="1"/>
  <c r="AFB34" i="1" s="1"/>
  <c r="AFG34" i="1"/>
  <c r="AFH34" i="1" a="1"/>
  <c r="AFH34" i="1" s="1"/>
  <c r="AFM34" i="1"/>
  <c r="AFN34" i="1" a="1"/>
  <c r="AFN34" i="1" s="1"/>
  <c r="AFS34" i="1"/>
  <c r="AFT34" i="1" a="1"/>
  <c r="AFT34" i="1" s="1"/>
  <c r="AFY34" i="1"/>
  <c r="AFZ34" i="1" a="1"/>
  <c r="AFZ34" i="1" s="1"/>
  <c r="AGE34" i="1"/>
  <c r="AGF34" i="1" a="1"/>
  <c r="AGF34" i="1" s="1"/>
  <c r="AGK34" i="1"/>
  <c r="AGL34" i="1" a="1"/>
  <c r="AGL34" i="1" s="1"/>
  <c r="AGQ34" i="1"/>
  <c r="AGR34" i="1" a="1"/>
  <c r="AGR34" i="1" s="1"/>
  <c r="AGW34" i="1"/>
  <c r="AGX34" i="1" a="1"/>
  <c r="AGX34" i="1" s="1"/>
  <c r="AHC34" i="1"/>
  <c r="AHD34" i="1" a="1"/>
  <c r="AHD34" i="1" s="1"/>
  <c r="AHI34" i="1"/>
  <c r="AHJ34" i="1" a="1"/>
  <c r="AHJ34" i="1" s="1"/>
  <c r="AHO34" i="1"/>
  <c r="AHP34" i="1" a="1"/>
  <c r="AHP34" i="1" s="1"/>
  <c r="AHU34" i="1"/>
  <c r="AHV34" i="1" a="1"/>
  <c r="AHV34" i="1" s="1"/>
  <c r="AIA34" i="1"/>
  <c r="AIB34" i="1" a="1"/>
  <c r="AIB34" i="1" s="1"/>
  <c r="AIG34" i="1"/>
  <c r="AIH34" i="1" a="1"/>
  <c r="AIH34" i="1" s="1"/>
  <c r="AIM34" i="1"/>
  <c r="AIN34" i="1" a="1"/>
  <c r="AIN34" i="1" s="1"/>
  <c r="AIS34" i="1"/>
  <c r="AIT34" i="1" a="1"/>
  <c r="AIT34" i="1" s="1"/>
  <c r="AIY34" i="1"/>
  <c r="AIZ34" i="1" a="1"/>
  <c r="AIZ34" i="1" s="1"/>
  <c r="AJE34" i="1"/>
  <c r="AJF34" i="1" a="1"/>
  <c r="AJF34" i="1" s="1"/>
  <c r="AJK34" i="1"/>
  <c r="AJL34" i="1" a="1"/>
  <c r="AJL34" i="1" s="1"/>
  <c r="AJQ34" i="1"/>
  <c r="AJR34" i="1" a="1"/>
  <c r="AJR34" i="1" s="1"/>
  <c r="AJW34" i="1"/>
  <c r="AJX34" i="1" a="1"/>
  <c r="AJX34" i="1" s="1"/>
  <c r="AKC34" i="1"/>
  <c r="AKD34" i="1" a="1"/>
  <c r="AKD34" i="1" s="1"/>
  <c r="AKB34" i="1" s="1" a="1"/>
  <c r="AKB34" i="1" s="1"/>
  <c r="AKE34" i="1" s="1"/>
  <c r="AKI34" i="1"/>
  <c r="AKJ34" i="1" a="1"/>
  <c r="AKJ34" i="1" s="1"/>
  <c r="AKO34" i="1"/>
  <c r="AKP34" i="1" a="1"/>
  <c r="AKP34" i="1" s="1"/>
  <c r="AKU34" i="1"/>
  <c r="AKV34" i="1" a="1"/>
  <c r="AKV34" i="1" s="1"/>
  <c r="ALA34" i="1"/>
  <c r="ALB34" i="1" a="1"/>
  <c r="ALB34" i="1" s="1"/>
  <c r="ALG34" i="1"/>
  <c r="ALH34" i="1" a="1"/>
  <c r="ALH34" i="1" s="1"/>
  <c r="ALM34" i="1"/>
  <c r="ALN34" i="1" a="1"/>
  <c r="ALN34" i="1" s="1"/>
  <c r="ALS34" i="1"/>
  <c r="ALT34" i="1" a="1"/>
  <c r="ALT34" i="1" s="1"/>
  <c r="ALY34" i="1"/>
  <c r="ALZ34" i="1" a="1"/>
  <c r="ALZ34" i="1" s="1"/>
  <c r="AME34" i="1"/>
  <c r="AMF34" i="1" a="1"/>
  <c r="AMF34" i="1" s="1"/>
  <c r="AMK34" i="1"/>
  <c r="AML34" i="1" a="1"/>
  <c r="AML34" i="1" s="1"/>
  <c r="AMR34" i="1" a="1"/>
  <c r="AMR34" i="1" s="1"/>
  <c r="K34" i="1"/>
  <c r="E34" i="1"/>
  <c r="F22" i="1" l="1"/>
  <c r="C76" i="1"/>
  <c r="WF34" i="1" a="1"/>
  <c r="WF34" i="1" s="1"/>
  <c r="WI34" i="1" s="1"/>
  <c r="SZ34" i="1" a="1"/>
  <c r="SZ34" i="1" s="1"/>
  <c r="TC34" i="1" s="1"/>
  <c r="ABT34" i="1" a="1"/>
  <c r="ABT34" i="1" s="1"/>
  <c r="ABW34" i="1" s="1"/>
  <c r="ACR34" i="1" a="1"/>
  <c r="ACR34" i="1" s="1"/>
  <c r="ACU34" i="1" s="1"/>
  <c r="ZL34" i="1" a="1"/>
  <c r="ZL34" i="1" s="1"/>
  <c r="ZO34" i="1" s="1"/>
  <c r="YZ34" i="1" a="1"/>
  <c r="YZ34" i="1" s="1"/>
  <c r="ZC34" i="1" s="1"/>
  <c r="UJ34" i="1" a="1"/>
  <c r="UJ34" i="1" s="1"/>
  <c r="UM34" i="1" s="1"/>
  <c r="TX34" i="1" a="1"/>
  <c r="TX34" i="1" s="1"/>
  <c r="UA34" i="1" s="1"/>
  <c r="TL34" i="1" a="1"/>
  <c r="TL34" i="1" s="1"/>
  <c r="TO34" i="1" s="1"/>
  <c r="ADD34" i="1" a="1"/>
  <c r="ADD34" i="1" s="1"/>
  <c r="ADG34" i="1" s="1"/>
  <c r="ZX34" i="1" a="1"/>
  <c r="ZX34" i="1" s="1"/>
  <c r="AAA34" i="1" s="1"/>
  <c r="ACF34" i="1" a="1"/>
  <c r="ACF34" i="1" s="1"/>
  <c r="ACI34" i="1" s="1"/>
  <c r="YB34" i="1" a="1"/>
  <c r="YB34" i="1" s="1"/>
  <c r="YE34" i="1" s="1"/>
  <c r="XD34" i="1" a="1"/>
  <c r="XD34" i="1" s="1"/>
  <c r="XG34" i="1" s="1"/>
  <c r="WR34" i="1" a="1"/>
  <c r="WR34" i="1" s="1"/>
  <c r="WU34" i="1" s="1"/>
  <c r="ALL34" i="1" a="1"/>
  <c r="ALL34" i="1" s="1"/>
  <c r="ALO34" i="1" s="1"/>
  <c r="AKN34" i="1" a="1"/>
  <c r="AKN34" i="1" s="1"/>
  <c r="AKQ34" i="1" s="1"/>
  <c r="ALX34" i="1" a="1"/>
  <c r="ALX34" i="1" s="1"/>
  <c r="AMA34" i="1" s="1"/>
  <c r="AJP34" i="1" a="1"/>
  <c r="AJP34" i="1" s="1"/>
  <c r="AJS34" i="1" s="1"/>
  <c r="AGV34" i="1" a="1"/>
  <c r="AGV34" i="1" s="1"/>
  <c r="AGY34" i="1" s="1"/>
  <c r="AAJ34" i="1" a="1"/>
  <c r="AAJ34" i="1" s="1"/>
  <c r="AAM34" i="1" s="1"/>
  <c r="YN34" i="1" a="1"/>
  <c r="YN34" i="1" s="1"/>
  <c r="YQ34" i="1" s="1"/>
  <c r="UV34" i="1" a="1"/>
  <c r="UV34" i="1" s="1"/>
  <c r="UY34" i="1" s="1"/>
  <c r="R20" i="1"/>
  <c r="B75" i="1" s="1"/>
  <c r="L23" i="1"/>
  <c r="C78" i="1" s="1"/>
  <c r="AHH34" i="1" a="1"/>
  <c r="AHH34" i="1" s="1"/>
  <c r="AHK34" i="1" s="1"/>
  <c r="AKZ34" i="1" a="1"/>
  <c r="AKZ34" i="1" s="1"/>
  <c r="ALC34" i="1" s="1"/>
  <c r="AHT34" i="1" a="1"/>
  <c r="AHT34" i="1" s="1"/>
  <c r="AHW34" i="1" s="1"/>
  <c r="AFL34" i="1" a="1"/>
  <c r="AFL34" i="1" s="1"/>
  <c r="AFO34" i="1" s="1"/>
  <c r="AEB34" i="1" a="1"/>
  <c r="AEB34" i="1" s="1"/>
  <c r="AEE34" i="1" s="1"/>
  <c r="AEN34" i="1" a="1"/>
  <c r="AEN34" i="1" s="1"/>
  <c r="AEQ34" i="1" s="1"/>
  <c r="AJD34" i="1" a="1"/>
  <c r="AJD34" i="1" s="1"/>
  <c r="AJG34" i="1" s="1"/>
  <c r="AGJ34" i="1" a="1"/>
  <c r="AGJ34" i="1" s="1"/>
  <c r="AGM34" i="1" s="1"/>
  <c r="AFX34" i="1" a="1"/>
  <c r="AFX34" i="1" s="1"/>
  <c r="AGA34" i="1" s="1"/>
  <c r="AIF34" i="1" a="1"/>
  <c r="AIF34" i="1" s="1"/>
  <c r="AII34" i="1" s="1"/>
  <c r="SB34" i="1" a="1"/>
  <c r="SB34" i="1" s="1"/>
  <c r="SE34" i="1" s="1"/>
  <c r="OV34" i="1" a="1"/>
  <c r="OV34" i="1" s="1"/>
  <c r="OY34" i="1" s="1"/>
  <c r="NX34" i="1" a="1"/>
  <c r="NX34" i="1" s="1"/>
  <c r="OA34" i="1" s="1"/>
  <c r="KR34" i="1" a="1"/>
  <c r="KR34" i="1" s="1"/>
  <c r="KU34" i="1" s="1"/>
  <c r="RD34" i="1" a="1"/>
  <c r="RD34" i="1" s="1"/>
  <c r="RG34" i="1" s="1"/>
  <c r="NL34" i="1" a="1"/>
  <c r="NL34" i="1" s="1"/>
  <c r="NO34" i="1" s="1"/>
  <c r="JT34" i="1" a="1"/>
  <c r="JT34" i="1" s="1"/>
  <c r="JW34" i="1" s="1"/>
  <c r="GB34" i="1" a="1"/>
  <c r="GB34" i="1" s="1"/>
  <c r="GE34" i="1" s="1"/>
  <c r="CJ34" i="1" a="1"/>
  <c r="CJ34" i="1" s="1"/>
  <c r="CM34" i="1" s="1"/>
  <c r="AB34" i="1" a="1"/>
  <c r="AB34" i="1" s="1"/>
  <c r="AE34" i="1" s="1"/>
  <c r="QR34" i="1" a="1"/>
  <c r="QR34" i="1" s="1"/>
  <c r="QU34" i="1" s="1"/>
  <c r="JH34" i="1" a="1"/>
  <c r="JH34" i="1" s="1"/>
  <c r="JK34" i="1" s="1"/>
  <c r="BX34" i="1" a="1"/>
  <c r="BX34" i="1" s="1"/>
  <c r="CA34" i="1" s="1"/>
  <c r="MZ34" i="1" a="1"/>
  <c r="MZ34" i="1" s="1"/>
  <c r="NC34" i="1" s="1"/>
  <c r="FP34" i="1" a="1"/>
  <c r="FP34" i="1" s="1"/>
  <c r="FS34" i="1" s="1"/>
  <c r="PH34" i="1" a="1"/>
  <c r="PH34" i="1" s="1"/>
  <c r="PK34" i="1" s="1"/>
  <c r="LP34" i="1" a="1"/>
  <c r="LP34" i="1" s="1"/>
  <c r="LS34" i="1" s="1"/>
  <c r="HX34" i="1" a="1"/>
  <c r="HX34" i="1" s="1"/>
  <c r="IA34" i="1" s="1"/>
  <c r="EF34" i="1" a="1"/>
  <c r="EF34" i="1" s="1"/>
  <c r="EI34" i="1" s="1"/>
  <c r="AZ34" i="1" a="1"/>
  <c r="AZ34" i="1" s="1"/>
  <c r="BC34" i="1" s="1"/>
  <c r="SN34" i="1" a="1"/>
  <c r="SN34" i="1" s="1"/>
  <c r="SQ34" i="1" s="1"/>
  <c r="RP34" i="1" a="1"/>
  <c r="RP34" i="1" s="1"/>
  <c r="RS34" i="1" s="1"/>
  <c r="OJ34" i="1" a="1"/>
  <c r="OJ34" i="1" s="1"/>
  <c r="OM34" i="1" s="1"/>
  <c r="LD34" i="1" a="1"/>
  <c r="LD34" i="1" s="1"/>
  <c r="LG34" i="1" s="1"/>
  <c r="KF34" i="1" a="1"/>
  <c r="KF34" i="1" s="1"/>
  <c r="KI34" i="1" s="1"/>
  <c r="HL34" i="1" a="1"/>
  <c r="HL34" i="1" s="1"/>
  <c r="HO34" i="1" s="1"/>
  <c r="GZ34" i="1" a="1"/>
  <c r="GZ34" i="1" s="1"/>
  <c r="HC34" i="1" s="1"/>
  <c r="GN34" i="1" a="1"/>
  <c r="GN34" i="1" s="1"/>
  <c r="GQ34" i="1" s="1"/>
  <c r="DT34" i="1" a="1"/>
  <c r="DT34" i="1" s="1"/>
  <c r="DW34" i="1" s="1"/>
  <c r="DK34" i="1"/>
  <c r="CV34" i="1" a="1"/>
  <c r="CV34" i="1" s="1"/>
  <c r="CY34" i="1" s="1"/>
  <c r="AN34" i="1" a="1"/>
  <c r="AN34" i="1" s="1"/>
  <c r="AQ34" i="1" s="1"/>
  <c r="AIR34" i="1" a="1"/>
  <c r="AIR34" i="1" s="1"/>
  <c r="AIU34" i="1" s="1"/>
  <c r="AMJ34" i="1" a="1"/>
  <c r="AMJ34" i="1" s="1"/>
  <c r="AMM34" i="1" s="1"/>
  <c r="AEZ34" i="1" a="1"/>
  <c r="AEZ34" i="1" s="1"/>
  <c r="AFC34" i="1" s="1"/>
  <c r="ADP34" i="1" a="1"/>
  <c r="ADP34" i="1" s="1"/>
  <c r="ADS34" i="1" s="1"/>
  <c r="F23" i="1" l="1"/>
  <c r="R21" i="1"/>
  <c r="B76" i="1" s="1"/>
  <c r="L24" i="1"/>
  <c r="C79" i="1" s="1"/>
  <c r="F24" i="1" l="1"/>
  <c r="R22" i="1"/>
  <c r="B77" i="1" s="1"/>
  <c r="L25" i="1"/>
  <c r="C80" i="1" s="1"/>
  <c r="F25" i="1" l="1"/>
  <c r="R23" i="1"/>
  <c r="B78" i="1" s="1"/>
  <c r="L26" i="1"/>
  <c r="C81" i="1" s="1"/>
  <c r="JF25" i="1"/>
  <c r="JL24" i="1"/>
  <c r="JF24" i="1"/>
  <c r="AHR23" i="1"/>
  <c r="ACD23" i="1"/>
  <c r="NJ23" i="1"/>
  <c r="JL23" i="1"/>
  <c r="JF23" i="1"/>
  <c r="AHX22" i="1"/>
  <c r="AHR22" i="1"/>
  <c r="ACJ22" i="1"/>
  <c r="ACD22" i="1"/>
  <c r="AAT22" i="1"/>
  <c r="QV22" i="1"/>
  <c r="QP22" i="1"/>
  <c r="NP22" i="1"/>
  <c r="NJ22" i="1"/>
  <c r="JL22" i="1"/>
  <c r="JF22" i="1"/>
  <c r="AMB21" i="1"/>
  <c r="ALV21" i="1"/>
  <c r="AHX21" i="1"/>
  <c r="AHR21" i="1"/>
  <c r="ACV21" i="1"/>
  <c r="ACP21" i="1"/>
  <c r="ACJ21" i="1"/>
  <c r="ACD21" i="1"/>
  <c r="AAZ21" i="1"/>
  <c r="AAT21" i="1"/>
  <c r="RZ21" i="1"/>
  <c r="RT21" i="1"/>
  <c r="RN21" i="1"/>
  <c r="QV21" i="1"/>
  <c r="QP21" i="1"/>
  <c r="NP21" i="1"/>
  <c r="NJ21" i="1"/>
  <c r="JR21" i="1"/>
  <c r="JL21" i="1"/>
  <c r="JF21" i="1"/>
  <c r="DF21" i="1"/>
  <c r="AMB20" i="1"/>
  <c r="ALV20" i="1"/>
  <c r="AKF20" i="1"/>
  <c r="AJZ20" i="1"/>
  <c r="AHX20" i="1"/>
  <c r="AHR20" i="1"/>
  <c r="AFP20" i="1"/>
  <c r="AFJ20" i="1"/>
  <c r="ACV20" i="1"/>
  <c r="ACP20" i="1"/>
  <c r="ACJ20" i="1"/>
  <c r="ACD20" i="1"/>
  <c r="AAZ20" i="1"/>
  <c r="AAT20" i="1"/>
  <c r="YF20" i="1"/>
  <c r="XZ20" i="1"/>
  <c r="VR20" i="1"/>
  <c r="SF20" i="1"/>
  <c r="RZ20" i="1"/>
  <c r="RT20" i="1"/>
  <c r="RN20" i="1"/>
  <c r="QV20" i="1"/>
  <c r="QP20" i="1"/>
  <c r="NP20" i="1"/>
  <c r="NJ20" i="1"/>
  <c r="KJ20" i="1"/>
  <c r="KD20" i="1"/>
  <c r="JX20" i="1"/>
  <c r="JR20" i="1"/>
  <c r="JL20" i="1"/>
  <c r="JF20" i="1"/>
  <c r="GL20" i="1"/>
  <c r="EP20" i="1"/>
  <c r="DR20" i="1"/>
  <c r="DL20" i="1"/>
  <c r="DF20" i="1"/>
  <c r="BJ20" i="1"/>
  <c r="B20" i="1"/>
  <c r="AMB19" i="1"/>
  <c r="ALV19" i="1"/>
  <c r="ALJ19" i="1"/>
  <c r="AKR19" i="1"/>
  <c r="AKL19" i="1"/>
  <c r="AKF19" i="1"/>
  <c r="AJZ19" i="1"/>
  <c r="AHX19" i="1"/>
  <c r="AHR19" i="1"/>
  <c r="AFV19" i="1"/>
  <c r="AFP19" i="1"/>
  <c r="AFJ19" i="1"/>
  <c r="ACV19" i="1"/>
  <c r="ACP19" i="1"/>
  <c r="ACJ19" i="1"/>
  <c r="ACD19" i="1"/>
  <c r="ABF19" i="1"/>
  <c r="AAZ19" i="1"/>
  <c r="AAT19" i="1"/>
  <c r="ZP19" i="1"/>
  <c r="ZJ19" i="1"/>
  <c r="YF19" i="1"/>
  <c r="XZ19" i="1"/>
  <c r="WP19" i="1"/>
  <c r="WJ19" i="1"/>
  <c r="WD19" i="1"/>
  <c r="VX19" i="1"/>
  <c r="VR19" i="1"/>
  <c r="SF19" i="1"/>
  <c r="RZ19" i="1"/>
  <c r="RT19" i="1"/>
  <c r="RN19" i="1"/>
  <c r="QV19" i="1"/>
  <c r="QP19" i="1"/>
  <c r="NP19" i="1"/>
  <c r="NJ19" i="1"/>
  <c r="LN19" i="1"/>
  <c r="KJ19" i="1"/>
  <c r="KD19" i="1"/>
  <c r="JX19" i="1"/>
  <c r="JR19" i="1"/>
  <c r="JL19" i="1"/>
  <c r="JF19" i="1"/>
  <c r="GR19" i="1"/>
  <c r="GL19" i="1"/>
  <c r="EV19" i="1"/>
  <c r="EP19" i="1"/>
  <c r="ED19" i="1"/>
  <c r="DX19" i="1"/>
  <c r="DR19" i="1"/>
  <c r="DL19" i="1"/>
  <c r="DF19" i="1"/>
  <c r="BV19" i="1"/>
  <c r="BP19" i="1"/>
  <c r="BJ19" i="1"/>
  <c r="Z19" i="1"/>
  <c r="H19" i="1"/>
  <c r="B19" i="1"/>
  <c r="AMN18" i="1"/>
  <c r="AMH18" i="1"/>
  <c r="AMB18" i="1"/>
  <c r="ALV18" i="1"/>
  <c r="ALP18" i="1"/>
  <c r="ALJ18" i="1"/>
  <c r="ALD18" i="1"/>
  <c r="AKX18" i="1"/>
  <c r="AKR18" i="1"/>
  <c r="AKL18" i="1"/>
  <c r="AKF18" i="1"/>
  <c r="AJZ18" i="1"/>
  <c r="AIJ18" i="1"/>
  <c r="AID18" i="1"/>
  <c r="AHX18" i="1"/>
  <c r="AHR18" i="1"/>
  <c r="AHF18" i="1"/>
  <c r="AGB18" i="1"/>
  <c r="AFV18" i="1"/>
  <c r="AFP18" i="1"/>
  <c r="AFJ18" i="1"/>
  <c r="AFD18" i="1"/>
  <c r="AEX18" i="1"/>
  <c r="AER18" i="1"/>
  <c r="AEL18" i="1"/>
  <c r="ACV18" i="1"/>
  <c r="ACP18" i="1"/>
  <c r="ACJ18" i="1"/>
  <c r="ACD18" i="1"/>
  <c r="ABL18" i="1"/>
  <c r="ABF18" i="1"/>
  <c r="AAZ18" i="1"/>
  <c r="AAT18" i="1"/>
  <c r="AAN18" i="1"/>
  <c r="AAH18" i="1"/>
  <c r="ZP18" i="1"/>
  <c r="ZJ18" i="1"/>
  <c r="YF18" i="1"/>
  <c r="XZ18" i="1"/>
  <c r="XB18" i="1"/>
  <c r="WV18" i="1"/>
  <c r="WP18" i="1"/>
  <c r="WJ18" i="1"/>
  <c r="WD18" i="1"/>
  <c r="VX18" i="1"/>
  <c r="VR18" i="1"/>
  <c r="UB18" i="1"/>
  <c r="TV18" i="1"/>
  <c r="TJ18" i="1"/>
  <c r="SF18" i="1"/>
  <c r="RZ18" i="1"/>
  <c r="RT18" i="1"/>
  <c r="RN18" i="1"/>
  <c r="RH18" i="1"/>
  <c r="RB18" i="1"/>
  <c r="QV18" i="1"/>
  <c r="QP18" i="1"/>
  <c r="QD18" i="1"/>
  <c r="PX18" i="1"/>
  <c r="PR18" i="1"/>
  <c r="OB18" i="1"/>
  <c r="NV18" i="1"/>
  <c r="NP18" i="1"/>
  <c r="NJ18" i="1"/>
  <c r="LT18" i="1"/>
  <c r="LN18" i="1"/>
  <c r="KJ18" i="1"/>
  <c r="KD18" i="1"/>
  <c r="JX18" i="1"/>
  <c r="JR18" i="1"/>
  <c r="JL18" i="1"/>
  <c r="JF18" i="1"/>
  <c r="IZ18" i="1"/>
  <c r="IT18" i="1"/>
  <c r="IB18" i="1"/>
  <c r="HV18" i="1"/>
  <c r="GR18" i="1"/>
  <c r="GL18" i="1"/>
  <c r="GF18" i="1"/>
  <c r="FZ18" i="1"/>
  <c r="EV18" i="1"/>
  <c r="EP18" i="1"/>
  <c r="EJ18" i="1"/>
  <c r="ED18" i="1"/>
  <c r="DX18" i="1"/>
  <c r="DR18" i="1"/>
  <c r="DL18" i="1"/>
  <c r="DF18" i="1"/>
  <c r="CH18" i="1"/>
  <c r="CB18" i="1"/>
  <c r="BV18" i="1"/>
  <c r="BP18" i="1"/>
  <c r="BJ18" i="1"/>
  <c r="AL18" i="1"/>
  <c r="AF18" i="1"/>
  <c r="Z18" i="1"/>
  <c r="N18" i="1"/>
  <c r="H18" i="1"/>
  <c r="B18" i="1"/>
  <c r="AMN17" i="1"/>
  <c r="AMH17" i="1"/>
  <c r="AMB17" i="1"/>
  <c r="ALV17" i="1"/>
  <c r="ALP17" i="1"/>
  <c r="ALJ17" i="1"/>
  <c r="ALD17" i="1"/>
  <c r="AKX17" i="1"/>
  <c r="AKR17" i="1"/>
  <c r="AKL17" i="1"/>
  <c r="AKF17" i="1"/>
  <c r="AJZ17" i="1"/>
  <c r="AIP17" i="1"/>
  <c r="AIJ17" i="1"/>
  <c r="AID17" i="1"/>
  <c r="AHX17" i="1"/>
  <c r="AHR17" i="1"/>
  <c r="AHL17" i="1"/>
  <c r="AHF17" i="1"/>
  <c r="AGZ17" i="1"/>
  <c r="AGT17" i="1"/>
  <c r="AGH17" i="1"/>
  <c r="AGB17" i="1"/>
  <c r="AFV17" i="1"/>
  <c r="AFP17" i="1"/>
  <c r="AFJ17" i="1"/>
  <c r="AFD17" i="1"/>
  <c r="AEX17" i="1"/>
  <c r="AER17" i="1"/>
  <c r="AEL17" i="1"/>
  <c r="ADB17" i="1"/>
  <c r="ACV17" i="1"/>
  <c r="ACP17" i="1"/>
  <c r="ACJ17" i="1"/>
  <c r="ACD17" i="1"/>
  <c r="ABR17" i="1"/>
  <c r="ABL17" i="1"/>
  <c r="ABF17" i="1"/>
  <c r="AAZ17" i="1"/>
  <c r="AAT17" i="1"/>
  <c r="AAN17" i="1"/>
  <c r="AAH17" i="1"/>
  <c r="AAB17" i="1"/>
  <c r="ZV17" i="1"/>
  <c r="ZP17" i="1"/>
  <c r="ZJ17" i="1"/>
  <c r="YF17" i="1"/>
  <c r="XZ17" i="1"/>
  <c r="XH17" i="1"/>
  <c r="XB17" i="1"/>
  <c r="WV17" i="1"/>
  <c r="WP17" i="1"/>
  <c r="WJ17" i="1"/>
  <c r="WD17" i="1"/>
  <c r="VX17" i="1"/>
  <c r="VR17" i="1"/>
  <c r="UZ17" i="1"/>
  <c r="UT17" i="1"/>
  <c r="UH17" i="1"/>
  <c r="UB17" i="1"/>
  <c r="TV17" i="1"/>
  <c r="TP17" i="1"/>
  <c r="TJ17" i="1"/>
  <c r="SX17" i="1"/>
  <c r="SR17" i="1"/>
  <c r="SL17" i="1"/>
  <c r="SF17" i="1"/>
  <c r="RZ17" i="1"/>
  <c r="RT17" i="1"/>
  <c r="RN17" i="1"/>
  <c r="RH17" i="1"/>
  <c r="RB17" i="1"/>
  <c r="QV17" i="1"/>
  <c r="QP17" i="1"/>
  <c r="QJ17" i="1"/>
  <c r="QD17" i="1"/>
  <c r="PX17" i="1"/>
  <c r="PR17" i="1"/>
  <c r="OZ17" i="1"/>
  <c r="OT17" i="1"/>
  <c r="OB17" i="1"/>
  <c r="NV17" i="1"/>
  <c r="NP17" i="1"/>
  <c r="NJ17" i="1"/>
  <c r="ND17" i="1"/>
  <c r="MX17" i="1"/>
  <c r="LT17" i="1"/>
  <c r="LN17" i="1"/>
  <c r="LH17" i="1"/>
  <c r="LB17" i="1"/>
  <c r="KJ17" i="1"/>
  <c r="KD17" i="1"/>
  <c r="JX17" i="1"/>
  <c r="JR17" i="1"/>
  <c r="JL17" i="1"/>
  <c r="JF17" i="1"/>
  <c r="IZ17" i="1"/>
  <c r="IT17" i="1"/>
  <c r="IH17" i="1"/>
  <c r="IB17" i="1"/>
  <c r="HV17" i="1"/>
  <c r="GX17" i="1"/>
  <c r="GR17" i="1"/>
  <c r="GL17" i="1"/>
  <c r="GF17" i="1"/>
  <c r="FZ17" i="1"/>
  <c r="FB17" i="1"/>
  <c r="EV17" i="1"/>
  <c r="EP17" i="1"/>
  <c r="EJ17" i="1"/>
  <c r="ED17" i="1"/>
  <c r="DX17" i="1"/>
  <c r="DR17" i="1"/>
  <c r="DL17" i="1"/>
  <c r="DF17" i="1"/>
  <c r="CT17" i="1"/>
  <c r="CN17" i="1"/>
  <c r="CH17" i="1"/>
  <c r="CB17" i="1"/>
  <c r="BV17" i="1"/>
  <c r="BP17" i="1"/>
  <c r="BJ17" i="1"/>
  <c r="AR17" i="1"/>
  <c r="AL17" i="1"/>
  <c r="AF17" i="1"/>
  <c r="Z17" i="1"/>
  <c r="T17" i="1"/>
  <c r="N17" i="1"/>
  <c r="H17" i="1"/>
  <c r="B17" i="1"/>
  <c r="AMN16" i="1"/>
  <c r="AMH16" i="1"/>
  <c r="AMB16" i="1"/>
  <c r="ALV16" i="1"/>
  <c r="ALP16" i="1"/>
  <c r="ALJ16" i="1"/>
  <c r="ALD16" i="1"/>
  <c r="AKX16" i="1"/>
  <c r="AKR16" i="1"/>
  <c r="AKL16" i="1"/>
  <c r="AKF16" i="1"/>
  <c r="AJZ16" i="1"/>
  <c r="AJT16" i="1"/>
  <c r="AJN16" i="1"/>
  <c r="AJH16" i="1"/>
  <c r="AJB16" i="1"/>
  <c r="AIV16" i="1"/>
  <c r="AIP16" i="1"/>
  <c r="AIJ16" i="1"/>
  <c r="AID16" i="1"/>
  <c r="AHX16" i="1"/>
  <c r="AHR16" i="1"/>
  <c r="AHL16" i="1"/>
  <c r="AHF16" i="1"/>
  <c r="AGZ16" i="1"/>
  <c r="AGT16" i="1"/>
  <c r="AGN16" i="1"/>
  <c r="AGH16" i="1"/>
  <c r="AGB16" i="1"/>
  <c r="AFV16" i="1"/>
  <c r="AFP16" i="1"/>
  <c r="AFJ16" i="1"/>
  <c r="AFD16" i="1"/>
  <c r="AEX16" i="1"/>
  <c r="AER16" i="1"/>
  <c r="AEL16" i="1"/>
  <c r="ADZ16" i="1"/>
  <c r="ADH16" i="1"/>
  <c r="ADB16" i="1"/>
  <c r="ACV16" i="1"/>
  <c r="ACP16" i="1"/>
  <c r="ACJ16" i="1"/>
  <c r="ACD16" i="1"/>
  <c r="ABX16" i="1"/>
  <c r="ABR16" i="1"/>
  <c r="ABL16" i="1"/>
  <c r="ABF16" i="1"/>
  <c r="AAZ16" i="1"/>
  <c r="AAT16" i="1"/>
  <c r="AAN16" i="1"/>
  <c r="AAH16" i="1"/>
  <c r="AAB16" i="1"/>
  <c r="ZV16" i="1"/>
  <c r="ZP16" i="1"/>
  <c r="ZJ16" i="1"/>
  <c r="YX16" i="1"/>
  <c r="YR16" i="1"/>
  <c r="YL16" i="1"/>
  <c r="YF16" i="1"/>
  <c r="XZ16" i="1"/>
  <c r="XT16" i="1"/>
  <c r="XN16" i="1"/>
  <c r="XH16" i="1"/>
  <c r="XB16" i="1"/>
  <c r="WV16" i="1"/>
  <c r="WP16" i="1"/>
  <c r="WJ16" i="1"/>
  <c r="WD16" i="1"/>
  <c r="VX16" i="1"/>
  <c r="VR16" i="1"/>
  <c r="VL16" i="1"/>
  <c r="VF16" i="1"/>
  <c r="UZ16" i="1"/>
  <c r="UT16" i="1"/>
  <c r="UN16" i="1"/>
  <c r="UH16" i="1"/>
  <c r="UB16" i="1"/>
  <c r="TV16" i="1"/>
  <c r="TP16" i="1"/>
  <c r="TJ16" i="1"/>
  <c r="TD16" i="1"/>
  <c r="SX16" i="1"/>
  <c r="SR16" i="1"/>
  <c r="SL16" i="1"/>
  <c r="SF16" i="1"/>
  <c r="RZ16" i="1"/>
  <c r="RT16" i="1"/>
  <c r="RN16" i="1"/>
  <c r="RH16" i="1"/>
  <c r="RB16" i="1"/>
  <c r="QV16" i="1"/>
  <c r="QP16" i="1"/>
  <c r="QJ16" i="1"/>
  <c r="QD16" i="1"/>
  <c r="PX16" i="1"/>
  <c r="PR16" i="1"/>
  <c r="PF16" i="1"/>
  <c r="OZ16" i="1"/>
  <c r="OT16" i="1"/>
  <c r="ON16" i="1"/>
  <c r="OH16" i="1"/>
  <c r="OB16" i="1"/>
  <c r="NV16" i="1"/>
  <c r="NP16" i="1"/>
  <c r="NJ16" i="1"/>
  <c r="ND16" i="1"/>
  <c r="MX16" i="1"/>
  <c r="ML16" i="1"/>
  <c r="LT16" i="1"/>
  <c r="LN16" i="1"/>
  <c r="LH16" i="1"/>
  <c r="LB16" i="1"/>
  <c r="KP16" i="1"/>
  <c r="KJ16" i="1"/>
  <c r="KD16" i="1"/>
  <c r="JX16" i="1"/>
  <c r="JR16" i="1"/>
  <c r="JL16" i="1"/>
  <c r="JF16" i="1"/>
  <c r="IZ16" i="1"/>
  <c r="IT16" i="1"/>
  <c r="IN16" i="1"/>
  <c r="IH16" i="1"/>
  <c r="IB16" i="1"/>
  <c r="HV16" i="1"/>
  <c r="HJ16" i="1"/>
  <c r="HD16" i="1"/>
  <c r="GX16" i="1"/>
  <c r="GR16" i="1"/>
  <c r="GL16" i="1"/>
  <c r="GF16" i="1"/>
  <c r="FZ16" i="1"/>
  <c r="FH16" i="1"/>
  <c r="FB16" i="1"/>
  <c r="EV16" i="1"/>
  <c r="EP16" i="1"/>
  <c r="EJ16" i="1"/>
  <c r="ED16" i="1"/>
  <c r="DX16" i="1"/>
  <c r="DR16" i="1"/>
  <c r="DL16" i="1"/>
  <c r="DF16" i="1"/>
  <c r="CZ16" i="1"/>
  <c r="CT16" i="1"/>
  <c r="CN16" i="1"/>
  <c r="CH16" i="1"/>
  <c r="CB16" i="1"/>
  <c r="BV16" i="1"/>
  <c r="BP16" i="1"/>
  <c r="BJ16" i="1"/>
  <c r="AR16" i="1"/>
  <c r="AL16" i="1"/>
  <c r="AF16" i="1"/>
  <c r="Z16" i="1"/>
  <c r="T16" i="1"/>
  <c r="N16" i="1"/>
  <c r="H16" i="1"/>
  <c r="B16" i="1"/>
  <c r="AMN15" i="1"/>
  <c r="AMH15" i="1"/>
  <c r="AMB15" i="1"/>
  <c r="ALV15" i="1"/>
  <c r="ALP15" i="1"/>
  <c r="ALJ15" i="1"/>
  <c r="ALD15" i="1"/>
  <c r="AKX15" i="1"/>
  <c r="AKR15" i="1"/>
  <c r="AKL15" i="1"/>
  <c r="AKF15" i="1"/>
  <c r="AJZ15" i="1"/>
  <c r="AJT15" i="1"/>
  <c r="AJN15" i="1"/>
  <c r="AJH15" i="1"/>
  <c r="AJB15" i="1"/>
  <c r="AIV15" i="1"/>
  <c r="AIP15" i="1"/>
  <c r="AIJ15" i="1"/>
  <c r="AID15" i="1"/>
  <c r="AHX15" i="1"/>
  <c r="AHR15" i="1"/>
  <c r="AHL15" i="1"/>
  <c r="AHF15" i="1"/>
  <c r="AGZ15" i="1"/>
  <c r="AGT15" i="1"/>
  <c r="AGN15" i="1"/>
  <c r="AGH15" i="1"/>
  <c r="AGB15" i="1"/>
  <c r="AFV15" i="1"/>
  <c r="AFP15" i="1"/>
  <c r="AFJ15" i="1"/>
  <c r="AFD15" i="1"/>
  <c r="AEX15" i="1"/>
  <c r="AER15" i="1"/>
  <c r="AEL15" i="1"/>
  <c r="AEF15" i="1"/>
  <c r="ADZ15" i="1"/>
  <c r="ADH15" i="1"/>
  <c r="ADB15" i="1"/>
  <c r="ACV15" i="1"/>
  <c r="ACP15" i="1"/>
  <c r="ACJ15" i="1"/>
  <c r="ACD15" i="1"/>
  <c r="ABX15" i="1"/>
  <c r="ABR15" i="1"/>
  <c r="ABL15" i="1"/>
  <c r="ABF15" i="1"/>
  <c r="AAZ15" i="1"/>
  <c r="AAT15" i="1"/>
  <c r="AAN15" i="1"/>
  <c r="AAH15" i="1"/>
  <c r="AAB15" i="1"/>
  <c r="ZV15" i="1"/>
  <c r="ZP15" i="1"/>
  <c r="ZJ15" i="1"/>
  <c r="ZD15" i="1"/>
  <c r="YX15" i="1"/>
  <c r="YR15" i="1"/>
  <c r="YL15" i="1"/>
  <c r="YF15" i="1"/>
  <c r="XZ15" i="1"/>
  <c r="XT15" i="1"/>
  <c r="XN15" i="1"/>
  <c r="XH15" i="1"/>
  <c r="XB15" i="1"/>
  <c r="WV15" i="1"/>
  <c r="WP15" i="1"/>
  <c r="WJ15" i="1"/>
  <c r="WD15" i="1"/>
  <c r="VX15" i="1"/>
  <c r="VR15" i="1"/>
  <c r="VL15" i="1"/>
  <c r="VF15" i="1"/>
  <c r="UZ15" i="1"/>
  <c r="UT15" i="1"/>
  <c r="UN15" i="1"/>
  <c r="UH15" i="1"/>
  <c r="UB15" i="1"/>
  <c r="TV15" i="1"/>
  <c r="TP15" i="1"/>
  <c r="TJ15" i="1"/>
  <c r="TD15" i="1"/>
  <c r="SX15" i="1"/>
  <c r="SR15" i="1"/>
  <c r="SL15" i="1"/>
  <c r="SF15" i="1"/>
  <c r="RZ15" i="1"/>
  <c r="RT15" i="1"/>
  <c r="RN15" i="1"/>
  <c r="RH15" i="1"/>
  <c r="RB15" i="1"/>
  <c r="QV15" i="1"/>
  <c r="QP15" i="1"/>
  <c r="QJ15" i="1"/>
  <c r="QD15" i="1"/>
  <c r="PX15" i="1"/>
  <c r="PR15" i="1"/>
  <c r="PL15" i="1"/>
  <c r="PF15" i="1"/>
  <c r="OZ15" i="1"/>
  <c r="OT15" i="1"/>
  <c r="ON15" i="1"/>
  <c r="OH15" i="1"/>
  <c r="OB15" i="1"/>
  <c r="NV15" i="1"/>
  <c r="NP15" i="1"/>
  <c r="NJ15" i="1"/>
  <c r="ND15" i="1"/>
  <c r="MX15" i="1"/>
  <c r="MR15" i="1"/>
  <c r="ML15" i="1"/>
  <c r="LZ15" i="1"/>
  <c r="LT15" i="1"/>
  <c r="LN15" i="1"/>
  <c r="LH15" i="1"/>
  <c r="LB15" i="1"/>
  <c r="KV15" i="1"/>
  <c r="KP15" i="1"/>
  <c r="KJ15" i="1"/>
  <c r="KD15" i="1"/>
  <c r="JX15" i="1"/>
  <c r="JR15" i="1"/>
  <c r="JL15" i="1"/>
  <c r="JF15" i="1"/>
  <c r="IZ15" i="1"/>
  <c r="IT15" i="1"/>
  <c r="IN15" i="1"/>
  <c r="IH15" i="1"/>
  <c r="IB15" i="1"/>
  <c r="HV15" i="1"/>
  <c r="HP15" i="1"/>
  <c r="HJ15" i="1"/>
  <c r="HD15" i="1"/>
  <c r="GX15" i="1"/>
  <c r="GR15" i="1"/>
  <c r="GL15" i="1"/>
  <c r="GF15" i="1"/>
  <c r="FZ15" i="1"/>
  <c r="FH15" i="1"/>
  <c r="FB15" i="1"/>
  <c r="EV15" i="1"/>
  <c r="EP15" i="1"/>
  <c r="EJ15" i="1"/>
  <c r="ED15" i="1"/>
  <c r="DX15" i="1"/>
  <c r="DR15" i="1"/>
  <c r="DL15" i="1"/>
  <c r="DF15" i="1"/>
  <c r="CZ15" i="1"/>
  <c r="CT15" i="1"/>
  <c r="CN15" i="1"/>
  <c r="CH15" i="1"/>
  <c r="CB15" i="1"/>
  <c r="BV15" i="1"/>
  <c r="BP15" i="1"/>
  <c r="BJ15" i="1"/>
  <c r="BD15" i="1"/>
  <c r="AX15" i="1"/>
  <c r="AR15" i="1"/>
  <c r="AL15" i="1"/>
  <c r="AF15" i="1"/>
  <c r="Z15" i="1"/>
  <c r="T15" i="1"/>
  <c r="N15" i="1"/>
  <c r="H15" i="1"/>
  <c r="B15" i="1"/>
  <c r="AMN14" i="1"/>
  <c r="AMH14" i="1"/>
  <c r="AMB14" i="1"/>
  <c r="ALV14" i="1"/>
  <c r="ALP14" i="1"/>
  <c r="ALJ14" i="1"/>
  <c r="ALD14" i="1"/>
  <c r="AKX14" i="1"/>
  <c r="AKR14" i="1"/>
  <c r="AKL14" i="1"/>
  <c r="AKF14" i="1"/>
  <c r="AJZ14" i="1"/>
  <c r="AJT14" i="1"/>
  <c r="AJN14" i="1"/>
  <c r="AJH14" i="1"/>
  <c r="AJB14" i="1"/>
  <c r="AIV14" i="1"/>
  <c r="AIP14" i="1"/>
  <c r="AIJ14" i="1"/>
  <c r="AID14" i="1"/>
  <c r="AHX14" i="1"/>
  <c r="AHR14" i="1"/>
  <c r="AHL14" i="1"/>
  <c r="AHF14" i="1"/>
  <c r="AGZ14" i="1"/>
  <c r="AGT14" i="1"/>
  <c r="AGN14" i="1"/>
  <c r="AGH14" i="1"/>
  <c r="AGB14" i="1"/>
  <c r="AFV14" i="1"/>
  <c r="AFP14" i="1"/>
  <c r="AFJ14" i="1"/>
  <c r="AFD14" i="1"/>
  <c r="AEX14" i="1"/>
  <c r="AER14" i="1"/>
  <c r="AEL14" i="1"/>
  <c r="AEF14" i="1"/>
  <c r="ADZ14" i="1"/>
  <c r="ADT14" i="1"/>
  <c r="ADN14" i="1"/>
  <c r="ADH14" i="1"/>
  <c r="ADB14" i="1"/>
  <c r="ACV14" i="1"/>
  <c r="ACP14" i="1"/>
  <c r="ACJ14" i="1"/>
  <c r="ACD14" i="1"/>
  <c r="ABX14" i="1"/>
  <c r="ABR14" i="1"/>
  <c r="ABL14" i="1"/>
  <c r="ABF14" i="1"/>
  <c r="AAZ14" i="1"/>
  <c r="AAT14" i="1"/>
  <c r="AAN14" i="1"/>
  <c r="AAH14" i="1"/>
  <c r="AAB14" i="1"/>
  <c r="ZV14" i="1"/>
  <c r="ZP14" i="1"/>
  <c r="ZJ14" i="1"/>
  <c r="ZD14" i="1"/>
  <c r="YX14" i="1"/>
  <c r="YR14" i="1"/>
  <c r="YL14" i="1"/>
  <c r="YF14" i="1"/>
  <c r="XZ14" i="1"/>
  <c r="XT14" i="1"/>
  <c r="XN14" i="1"/>
  <c r="XH14" i="1"/>
  <c r="XB14" i="1"/>
  <c r="WV14" i="1"/>
  <c r="WP14" i="1"/>
  <c r="WJ14" i="1"/>
  <c r="WD14" i="1"/>
  <c r="VX14" i="1"/>
  <c r="VR14" i="1"/>
  <c r="VL14" i="1"/>
  <c r="VF14" i="1"/>
  <c r="UZ14" i="1"/>
  <c r="UT14" i="1"/>
  <c r="UN14" i="1"/>
  <c r="UH14" i="1"/>
  <c r="UB14" i="1"/>
  <c r="TV14" i="1"/>
  <c r="TP14" i="1"/>
  <c r="TJ14" i="1"/>
  <c r="TD14" i="1"/>
  <c r="SX14" i="1"/>
  <c r="SR14" i="1"/>
  <c r="SL14" i="1"/>
  <c r="SF14" i="1"/>
  <c r="RZ14" i="1"/>
  <c r="RT14" i="1"/>
  <c r="RN14" i="1"/>
  <c r="RH14" i="1"/>
  <c r="RB14" i="1"/>
  <c r="QV14" i="1"/>
  <c r="QP14" i="1"/>
  <c r="QJ14" i="1"/>
  <c r="QD14" i="1"/>
  <c r="PX14" i="1"/>
  <c r="PR14" i="1"/>
  <c r="PL14" i="1"/>
  <c r="PF14" i="1"/>
  <c r="OZ14" i="1"/>
  <c r="OT14" i="1"/>
  <c r="ON14" i="1"/>
  <c r="OH14" i="1"/>
  <c r="OB14" i="1"/>
  <c r="NV14" i="1"/>
  <c r="NP14" i="1"/>
  <c r="NJ14" i="1"/>
  <c r="ND14" i="1"/>
  <c r="MX14" i="1"/>
  <c r="MR14" i="1"/>
  <c r="ML14" i="1"/>
  <c r="MF14" i="1"/>
  <c r="LZ14" i="1"/>
  <c r="LT14" i="1"/>
  <c r="LN14" i="1"/>
  <c r="LH14" i="1"/>
  <c r="LB14" i="1"/>
  <c r="KV14" i="1"/>
  <c r="KP14" i="1"/>
  <c r="KJ14" i="1"/>
  <c r="KD14" i="1"/>
  <c r="JX14" i="1"/>
  <c r="JR14" i="1"/>
  <c r="JL14" i="1"/>
  <c r="JF14" i="1"/>
  <c r="IZ14" i="1"/>
  <c r="IT14" i="1"/>
  <c r="IN14" i="1"/>
  <c r="IH14" i="1"/>
  <c r="IB14" i="1"/>
  <c r="HV14" i="1"/>
  <c r="HP14" i="1"/>
  <c r="HJ14" i="1"/>
  <c r="HD14" i="1"/>
  <c r="GX14" i="1"/>
  <c r="GR14" i="1"/>
  <c r="GL14" i="1"/>
  <c r="GF14" i="1"/>
  <c r="FZ14" i="1"/>
  <c r="FT14" i="1"/>
  <c r="FN14" i="1"/>
  <c r="FH14" i="1"/>
  <c r="FB14" i="1"/>
  <c r="EV14" i="1"/>
  <c r="EP14" i="1"/>
  <c r="EJ14" i="1"/>
  <c r="ED14" i="1"/>
  <c r="DX14" i="1"/>
  <c r="DR14" i="1"/>
  <c r="DL14" i="1"/>
  <c r="DF14" i="1"/>
  <c r="CZ14" i="1"/>
  <c r="CT14" i="1"/>
  <c r="CN14" i="1"/>
  <c r="CH14" i="1"/>
  <c r="CB14" i="1"/>
  <c r="BV14" i="1"/>
  <c r="BP14" i="1"/>
  <c r="BJ14" i="1"/>
  <c r="BD14" i="1"/>
  <c r="AX14" i="1"/>
  <c r="AR14" i="1"/>
  <c r="AL14" i="1"/>
  <c r="AF14" i="1"/>
  <c r="Z14" i="1"/>
  <c r="T14" i="1"/>
  <c r="N14" i="1"/>
  <c r="H14" i="1"/>
  <c r="B14" i="1"/>
  <c r="AMN13" i="1"/>
  <c r="AMH13" i="1"/>
  <c r="AMB13" i="1"/>
  <c r="ALV13" i="1"/>
  <c r="ALP13" i="1"/>
  <c r="ALJ13" i="1"/>
  <c r="ALD13" i="1"/>
  <c r="AKX13" i="1"/>
  <c r="AKR13" i="1"/>
  <c r="AKL13" i="1"/>
  <c r="AKF13" i="1"/>
  <c r="AJZ13" i="1"/>
  <c r="AJT13" i="1"/>
  <c r="AJN13" i="1"/>
  <c r="AJH13" i="1"/>
  <c r="AJB13" i="1"/>
  <c r="AIV13" i="1"/>
  <c r="AIP13" i="1"/>
  <c r="AIJ13" i="1"/>
  <c r="AID13" i="1"/>
  <c r="AHX13" i="1"/>
  <c r="AHR13" i="1"/>
  <c r="AHL13" i="1"/>
  <c r="AHF13" i="1"/>
  <c r="AGZ13" i="1"/>
  <c r="AGT13" i="1"/>
  <c r="AGN13" i="1"/>
  <c r="AGH13" i="1"/>
  <c r="AGB13" i="1"/>
  <c r="AFV13" i="1"/>
  <c r="AFP13" i="1"/>
  <c r="AFJ13" i="1"/>
  <c r="AFD13" i="1"/>
  <c r="AEX13" i="1"/>
  <c r="AER13" i="1"/>
  <c r="AEL13" i="1"/>
  <c r="AEF13" i="1"/>
  <c r="ADZ13" i="1"/>
  <c r="ADT13" i="1"/>
  <c r="ADN13" i="1"/>
  <c r="ADH13" i="1"/>
  <c r="ADB13" i="1"/>
  <c r="ACV13" i="1"/>
  <c r="ACP13" i="1"/>
  <c r="ACJ13" i="1"/>
  <c r="ACD13" i="1"/>
  <c r="ABX13" i="1"/>
  <c r="ABR13" i="1"/>
  <c r="ABL13" i="1"/>
  <c r="ABF13" i="1"/>
  <c r="AAZ13" i="1"/>
  <c r="AAT13" i="1"/>
  <c r="AAN13" i="1"/>
  <c r="AAH13" i="1"/>
  <c r="AAB13" i="1"/>
  <c r="ZV13" i="1"/>
  <c r="ZP13" i="1"/>
  <c r="ZJ13" i="1"/>
  <c r="ZD13" i="1"/>
  <c r="YX13" i="1"/>
  <c r="YR13" i="1"/>
  <c r="YL13" i="1"/>
  <c r="YF13" i="1"/>
  <c r="XZ13" i="1"/>
  <c r="XT13" i="1"/>
  <c r="XN13" i="1"/>
  <c r="XH13" i="1"/>
  <c r="XB13" i="1"/>
  <c r="WV13" i="1"/>
  <c r="WP13" i="1"/>
  <c r="WJ13" i="1"/>
  <c r="WD13" i="1"/>
  <c r="VX13" i="1"/>
  <c r="VR13" i="1"/>
  <c r="VL13" i="1"/>
  <c r="VF13" i="1"/>
  <c r="UZ13" i="1"/>
  <c r="UT13" i="1"/>
  <c r="UN13" i="1"/>
  <c r="UH13" i="1"/>
  <c r="UB13" i="1"/>
  <c r="TV13" i="1"/>
  <c r="TP13" i="1"/>
  <c r="TJ13" i="1"/>
  <c r="TD13" i="1"/>
  <c r="SX13" i="1"/>
  <c r="SR13" i="1"/>
  <c r="SL13" i="1"/>
  <c r="SF13" i="1"/>
  <c r="RZ13" i="1"/>
  <c r="RT13" i="1"/>
  <c r="RN13" i="1"/>
  <c r="RH13" i="1"/>
  <c r="RB13" i="1"/>
  <c r="QV13" i="1"/>
  <c r="QP13" i="1"/>
  <c r="QJ13" i="1"/>
  <c r="QD13" i="1"/>
  <c r="PX13" i="1"/>
  <c r="PR13" i="1"/>
  <c r="PL13" i="1"/>
  <c r="PF13" i="1"/>
  <c r="OZ13" i="1"/>
  <c r="OT13" i="1"/>
  <c r="ON13" i="1"/>
  <c r="OH13" i="1"/>
  <c r="OB13" i="1"/>
  <c r="NV13" i="1"/>
  <c r="NP13" i="1"/>
  <c r="NJ13" i="1"/>
  <c r="ND13" i="1"/>
  <c r="MX13" i="1"/>
  <c r="MR13" i="1"/>
  <c r="ML13" i="1"/>
  <c r="MF13" i="1"/>
  <c r="LZ13" i="1"/>
  <c r="LT13" i="1"/>
  <c r="LN13" i="1"/>
  <c r="LH13" i="1"/>
  <c r="LB13" i="1"/>
  <c r="KV13" i="1"/>
  <c r="KP13" i="1"/>
  <c r="KJ13" i="1"/>
  <c r="KD13" i="1"/>
  <c r="JX13" i="1"/>
  <c r="JR13" i="1"/>
  <c r="JL13" i="1"/>
  <c r="JF13" i="1"/>
  <c r="IZ13" i="1"/>
  <c r="IT13" i="1"/>
  <c r="IN13" i="1"/>
  <c r="IH13" i="1"/>
  <c r="IB13" i="1"/>
  <c r="HV13" i="1"/>
  <c r="HP13" i="1"/>
  <c r="HJ13" i="1"/>
  <c r="HD13" i="1"/>
  <c r="GX13" i="1"/>
  <c r="GR13" i="1"/>
  <c r="GL13" i="1"/>
  <c r="GF13" i="1"/>
  <c r="FZ13" i="1"/>
  <c r="FT13" i="1"/>
  <c r="FN13" i="1"/>
  <c r="FH13" i="1"/>
  <c r="FB13" i="1"/>
  <c r="EV13" i="1"/>
  <c r="EP13" i="1"/>
  <c r="EJ13" i="1"/>
  <c r="ED13" i="1"/>
  <c r="DX13" i="1"/>
  <c r="DR13" i="1"/>
  <c r="DL13" i="1"/>
  <c r="DF13" i="1"/>
  <c r="CZ13" i="1"/>
  <c r="CT13" i="1"/>
  <c r="CN13" i="1"/>
  <c r="CH13" i="1"/>
  <c r="CB13" i="1"/>
  <c r="BV13" i="1"/>
  <c r="BP13" i="1"/>
  <c r="BJ13" i="1"/>
  <c r="BD13" i="1"/>
  <c r="AX13" i="1"/>
  <c r="AR13" i="1"/>
  <c r="AL13" i="1"/>
  <c r="AF13" i="1"/>
  <c r="Z13" i="1"/>
  <c r="T13" i="1"/>
  <c r="N13" i="1"/>
  <c r="H13" i="1"/>
  <c r="B13" i="1"/>
  <c r="AMN12" i="1"/>
  <c r="AMH12" i="1"/>
  <c r="AMB12" i="1"/>
  <c r="ALV12" i="1"/>
  <c r="ALP12" i="1"/>
  <c r="ALJ12" i="1"/>
  <c r="ALD12" i="1"/>
  <c r="AKX12" i="1"/>
  <c r="AKR12" i="1"/>
  <c r="AKL12" i="1"/>
  <c r="AKF12" i="1"/>
  <c r="AJZ12" i="1"/>
  <c r="AJT12" i="1"/>
  <c r="AJN12" i="1"/>
  <c r="AJH12" i="1"/>
  <c r="AJB12" i="1"/>
  <c r="AIV12" i="1"/>
  <c r="AIP12" i="1"/>
  <c r="AIJ12" i="1"/>
  <c r="AID12" i="1"/>
  <c r="AHX12" i="1"/>
  <c r="AHR12" i="1"/>
  <c r="AHL12" i="1"/>
  <c r="AHF12" i="1"/>
  <c r="AGZ12" i="1"/>
  <c r="AGT12" i="1"/>
  <c r="AGN12" i="1"/>
  <c r="AGH12" i="1"/>
  <c r="AGB12" i="1"/>
  <c r="AFV12" i="1"/>
  <c r="AFP12" i="1"/>
  <c r="AFJ12" i="1"/>
  <c r="AFD12" i="1"/>
  <c r="AEX12" i="1"/>
  <c r="AER12" i="1"/>
  <c r="AEL12" i="1"/>
  <c r="AEF12" i="1"/>
  <c r="ADZ12" i="1"/>
  <c r="ADT12" i="1"/>
  <c r="ADN12" i="1"/>
  <c r="ADH12" i="1"/>
  <c r="ADB12" i="1"/>
  <c r="ACV12" i="1"/>
  <c r="ACP12" i="1"/>
  <c r="ACJ12" i="1"/>
  <c r="ACD12" i="1"/>
  <c r="ABX12" i="1"/>
  <c r="ABR12" i="1"/>
  <c r="ABL12" i="1"/>
  <c r="ABF12" i="1"/>
  <c r="AAZ12" i="1"/>
  <c r="AAT12" i="1"/>
  <c r="AAN12" i="1"/>
  <c r="AAH12" i="1"/>
  <c r="AAB12" i="1"/>
  <c r="ZV12" i="1"/>
  <c r="ZP12" i="1"/>
  <c r="ZJ12" i="1"/>
  <c r="ZD12" i="1"/>
  <c r="YX12" i="1"/>
  <c r="YR12" i="1"/>
  <c r="YL12" i="1"/>
  <c r="YF12" i="1"/>
  <c r="XZ12" i="1"/>
  <c r="XT12" i="1"/>
  <c r="XN12" i="1"/>
  <c r="XH12" i="1"/>
  <c r="XB12" i="1"/>
  <c r="WV12" i="1"/>
  <c r="WP12" i="1"/>
  <c r="WJ12" i="1"/>
  <c r="WD12" i="1"/>
  <c r="VX12" i="1"/>
  <c r="VR12" i="1"/>
  <c r="VL12" i="1"/>
  <c r="VF12" i="1"/>
  <c r="UZ12" i="1"/>
  <c r="UT12" i="1"/>
  <c r="UN12" i="1"/>
  <c r="UH12" i="1"/>
  <c r="UB12" i="1"/>
  <c r="TV12" i="1"/>
  <c r="TP12" i="1"/>
  <c r="TJ12" i="1"/>
  <c r="TD12" i="1"/>
  <c r="SX12" i="1"/>
  <c r="SR12" i="1"/>
  <c r="SL12" i="1"/>
  <c r="SF12" i="1"/>
  <c r="RZ12" i="1"/>
  <c r="RT12" i="1"/>
  <c r="RN12" i="1"/>
  <c r="RH12" i="1"/>
  <c r="RB12" i="1"/>
  <c r="QV12" i="1"/>
  <c r="QP12" i="1"/>
  <c r="QJ12" i="1"/>
  <c r="QD12" i="1"/>
  <c r="PX12" i="1"/>
  <c r="PR12" i="1"/>
  <c r="PL12" i="1"/>
  <c r="PF12" i="1"/>
  <c r="OZ12" i="1"/>
  <c r="OT12" i="1"/>
  <c r="ON12" i="1"/>
  <c r="OH12" i="1"/>
  <c r="OB12" i="1"/>
  <c r="NV12" i="1"/>
  <c r="NP12" i="1"/>
  <c r="NJ12" i="1"/>
  <c r="ND12" i="1"/>
  <c r="MX12" i="1"/>
  <c r="MR12" i="1"/>
  <c r="ML12" i="1"/>
  <c r="MF12" i="1"/>
  <c r="LZ12" i="1"/>
  <c r="LT12" i="1"/>
  <c r="LN12" i="1"/>
  <c r="LH12" i="1"/>
  <c r="LB12" i="1"/>
  <c r="KV12" i="1"/>
  <c r="KP12" i="1"/>
  <c r="KJ12" i="1"/>
  <c r="KD12" i="1"/>
  <c r="JX12" i="1"/>
  <c r="JR12" i="1"/>
  <c r="JL12" i="1"/>
  <c r="JF12" i="1"/>
  <c r="IZ12" i="1"/>
  <c r="IT12" i="1"/>
  <c r="IN12" i="1"/>
  <c r="IH12" i="1"/>
  <c r="IB12" i="1"/>
  <c r="HV12" i="1"/>
  <c r="HP12" i="1"/>
  <c r="HJ12" i="1"/>
  <c r="HD12" i="1"/>
  <c r="GX12" i="1"/>
  <c r="GR12" i="1"/>
  <c r="GL12" i="1"/>
  <c r="GF12" i="1"/>
  <c r="FZ12" i="1"/>
  <c r="FT12" i="1"/>
  <c r="FN12" i="1"/>
  <c r="FH12" i="1"/>
  <c r="FB12" i="1"/>
  <c r="EV12" i="1"/>
  <c r="EP12" i="1"/>
  <c r="EJ12" i="1"/>
  <c r="ED12" i="1"/>
  <c r="DX12" i="1"/>
  <c r="DR12" i="1"/>
  <c r="DL12" i="1"/>
  <c r="DF12" i="1"/>
  <c r="CZ12" i="1"/>
  <c r="CT12" i="1"/>
  <c r="CN12" i="1"/>
  <c r="CH12" i="1"/>
  <c r="CB12" i="1"/>
  <c r="BV12" i="1"/>
  <c r="BP12" i="1"/>
  <c r="BJ12" i="1"/>
  <c r="BD12" i="1"/>
  <c r="AX12" i="1"/>
  <c r="AR12" i="1"/>
  <c r="AL12" i="1"/>
  <c r="AF12" i="1"/>
  <c r="Z12" i="1"/>
  <c r="T12" i="1"/>
  <c r="N12" i="1"/>
  <c r="H12" i="1"/>
  <c r="B12" i="1"/>
  <c r="AMN11" i="1"/>
  <c r="AMH11" i="1"/>
  <c r="AMB11" i="1"/>
  <c r="ALV11" i="1"/>
  <c r="ALP11" i="1"/>
  <c r="ALJ11" i="1"/>
  <c r="ALD11" i="1"/>
  <c r="AKX11" i="1"/>
  <c r="AKR11" i="1"/>
  <c r="AKL11" i="1"/>
  <c r="AKF11" i="1"/>
  <c r="AJZ11" i="1"/>
  <c r="AJT11" i="1"/>
  <c r="AJN11" i="1"/>
  <c r="AJH11" i="1"/>
  <c r="AJB11" i="1"/>
  <c r="AIV11" i="1"/>
  <c r="AIP11" i="1"/>
  <c r="AIJ11" i="1"/>
  <c r="AID11" i="1"/>
  <c r="AHX11" i="1"/>
  <c r="AHR11" i="1"/>
  <c r="AHL11" i="1"/>
  <c r="AHF11" i="1"/>
  <c r="AGZ11" i="1"/>
  <c r="AGT11" i="1"/>
  <c r="AGN11" i="1"/>
  <c r="AGH11" i="1"/>
  <c r="AGB11" i="1"/>
  <c r="AFV11" i="1"/>
  <c r="AFP11" i="1"/>
  <c r="AFJ11" i="1"/>
  <c r="AFD11" i="1"/>
  <c r="AEX11" i="1"/>
  <c r="AER11" i="1"/>
  <c r="AEL11" i="1"/>
  <c r="AEF11" i="1"/>
  <c r="ADZ11" i="1"/>
  <c r="ADT11" i="1"/>
  <c r="ADN11" i="1"/>
  <c r="ADH11" i="1"/>
  <c r="ADB11" i="1"/>
  <c r="ACV11" i="1"/>
  <c r="ACP11" i="1"/>
  <c r="ACJ11" i="1"/>
  <c r="ACD11" i="1"/>
  <c r="ABX11" i="1"/>
  <c r="ABR11" i="1"/>
  <c r="ABL11" i="1"/>
  <c r="ABF11" i="1"/>
  <c r="AAZ11" i="1"/>
  <c r="AAT11" i="1"/>
  <c r="AAN11" i="1"/>
  <c r="AAH11" i="1"/>
  <c r="AAB11" i="1"/>
  <c r="ZV11" i="1"/>
  <c r="ZP11" i="1"/>
  <c r="ZJ11" i="1"/>
  <c r="ZD11" i="1"/>
  <c r="YX11" i="1"/>
  <c r="YR11" i="1"/>
  <c r="YL11" i="1"/>
  <c r="YF11" i="1"/>
  <c r="XZ11" i="1"/>
  <c r="XT11" i="1"/>
  <c r="XN11" i="1"/>
  <c r="XH11" i="1"/>
  <c r="XB11" i="1"/>
  <c r="WV11" i="1"/>
  <c r="WP11" i="1"/>
  <c r="WJ11" i="1"/>
  <c r="WD11" i="1"/>
  <c r="VX11" i="1"/>
  <c r="VR11" i="1"/>
  <c r="VL11" i="1"/>
  <c r="VF11" i="1"/>
  <c r="UZ11" i="1"/>
  <c r="UT11" i="1"/>
  <c r="UN11" i="1"/>
  <c r="UH11" i="1"/>
  <c r="UB11" i="1"/>
  <c r="TV11" i="1"/>
  <c r="TP11" i="1"/>
  <c r="TJ11" i="1"/>
  <c r="TD11" i="1"/>
  <c r="SX11" i="1"/>
  <c r="SR11" i="1"/>
  <c r="SL11" i="1"/>
  <c r="SF11" i="1"/>
  <c r="RZ11" i="1"/>
  <c r="RT11" i="1"/>
  <c r="RN11" i="1"/>
  <c r="RH11" i="1"/>
  <c r="RB11" i="1"/>
  <c r="QV11" i="1"/>
  <c r="QP11" i="1"/>
  <c r="QJ11" i="1"/>
  <c r="QD11" i="1"/>
  <c r="PX11" i="1"/>
  <c r="PR11" i="1"/>
  <c r="PL11" i="1"/>
  <c r="PF11" i="1"/>
  <c r="OZ11" i="1"/>
  <c r="OT11" i="1"/>
  <c r="ON11" i="1"/>
  <c r="OH11" i="1"/>
  <c r="OB11" i="1"/>
  <c r="NV11" i="1"/>
  <c r="NP11" i="1"/>
  <c r="NJ11" i="1"/>
  <c r="ND11" i="1"/>
  <c r="MX11" i="1"/>
  <c r="MR11" i="1"/>
  <c r="ML11" i="1"/>
  <c r="MF11" i="1"/>
  <c r="LZ11" i="1"/>
  <c r="LT11" i="1"/>
  <c r="LN11" i="1"/>
  <c r="LH11" i="1"/>
  <c r="LB11" i="1"/>
  <c r="KV11" i="1"/>
  <c r="KP11" i="1"/>
  <c r="KJ11" i="1"/>
  <c r="KD11" i="1"/>
  <c r="JX11" i="1"/>
  <c r="JR11" i="1"/>
  <c r="JL11" i="1"/>
  <c r="JF11" i="1"/>
  <c r="IZ11" i="1"/>
  <c r="IT11" i="1"/>
  <c r="IN11" i="1"/>
  <c r="IH11" i="1"/>
  <c r="IB11" i="1"/>
  <c r="HV11" i="1"/>
  <c r="HP11" i="1"/>
  <c r="HJ11" i="1"/>
  <c r="HD11" i="1"/>
  <c r="GX11" i="1"/>
  <c r="GR11" i="1"/>
  <c r="GL11" i="1"/>
  <c r="GF11" i="1"/>
  <c r="FZ11" i="1"/>
  <c r="FT11" i="1"/>
  <c r="FN11" i="1"/>
  <c r="FH11" i="1"/>
  <c r="FB11" i="1"/>
  <c r="EV11" i="1"/>
  <c r="EP11" i="1"/>
  <c r="EJ11" i="1"/>
  <c r="ED11" i="1"/>
  <c r="DX11" i="1"/>
  <c r="DR11" i="1"/>
  <c r="DL11" i="1"/>
  <c r="DF11" i="1"/>
  <c r="CZ11" i="1"/>
  <c r="CT11" i="1"/>
  <c r="CN11" i="1"/>
  <c r="CH11" i="1"/>
  <c r="CB11" i="1"/>
  <c r="BV11" i="1"/>
  <c r="BP11" i="1"/>
  <c r="BJ11" i="1"/>
  <c r="BD11" i="1"/>
  <c r="AX11" i="1"/>
  <c r="AR11" i="1"/>
  <c r="AL11" i="1"/>
  <c r="AF11" i="1"/>
  <c r="Z11" i="1"/>
  <c r="T11" i="1"/>
  <c r="N11" i="1"/>
  <c r="H11" i="1"/>
  <c r="B11" i="1"/>
  <c r="AMN10" i="1"/>
  <c r="AMH10" i="1"/>
  <c r="AMB10" i="1"/>
  <c r="ALV10" i="1"/>
  <c r="ALP10" i="1"/>
  <c r="ALJ10" i="1"/>
  <c r="ALD10" i="1"/>
  <c r="AKX10" i="1"/>
  <c r="AKR10" i="1"/>
  <c r="AKL10" i="1"/>
  <c r="AKF10" i="1"/>
  <c r="AJZ10" i="1"/>
  <c r="AJT10" i="1"/>
  <c r="AJN10" i="1"/>
  <c r="AJH10" i="1"/>
  <c r="AJB10" i="1"/>
  <c r="AIV10" i="1"/>
  <c r="AIP10" i="1"/>
  <c r="AIJ10" i="1"/>
  <c r="AID10" i="1"/>
  <c r="AHX10" i="1"/>
  <c r="AHR10" i="1"/>
  <c r="AHL10" i="1"/>
  <c r="AHF10" i="1"/>
  <c r="AGZ10" i="1"/>
  <c r="AGT10" i="1"/>
  <c r="AGN10" i="1"/>
  <c r="AGH10" i="1"/>
  <c r="AGB10" i="1"/>
  <c r="AFV10" i="1"/>
  <c r="AFP10" i="1"/>
  <c r="AFJ10" i="1"/>
  <c r="AFD10" i="1"/>
  <c r="AEX10" i="1"/>
  <c r="AER10" i="1"/>
  <c r="AEL10" i="1"/>
  <c r="AEF10" i="1"/>
  <c r="ADZ10" i="1"/>
  <c r="ADT10" i="1"/>
  <c r="ADN10" i="1"/>
  <c r="ADH10" i="1"/>
  <c r="ADB10" i="1"/>
  <c r="ACV10" i="1"/>
  <c r="ACP10" i="1"/>
  <c r="ACJ10" i="1"/>
  <c r="ACD10" i="1"/>
  <c r="ABX10" i="1"/>
  <c r="ABR10" i="1"/>
  <c r="ABL10" i="1"/>
  <c r="ABF10" i="1"/>
  <c r="AAZ10" i="1"/>
  <c r="AAT10" i="1"/>
  <c r="AAN10" i="1"/>
  <c r="AAH10" i="1"/>
  <c r="AAB10" i="1"/>
  <c r="ZV10" i="1"/>
  <c r="ZP10" i="1"/>
  <c r="ZJ10" i="1"/>
  <c r="ZD10" i="1"/>
  <c r="YX10" i="1"/>
  <c r="YR10" i="1"/>
  <c r="YL10" i="1"/>
  <c r="YF10" i="1"/>
  <c r="XZ10" i="1"/>
  <c r="XT10" i="1"/>
  <c r="XN10" i="1"/>
  <c r="XH10" i="1"/>
  <c r="XB10" i="1"/>
  <c r="WV10" i="1"/>
  <c r="WP10" i="1"/>
  <c r="WJ10" i="1"/>
  <c r="WD10" i="1"/>
  <c r="VX10" i="1"/>
  <c r="VR10" i="1"/>
  <c r="VL10" i="1"/>
  <c r="VF10" i="1"/>
  <c r="UZ10" i="1"/>
  <c r="UT10" i="1"/>
  <c r="UN10" i="1"/>
  <c r="UH10" i="1"/>
  <c r="UB10" i="1"/>
  <c r="TV10" i="1"/>
  <c r="TP10" i="1"/>
  <c r="TJ10" i="1"/>
  <c r="TD10" i="1"/>
  <c r="SX10" i="1"/>
  <c r="SR10" i="1"/>
  <c r="SL10" i="1"/>
  <c r="SF10" i="1"/>
  <c r="RZ10" i="1"/>
  <c r="RT10" i="1"/>
  <c r="RN10" i="1"/>
  <c r="RH10" i="1"/>
  <c r="RB10" i="1"/>
  <c r="QV10" i="1"/>
  <c r="QP10" i="1"/>
  <c r="QJ10" i="1"/>
  <c r="QD10" i="1"/>
  <c r="PX10" i="1"/>
  <c r="PR10" i="1"/>
  <c r="PL10" i="1"/>
  <c r="PF10" i="1"/>
  <c r="OZ10" i="1"/>
  <c r="OT10" i="1"/>
  <c r="ON10" i="1"/>
  <c r="OH10" i="1"/>
  <c r="OB10" i="1"/>
  <c r="NV10" i="1"/>
  <c r="NP10" i="1"/>
  <c r="NJ10" i="1"/>
  <c r="ND10" i="1"/>
  <c r="MX10" i="1"/>
  <c r="MR10" i="1"/>
  <c r="ML10" i="1"/>
  <c r="MF10" i="1"/>
  <c r="LZ10" i="1"/>
  <c r="LT10" i="1"/>
  <c r="LN10" i="1"/>
  <c r="LH10" i="1"/>
  <c r="LB10" i="1"/>
  <c r="KV10" i="1"/>
  <c r="KP10" i="1"/>
  <c r="KJ10" i="1"/>
  <c r="KD10" i="1"/>
  <c r="JX10" i="1"/>
  <c r="JR10" i="1"/>
  <c r="JL10" i="1"/>
  <c r="JF10" i="1"/>
  <c r="IZ10" i="1"/>
  <c r="IT10" i="1"/>
  <c r="IN10" i="1"/>
  <c r="IH10" i="1"/>
  <c r="IB10" i="1"/>
  <c r="HV10" i="1"/>
  <c r="HP10" i="1"/>
  <c r="HJ10" i="1"/>
  <c r="HD10" i="1"/>
  <c r="GX10" i="1"/>
  <c r="GR10" i="1"/>
  <c r="GL10" i="1"/>
  <c r="GF10" i="1"/>
  <c r="FZ10" i="1"/>
  <c r="FT10" i="1"/>
  <c r="FN10" i="1"/>
  <c r="FH10" i="1"/>
  <c r="FB10" i="1"/>
  <c r="EV10" i="1"/>
  <c r="EP10" i="1"/>
  <c r="EJ10" i="1"/>
  <c r="ED10" i="1"/>
  <c r="DX10" i="1"/>
  <c r="DR10" i="1"/>
  <c r="DL10" i="1"/>
  <c r="DF10" i="1"/>
  <c r="CZ10" i="1"/>
  <c r="CT10" i="1"/>
  <c r="CN10" i="1"/>
  <c r="CH10" i="1"/>
  <c r="CB10" i="1"/>
  <c r="BV10" i="1"/>
  <c r="BP10" i="1"/>
  <c r="BJ10" i="1"/>
  <c r="BD10" i="1"/>
  <c r="AX10" i="1"/>
  <c r="AR10" i="1"/>
  <c r="AL10" i="1"/>
  <c r="AF10" i="1"/>
  <c r="Z10" i="1"/>
  <c r="T10" i="1"/>
  <c r="N10" i="1"/>
  <c r="H10" i="1"/>
  <c r="B10" i="1"/>
  <c r="AMN9" i="1"/>
  <c r="AMH9" i="1"/>
  <c r="AMB9" i="1"/>
  <c r="ALV9" i="1"/>
  <c r="ALP9" i="1"/>
  <c r="ALJ9" i="1"/>
  <c r="ALD9" i="1"/>
  <c r="AKX9" i="1"/>
  <c r="AKR9" i="1"/>
  <c r="AKL9" i="1"/>
  <c r="AKF9" i="1"/>
  <c r="AJZ9" i="1"/>
  <c r="AJT9" i="1"/>
  <c r="AJN9" i="1"/>
  <c r="AJH9" i="1"/>
  <c r="AJB9" i="1"/>
  <c r="AIV9" i="1"/>
  <c r="AIP9" i="1"/>
  <c r="AIJ9" i="1"/>
  <c r="AID9" i="1"/>
  <c r="AHX9" i="1"/>
  <c r="AHR9" i="1"/>
  <c r="AHL9" i="1"/>
  <c r="AHF9" i="1"/>
  <c r="AGZ9" i="1"/>
  <c r="AGT9" i="1"/>
  <c r="AGN9" i="1"/>
  <c r="AGH9" i="1"/>
  <c r="AGB9" i="1"/>
  <c r="AFV9" i="1"/>
  <c r="AFP9" i="1"/>
  <c r="AFJ9" i="1"/>
  <c r="AFD9" i="1"/>
  <c r="AEX9" i="1"/>
  <c r="AER9" i="1"/>
  <c r="AEL9" i="1"/>
  <c r="AEF9" i="1"/>
  <c r="ADZ9" i="1"/>
  <c r="ADT9" i="1"/>
  <c r="ADN9" i="1"/>
  <c r="ADH9" i="1"/>
  <c r="ADB9" i="1"/>
  <c r="ACV9" i="1"/>
  <c r="ACP9" i="1"/>
  <c r="ACJ9" i="1"/>
  <c r="ACD9" i="1"/>
  <c r="ABX9" i="1"/>
  <c r="ABR9" i="1"/>
  <c r="ABL9" i="1"/>
  <c r="ABF9" i="1"/>
  <c r="AAZ9" i="1"/>
  <c r="AAT9" i="1"/>
  <c r="AAN9" i="1"/>
  <c r="AAH9" i="1"/>
  <c r="AAB9" i="1"/>
  <c r="ZV9" i="1"/>
  <c r="ZP9" i="1"/>
  <c r="ZJ9" i="1"/>
  <c r="ZD9" i="1"/>
  <c r="YX9" i="1"/>
  <c r="YR9" i="1"/>
  <c r="YL9" i="1"/>
  <c r="YF9" i="1"/>
  <c r="XZ9" i="1"/>
  <c r="XT9" i="1"/>
  <c r="XN9" i="1"/>
  <c r="XH9" i="1"/>
  <c r="XB9" i="1"/>
  <c r="WV9" i="1"/>
  <c r="WP9" i="1"/>
  <c r="WJ9" i="1"/>
  <c r="WD9" i="1"/>
  <c r="VX9" i="1"/>
  <c r="VR9" i="1"/>
  <c r="VL9" i="1"/>
  <c r="VF9" i="1"/>
  <c r="UZ9" i="1"/>
  <c r="UT9" i="1"/>
  <c r="UN9" i="1"/>
  <c r="UH9" i="1"/>
  <c r="UB9" i="1"/>
  <c r="TV9" i="1"/>
  <c r="TP9" i="1"/>
  <c r="TJ9" i="1"/>
  <c r="TD9" i="1"/>
  <c r="SX9" i="1"/>
  <c r="SR9" i="1"/>
  <c r="SL9" i="1"/>
  <c r="SF9" i="1"/>
  <c r="RZ9" i="1"/>
  <c r="RT9" i="1"/>
  <c r="RN9" i="1"/>
  <c r="RH9" i="1"/>
  <c r="RB9" i="1"/>
  <c r="QV9" i="1"/>
  <c r="QP9" i="1"/>
  <c r="QJ9" i="1"/>
  <c r="QD9" i="1"/>
  <c r="PX9" i="1"/>
  <c r="PR9" i="1"/>
  <c r="PL9" i="1"/>
  <c r="PF9" i="1"/>
  <c r="OZ9" i="1"/>
  <c r="OT9" i="1"/>
  <c r="ON9" i="1"/>
  <c r="OH9" i="1"/>
  <c r="OB9" i="1"/>
  <c r="NV9" i="1"/>
  <c r="NP9" i="1"/>
  <c r="NJ9" i="1"/>
  <c r="ND9" i="1"/>
  <c r="MX9" i="1"/>
  <c r="MR9" i="1"/>
  <c r="ML9" i="1"/>
  <c r="MF9" i="1"/>
  <c r="LZ9" i="1"/>
  <c r="LT9" i="1"/>
  <c r="LN9" i="1"/>
  <c r="LH9" i="1"/>
  <c r="LB9" i="1"/>
  <c r="KV9" i="1"/>
  <c r="KP9" i="1"/>
  <c r="KJ9" i="1"/>
  <c r="KD9" i="1"/>
  <c r="JX9" i="1"/>
  <c r="JR9" i="1"/>
  <c r="JL9" i="1"/>
  <c r="JF9" i="1"/>
  <c r="IZ9" i="1"/>
  <c r="IT9" i="1"/>
  <c r="IN9" i="1"/>
  <c r="IH9" i="1"/>
  <c r="IB9" i="1"/>
  <c r="HV9" i="1"/>
  <c r="HP9" i="1"/>
  <c r="HJ9" i="1"/>
  <c r="HD9" i="1"/>
  <c r="GX9" i="1"/>
  <c r="GR9" i="1"/>
  <c r="GL9" i="1"/>
  <c r="GF9" i="1"/>
  <c r="FZ9" i="1"/>
  <c r="FT9" i="1"/>
  <c r="FN9" i="1"/>
  <c r="FH9" i="1"/>
  <c r="FB9" i="1"/>
  <c r="EV9" i="1"/>
  <c r="EP9" i="1"/>
  <c r="EJ9" i="1"/>
  <c r="ED9" i="1"/>
  <c r="DX9" i="1"/>
  <c r="DR9" i="1"/>
  <c r="DL9" i="1"/>
  <c r="DF9" i="1"/>
  <c r="CZ9" i="1"/>
  <c r="CT9" i="1"/>
  <c r="CN9" i="1"/>
  <c r="CH9" i="1"/>
  <c r="CB9" i="1"/>
  <c r="BV9" i="1"/>
  <c r="BP9" i="1"/>
  <c r="BJ9" i="1"/>
  <c r="BD9" i="1"/>
  <c r="AX9" i="1"/>
  <c r="AR9" i="1"/>
  <c r="AL9" i="1"/>
  <c r="AF9" i="1"/>
  <c r="Z9" i="1"/>
  <c r="T9" i="1"/>
  <c r="N9" i="1"/>
  <c r="H9" i="1"/>
  <c r="B9" i="1"/>
  <c r="AMN8" i="1"/>
  <c r="AMH8" i="1"/>
  <c r="AMB8" i="1"/>
  <c r="ALV8" i="1"/>
  <c r="ALP8" i="1"/>
  <c r="ALJ8" i="1"/>
  <c r="ALD8" i="1"/>
  <c r="AKX8" i="1"/>
  <c r="AKR8" i="1"/>
  <c r="AKL8" i="1"/>
  <c r="AKF8" i="1"/>
  <c r="AJZ8" i="1"/>
  <c r="AJT8" i="1"/>
  <c r="AJN8" i="1"/>
  <c r="AJH8" i="1"/>
  <c r="AJB8" i="1"/>
  <c r="AIV8" i="1"/>
  <c r="AIP8" i="1"/>
  <c r="AIJ8" i="1"/>
  <c r="AID8" i="1"/>
  <c r="AHX8" i="1"/>
  <c r="AHR8" i="1"/>
  <c r="AHL8" i="1"/>
  <c r="AHF8" i="1"/>
  <c r="AGZ8" i="1"/>
  <c r="AGT8" i="1"/>
  <c r="AGN8" i="1"/>
  <c r="AGH8" i="1"/>
  <c r="AGB8" i="1"/>
  <c r="AFV8" i="1"/>
  <c r="AFP8" i="1"/>
  <c r="AFJ8" i="1"/>
  <c r="AFD8" i="1"/>
  <c r="AEX8" i="1"/>
  <c r="AER8" i="1"/>
  <c r="AEL8" i="1"/>
  <c r="AEF8" i="1"/>
  <c r="ADZ8" i="1"/>
  <c r="ADT8" i="1"/>
  <c r="ADN8" i="1"/>
  <c r="ADH8" i="1"/>
  <c r="ADB8" i="1"/>
  <c r="ACV8" i="1"/>
  <c r="ACP8" i="1"/>
  <c r="ACJ8" i="1"/>
  <c r="ACD8" i="1"/>
  <c r="ABX8" i="1"/>
  <c r="ABR8" i="1"/>
  <c r="ABL8" i="1"/>
  <c r="ABF8" i="1"/>
  <c r="AAZ8" i="1"/>
  <c r="AAT8" i="1"/>
  <c r="AAN8" i="1"/>
  <c r="AAH8" i="1"/>
  <c r="AAB8" i="1"/>
  <c r="ZV8" i="1"/>
  <c r="ZP8" i="1"/>
  <c r="ZJ8" i="1"/>
  <c r="ZD8" i="1"/>
  <c r="YX8" i="1"/>
  <c r="YR8" i="1"/>
  <c r="YL8" i="1"/>
  <c r="YF8" i="1"/>
  <c r="XZ8" i="1"/>
  <c r="XT8" i="1"/>
  <c r="XN8" i="1"/>
  <c r="XH8" i="1"/>
  <c r="XB8" i="1"/>
  <c r="WV8" i="1"/>
  <c r="WP8" i="1"/>
  <c r="WJ8" i="1"/>
  <c r="WD8" i="1"/>
  <c r="VX8" i="1"/>
  <c r="VR8" i="1"/>
  <c r="VL8" i="1"/>
  <c r="VF8" i="1"/>
  <c r="UZ8" i="1"/>
  <c r="UT8" i="1"/>
  <c r="UN8" i="1"/>
  <c r="UH8" i="1"/>
  <c r="UB8" i="1"/>
  <c r="TV8" i="1"/>
  <c r="TP8" i="1"/>
  <c r="TJ8" i="1"/>
  <c r="TD8" i="1"/>
  <c r="SX8" i="1"/>
  <c r="SR8" i="1"/>
  <c r="SL8" i="1"/>
  <c r="SF8" i="1"/>
  <c r="RZ8" i="1"/>
  <c r="RT8" i="1"/>
  <c r="RN8" i="1"/>
  <c r="RH8" i="1"/>
  <c r="RB8" i="1"/>
  <c r="QV8" i="1"/>
  <c r="QP8" i="1"/>
  <c r="QJ8" i="1"/>
  <c r="QD8" i="1"/>
  <c r="PX8" i="1"/>
  <c r="PR8" i="1"/>
  <c r="PL8" i="1"/>
  <c r="PF8" i="1"/>
  <c r="OZ8" i="1"/>
  <c r="OT8" i="1"/>
  <c r="ON8" i="1"/>
  <c r="OH8" i="1"/>
  <c r="OB8" i="1"/>
  <c r="NV8" i="1"/>
  <c r="NP8" i="1"/>
  <c r="NJ8" i="1"/>
  <c r="ND8" i="1"/>
  <c r="MX8" i="1"/>
  <c r="MR8" i="1"/>
  <c r="ML8" i="1"/>
  <c r="MF8" i="1"/>
  <c r="LZ8" i="1"/>
  <c r="LT8" i="1"/>
  <c r="LN8" i="1"/>
  <c r="LH8" i="1"/>
  <c r="LB8" i="1"/>
  <c r="KV8" i="1"/>
  <c r="KP8" i="1"/>
  <c r="KJ8" i="1"/>
  <c r="KD8" i="1"/>
  <c r="JX8" i="1"/>
  <c r="JR8" i="1"/>
  <c r="JL8" i="1"/>
  <c r="JF8" i="1"/>
  <c r="IZ8" i="1"/>
  <c r="IT8" i="1"/>
  <c r="IN8" i="1"/>
  <c r="IH8" i="1"/>
  <c r="IB8" i="1"/>
  <c r="HV8" i="1"/>
  <c r="HP8" i="1"/>
  <c r="HJ8" i="1"/>
  <c r="HD8" i="1"/>
  <c r="GX8" i="1"/>
  <c r="GR8" i="1"/>
  <c r="GL8" i="1"/>
  <c r="GF8" i="1"/>
  <c r="FZ8" i="1"/>
  <c r="FT8" i="1"/>
  <c r="FN8" i="1"/>
  <c r="FH8" i="1"/>
  <c r="FB8" i="1"/>
  <c r="EV8" i="1"/>
  <c r="EP8" i="1"/>
  <c r="EJ8" i="1"/>
  <c r="ED8" i="1"/>
  <c r="DX8" i="1"/>
  <c r="DR8" i="1"/>
  <c r="DL8" i="1"/>
  <c r="DF8" i="1"/>
  <c r="CZ8" i="1"/>
  <c r="CT8" i="1"/>
  <c r="CN8" i="1"/>
  <c r="CH8" i="1"/>
  <c r="CB8" i="1"/>
  <c r="BV8" i="1"/>
  <c r="BP8" i="1"/>
  <c r="BJ8" i="1"/>
  <c r="BD8" i="1"/>
  <c r="AX8" i="1"/>
  <c r="AR8" i="1"/>
  <c r="AL8" i="1"/>
  <c r="AF8" i="1"/>
  <c r="Z8" i="1"/>
  <c r="T8" i="1"/>
  <c r="N8" i="1"/>
  <c r="H8" i="1"/>
  <c r="B8" i="1"/>
  <c r="AMN7" i="1"/>
  <c r="AMH7" i="1"/>
  <c r="AMB7" i="1"/>
  <c r="ALV7" i="1"/>
  <c r="ALP7" i="1"/>
  <c r="ALJ7" i="1"/>
  <c r="ALD7" i="1"/>
  <c r="AKX7" i="1"/>
  <c r="AKR7" i="1"/>
  <c r="AKL7" i="1"/>
  <c r="AKF7" i="1"/>
  <c r="AJZ7" i="1"/>
  <c r="AJT7" i="1"/>
  <c r="AJN7" i="1"/>
  <c r="AJH7" i="1"/>
  <c r="AJB7" i="1"/>
  <c r="AIV7" i="1"/>
  <c r="AIP7" i="1"/>
  <c r="AIJ7" i="1"/>
  <c r="AID7" i="1"/>
  <c r="AHX7" i="1"/>
  <c r="AHR7" i="1"/>
  <c r="AHL7" i="1"/>
  <c r="AHF7" i="1"/>
  <c r="AGZ7" i="1"/>
  <c r="AGT7" i="1"/>
  <c r="AGN7" i="1"/>
  <c r="AGH7" i="1"/>
  <c r="AGB7" i="1"/>
  <c r="AFV7" i="1"/>
  <c r="AFP7" i="1"/>
  <c r="AFJ7" i="1"/>
  <c r="AFD7" i="1"/>
  <c r="AEX7" i="1"/>
  <c r="AER7" i="1"/>
  <c r="AEL7" i="1"/>
  <c r="AEF7" i="1"/>
  <c r="ADZ7" i="1"/>
  <c r="ADT7" i="1"/>
  <c r="ADN7" i="1"/>
  <c r="ADH7" i="1"/>
  <c r="ADB7" i="1"/>
  <c r="ACV7" i="1"/>
  <c r="ACP7" i="1"/>
  <c r="ACJ7" i="1"/>
  <c r="ACD7" i="1"/>
  <c r="ABX7" i="1"/>
  <c r="ABR7" i="1"/>
  <c r="ABL7" i="1"/>
  <c r="ABF7" i="1"/>
  <c r="AAZ7" i="1"/>
  <c r="AAT7" i="1"/>
  <c r="AAN7" i="1"/>
  <c r="AAH7" i="1"/>
  <c r="AAB7" i="1"/>
  <c r="ZV7" i="1"/>
  <c r="ZP7" i="1"/>
  <c r="ZJ7" i="1"/>
  <c r="ZD7" i="1"/>
  <c r="YX7" i="1"/>
  <c r="YR7" i="1"/>
  <c r="YL7" i="1"/>
  <c r="YF7" i="1"/>
  <c r="XZ7" i="1"/>
  <c r="XT7" i="1"/>
  <c r="XN7" i="1"/>
  <c r="XH7" i="1"/>
  <c r="XB7" i="1"/>
  <c r="WV7" i="1"/>
  <c r="WP7" i="1"/>
  <c r="WJ7" i="1"/>
  <c r="WD7" i="1"/>
  <c r="VX7" i="1"/>
  <c r="VR7" i="1"/>
  <c r="VL7" i="1"/>
  <c r="VF7" i="1"/>
  <c r="UZ7" i="1"/>
  <c r="UT7" i="1"/>
  <c r="UN7" i="1"/>
  <c r="UH7" i="1"/>
  <c r="UB7" i="1"/>
  <c r="TV7" i="1"/>
  <c r="TP7" i="1"/>
  <c r="TJ7" i="1"/>
  <c r="TD7" i="1"/>
  <c r="SX7" i="1"/>
  <c r="SR7" i="1"/>
  <c r="SL7" i="1"/>
  <c r="SF7" i="1"/>
  <c r="RZ7" i="1"/>
  <c r="RT7" i="1"/>
  <c r="RN7" i="1"/>
  <c r="RH7" i="1"/>
  <c r="RB7" i="1"/>
  <c r="QV7" i="1"/>
  <c r="QP7" i="1"/>
  <c r="QJ7" i="1"/>
  <c r="QD7" i="1"/>
  <c r="PX7" i="1"/>
  <c r="PR7" i="1"/>
  <c r="PL7" i="1"/>
  <c r="PF7" i="1"/>
  <c r="OZ7" i="1"/>
  <c r="OT7" i="1"/>
  <c r="ON7" i="1"/>
  <c r="OH7" i="1"/>
  <c r="OB7" i="1"/>
  <c r="NV7" i="1"/>
  <c r="NP7" i="1"/>
  <c r="NJ7" i="1"/>
  <c r="ND7" i="1"/>
  <c r="MX7" i="1"/>
  <c r="MR7" i="1"/>
  <c r="ML7" i="1"/>
  <c r="MF7" i="1"/>
  <c r="LZ7" i="1"/>
  <c r="LT7" i="1"/>
  <c r="LN7" i="1"/>
  <c r="LH7" i="1"/>
  <c r="LB7" i="1"/>
  <c r="KV7" i="1"/>
  <c r="KP7" i="1"/>
  <c r="KJ7" i="1"/>
  <c r="KD7" i="1"/>
  <c r="JX7" i="1"/>
  <c r="JR7" i="1"/>
  <c r="JL7" i="1"/>
  <c r="JF7" i="1"/>
  <c r="IZ7" i="1"/>
  <c r="IT7" i="1"/>
  <c r="IN7" i="1"/>
  <c r="IH7" i="1"/>
  <c r="IB7" i="1"/>
  <c r="HV7" i="1"/>
  <c r="HP7" i="1"/>
  <c r="HJ7" i="1"/>
  <c r="HD7" i="1"/>
  <c r="GX7" i="1"/>
  <c r="GR7" i="1"/>
  <c r="GL7" i="1"/>
  <c r="GF7" i="1"/>
  <c r="FZ7" i="1"/>
  <c r="FT7" i="1"/>
  <c r="FN7" i="1"/>
  <c r="FH7" i="1"/>
  <c r="FB7" i="1"/>
  <c r="EV7" i="1"/>
  <c r="EP7" i="1"/>
  <c r="EJ7" i="1"/>
  <c r="ED7" i="1"/>
  <c r="DX7" i="1"/>
  <c r="DR7" i="1"/>
  <c r="DL7" i="1"/>
  <c r="DF7" i="1"/>
  <c r="CZ7" i="1"/>
  <c r="CT7" i="1"/>
  <c r="CN7" i="1"/>
  <c r="CH7" i="1"/>
  <c r="CB7" i="1"/>
  <c r="BV7" i="1"/>
  <c r="BP7" i="1"/>
  <c r="BJ7" i="1"/>
  <c r="BD7" i="1"/>
  <c r="AX7" i="1"/>
  <c r="AR7" i="1"/>
  <c r="AL7" i="1"/>
  <c r="AF7" i="1"/>
  <c r="Z7" i="1"/>
  <c r="T7" i="1"/>
  <c r="N7" i="1"/>
  <c r="H7" i="1"/>
  <c r="B7" i="1"/>
  <c r="AMN6" i="1"/>
  <c r="AMH6" i="1"/>
  <c r="AMB6" i="1"/>
  <c r="ALV6" i="1"/>
  <c r="ALP6" i="1"/>
  <c r="ALJ6" i="1"/>
  <c r="ALD6" i="1"/>
  <c r="AKX6" i="1"/>
  <c r="AKR6" i="1"/>
  <c r="AKL6" i="1"/>
  <c r="AKF6" i="1"/>
  <c r="AJZ6" i="1"/>
  <c r="AJT6" i="1"/>
  <c r="AJN6" i="1"/>
  <c r="AJH6" i="1"/>
  <c r="AJB6" i="1"/>
  <c r="AIV6" i="1"/>
  <c r="AIP6" i="1"/>
  <c r="AIJ6" i="1"/>
  <c r="AID6" i="1"/>
  <c r="AHX6" i="1"/>
  <c r="AHR6" i="1"/>
  <c r="AHL6" i="1"/>
  <c r="AHF6" i="1"/>
  <c r="AGZ6" i="1"/>
  <c r="AGT6" i="1"/>
  <c r="AGN6" i="1"/>
  <c r="AGH6" i="1"/>
  <c r="AGB6" i="1"/>
  <c r="AFV6" i="1"/>
  <c r="AFP6" i="1"/>
  <c r="AFJ6" i="1"/>
  <c r="AFD6" i="1"/>
  <c r="AEX6" i="1"/>
  <c r="AER6" i="1"/>
  <c r="AEL6" i="1"/>
  <c r="AEF6" i="1"/>
  <c r="ADZ6" i="1"/>
  <c r="ADT6" i="1"/>
  <c r="ADN6" i="1"/>
  <c r="ADH6" i="1"/>
  <c r="ADB6" i="1"/>
  <c r="ACV6" i="1"/>
  <c r="ACP6" i="1"/>
  <c r="ACJ6" i="1"/>
  <c r="ACD6" i="1"/>
  <c r="ABX6" i="1"/>
  <c r="ABR6" i="1"/>
  <c r="ABL6" i="1"/>
  <c r="ABF6" i="1"/>
  <c r="AAZ6" i="1"/>
  <c r="AAT6" i="1"/>
  <c r="AAN6" i="1"/>
  <c r="AAH6" i="1"/>
  <c r="AAB6" i="1"/>
  <c r="ZV6" i="1"/>
  <c r="ZP6" i="1"/>
  <c r="ZJ6" i="1"/>
  <c r="ZD6" i="1"/>
  <c r="YX6" i="1"/>
  <c r="YR6" i="1"/>
  <c r="YL6" i="1"/>
  <c r="YF6" i="1"/>
  <c r="XZ6" i="1"/>
  <c r="XT6" i="1"/>
  <c r="XN6" i="1"/>
  <c r="XH6" i="1"/>
  <c r="XB6" i="1"/>
  <c r="WV6" i="1"/>
  <c r="WP6" i="1"/>
  <c r="WJ6" i="1"/>
  <c r="WD6" i="1"/>
  <c r="VX6" i="1"/>
  <c r="VR6" i="1"/>
  <c r="VL6" i="1"/>
  <c r="VF6" i="1"/>
  <c r="UZ6" i="1"/>
  <c r="UT6" i="1"/>
  <c r="UN6" i="1"/>
  <c r="UH6" i="1"/>
  <c r="UB6" i="1"/>
  <c r="TV6" i="1"/>
  <c r="TP6" i="1"/>
  <c r="TJ6" i="1"/>
  <c r="TD6" i="1"/>
  <c r="SX6" i="1"/>
  <c r="SR6" i="1"/>
  <c r="SL6" i="1"/>
  <c r="SF6" i="1"/>
  <c r="RZ6" i="1"/>
  <c r="RT6" i="1"/>
  <c r="RN6" i="1"/>
  <c r="RH6" i="1"/>
  <c r="RB6" i="1"/>
  <c r="QV6" i="1"/>
  <c r="QP6" i="1"/>
  <c r="QJ6" i="1"/>
  <c r="QD6" i="1"/>
  <c r="PX6" i="1"/>
  <c r="PR6" i="1"/>
  <c r="PL6" i="1"/>
  <c r="PF6" i="1"/>
  <c r="OZ6" i="1"/>
  <c r="OT6" i="1"/>
  <c r="ON6" i="1"/>
  <c r="OH6" i="1"/>
  <c r="OB6" i="1"/>
  <c r="NV6" i="1"/>
  <c r="NP6" i="1"/>
  <c r="NJ6" i="1"/>
  <c r="ND6" i="1"/>
  <c r="MX6" i="1"/>
  <c r="MR6" i="1"/>
  <c r="ML6" i="1"/>
  <c r="MF6" i="1"/>
  <c r="LZ6" i="1"/>
  <c r="LT6" i="1"/>
  <c r="LN6" i="1"/>
  <c r="LH6" i="1"/>
  <c r="LB6" i="1"/>
  <c r="KV6" i="1"/>
  <c r="KP6" i="1"/>
  <c r="KJ6" i="1"/>
  <c r="KD6" i="1"/>
  <c r="JX6" i="1"/>
  <c r="JR6" i="1"/>
  <c r="JL6" i="1"/>
  <c r="JF6" i="1"/>
  <c r="IZ6" i="1"/>
  <c r="IT6" i="1"/>
  <c r="IN6" i="1"/>
  <c r="IH6" i="1"/>
  <c r="IB6" i="1"/>
  <c r="HV6" i="1"/>
  <c r="HP6" i="1"/>
  <c r="HJ6" i="1"/>
  <c r="HD6" i="1"/>
  <c r="GX6" i="1"/>
  <c r="GR6" i="1"/>
  <c r="GL6" i="1"/>
  <c r="GF6" i="1"/>
  <c r="FZ6" i="1"/>
  <c r="FT6" i="1"/>
  <c r="FN6" i="1"/>
  <c r="FH6" i="1"/>
  <c r="FB6" i="1"/>
  <c r="EV6" i="1"/>
  <c r="EP6" i="1"/>
  <c r="EJ6" i="1"/>
  <c r="ED6" i="1"/>
  <c r="DX6" i="1"/>
  <c r="DR6" i="1"/>
  <c r="DL6" i="1"/>
  <c r="DF6" i="1"/>
  <c r="CZ6" i="1"/>
  <c r="CT6" i="1"/>
  <c r="CN6" i="1"/>
  <c r="CH6" i="1"/>
  <c r="CB6" i="1"/>
  <c r="BV6" i="1"/>
  <c r="BP6" i="1"/>
  <c r="BJ6" i="1"/>
  <c r="BD6" i="1"/>
  <c r="AX6" i="1"/>
  <c r="AR6" i="1"/>
  <c r="AL6" i="1"/>
  <c r="AF6" i="1"/>
  <c r="Z6" i="1"/>
  <c r="T6" i="1"/>
  <c r="N6" i="1"/>
  <c r="H6" i="1"/>
  <c r="B6" i="1"/>
  <c r="AMN5" i="1"/>
  <c r="AMH5" i="1"/>
  <c r="AMB5" i="1"/>
  <c r="ALV5" i="1"/>
  <c r="ALP5" i="1"/>
  <c r="ALJ5" i="1"/>
  <c r="ALD5" i="1"/>
  <c r="AKX5" i="1"/>
  <c r="AKR5" i="1"/>
  <c r="AKL5" i="1"/>
  <c r="AKF5" i="1"/>
  <c r="AJZ5" i="1"/>
  <c r="AJT5" i="1"/>
  <c r="AJN5" i="1"/>
  <c r="AJH5" i="1"/>
  <c r="AJB5" i="1"/>
  <c r="AIV5" i="1"/>
  <c r="AIP5" i="1"/>
  <c r="AIJ5" i="1"/>
  <c r="AID5" i="1"/>
  <c r="AHX5" i="1"/>
  <c r="AHR5" i="1"/>
  <c r="AHL5" i="1"/>
  <c r="AHF5" i="1"/>
  <c r="AGZ5" i="1"/>
  <c r="AGT5" i="1"/>
  <c r="AGN5" i="1"/>
  <c r="AGH5" i="1"/>
  <c r="AGB5" i="1"/>
  <c r="AFV5" i="1"/>
  <c r="AFP5" i="1"/>
  <c r="AFJ5" i="1"/>
  <c r="AFD5" i="1"/>
  <c r="AEX5" i="1"/>
  <c r="AER5" i="1"/>
  <c r="AEL5" i="1"/>
  <c r="AEF5" i="1"/>
  <c r="ADZ5" i="1"/>
  <c r="ADT5" i="1"/>
  <c r="ADN5" i="1"/>
  <c r="ADH5" i="1"/>
  <c r="ADB5" i="1"/>
  <c r="ACV5" i="1"/>
  <c r="ACP5" i="1"/>
  <c r="ACJ5" i="1"/>
  <c r="ACD5" i="1"/>
  <c r="ABX5" i="1"/>
  <c r="ABR5" i="1"/>
  <c r="ABL5" i="1"/>
  <c r="ABF5" i="1"/>
  <c r="AAZ5" i="1"/>
  <c r="AAT5" i="1"/>
  <c r="AAN5" i="1"/>
  <c r="AAH5" i="1"/>
  <c r="AAB5" i="1"/>
  <c r="ZV5" i="1"/>
  <c r="ZP5" i="1"/>
  <c r="ZJ5" i="1"/>
  <c r="ZD5" i="1"/>
  <c r="YX5" i="1"/>
  <c r="YR5" i="1"/>
  <c r="YL5" i="1"/>
  <c r="YF5" i="1"/>
  <c r="XZ5" i="1"/>
  <c r="XT5" i="1"/>
  <c r="XN5" i="1"/>
  <c r="XH5" i="1"/>
  <c r="XB5" i="1"/>
  <c r="WV5" i="1"/>
  <c r="WP5" i="1"/>
  <c r="WJ5" i="1"/>
  <c r="WD5" i="1"/>
  <c r="VX5" i="1"/>
  <c r="VR5" i="1"/>
  <c r="VL5" i="1"/>
  <c r="VF5" i="1"/>
  <c r="UZ5" i="1"/>
  <c r="UT5" i="1"/>
  <c r="UN5" i="1"/>
  <c r="UH5" i="1"/>
  <c r="UB5" i="1"/>
  <c r="TV5" i="1"/>
  <c r="TP5" i="1"/>
  <c r="TJ5" i="1"/>
  <c r="TD5" i="1"/>
  <c r="SX5" i="1"/>
  <c r="SR5" i="1"/>
  <c r="SL5" i="1"/>
  <c r="SF5" i="1"/>
  <c r="RZ5" i="1"/>
  <c r="RT5" i="1"/>
  <c r="RN5" i="1"/>
  <c r="RH5" i="1"/>
  <c r="RB5" i="1"/>
  <c r="QV5" i="1"/>
  <c r="QP5" i="1"/>
  <c r="QJ5" i="1"/>
  <c r="QD5" i="1"/>
  <c r="PX5" i="1"/>
  <c r="PR5" i="1"/>
  <c r="PL5" i="1"/>
  <c r="PF5" i="1"/>
  <c r="OZ5" i="1"/>
  <c r="OT5" i="1"/>
  <c r="ON5" i="1"/>
  <c r="OH5" i="1"/>
  <c r="OB5" i="1"/>
  <c r="NV5" i="1"/>
  <c r="NP5" i="1"/>
  <c r="NJ5" i="1"/>
  <c r="ND5" i="1"/>
  <c r="MX5" i="1"/>
  <c r="MR5" i="1"/>
  <c r="ML5" i="1"/>
  <c r="MF5" i="1"/>
  <c r="LZ5" i="1"/>
  <c r="LT5" i="1"/>
  <c r="LN5" i="1"/>
  <c r="LH5" i="1"/>
  <c r="LB5" i="1"/>
  <c r="KV5" i="1"/>
  <c r="KP5" i="1"/>
  <c r="KJ5" i="1"/>
  <c r="KD5" i="1"/>
  <c r="JX5" i="1"/>
  <c r="JR5" i="1"/>
  <c r="JL5" i="1"/>
  <c r="JF5" i="1"/>
  <c r="IZ5" i="1"/>
  <c r="IT5" i="1"/>
  <c r="IN5" i="1"/>
  <c r="IH5" i="1"/>
  <c r="IB5" i="1"/>
  <c r="HV5" i="1"/>
  <c r="HP5" i="1"/>
  <c r="HJ5" i="1"/>
  <c r="HD5" i="1"/>
  <c r="GX5" i="1"/>
  <c r="GR5" i="1"/>
  <c r="GL5" i="1"/>
  <c r="GF5" i="1"/>
  <c r="FZ5" i="1"/>
  <c r="FT5" i="1"/>
  <c r="FN5" i="1"/>
  <c r="FH5" i="1"/>
  <c r="FB5" i="1"/>
  <c r="EV5" i="1"/>
  <c r="EP5" i="1"/>
  <c r="EJ5" i="1"/>
  <c r="ED5" i="1"/>
  <c r="DX5" i="1"/>
  <c r="DR5" i="1"/>
  <c r="DL5" i="1"/>
  <c r="DF5" i="1"/>
  <c r="CZ5" i="1"/>
  <c r="CT5" i="1"/>
  <c r="CN5" i="1"/>
  <c r="CH5" i="1"/>
  <c r="CB5" i="1"/>
  <c r="BV5" i="1"/>
  <c r="BP5" i="1"/>
  <c r="BJ5" i="1"/>
  <c r="BD5" i="1"/>
  <c r="AX5" i="1"/>
  <c r="AR5" i="1"/>
  <c r="AL5" i="1"/>
  <c r="AF5" i="1"/>
  <c r="Z5" i="1"/>
  <c r="T5" i="1"/>
  <c r="N5" i="1"/>
  <c r="H5" i="1"/>
  <c r="B5" i="1"/>
  <c r="AMN4" i="1"/>
  <c r="AMH4" i="1"/>
  <c r="AMB4" i="1"/>
  <c r="ALV4" i="1"/>
  <c r="ALP4" i="1"/>
  <c r="ALJ4" i="1"/>
  <c r="ALD4" i="1"/>
  <c r="AKX4" i="1"/>
  <c r="AKR4" i="1"/>
  <c r="AKL4" i="1"/>
  <c r="AKF4" i="1"/>
  <c r="AJZ4" i="1"/>
  <c r="AJT4" i="1"/>
  <c r="AJN4" i="1"/>
  <c r="AJH4" i="1"/>
  <c r="AJB4" i="1"/>
  <c r="AIV4" i="1"/>
  <c r="AIP4" i="1"/>
  <c r="AIJ4" i="1"/>
  <c r="AID4" i="1"/>
  <c r="AHX4" i="1"/>
  <c r="AHR4" i="1"/>
  <c r="AHL4" i="1"/>
  <c r="AHF4" i="1"/>
  <c r="AGZ4" i="1"/>
  <c r="AGT4" i="1"/>
  <c r="AGN4" i="1"/>
  <c r="AGH4" i="1"/>
  <c r="AGB4" i="1"/>
  <c r="AFV4" i="1"/>
  <c r="AFP4" i="1"/>
  <c r="AFJ4" i="1"/>
  <c r="AFD4" i="1"/>
  <c r="AEX4" i="1"/>
  <c r="AER4" i="1"/>
  <c r="AEL4" i="1"/>
  <c r="AEF4" i="1"/>
  <c r="ADZ4" i="1"/>
  <c r="ADT4" i="1"/>
  <c r="ADN4" i="1"/>
  <c r="ADH4" i="1"/>
  <c r="ADB4" i="1"/>
  <c r="ACV4" i="1"/>
  <c r="ACP4" i="1"/>
  <c r="ACJ4" i="1"/>
  <c r="ACD4" i="1"/>
  <c r="ABX4" i="1"/>
  <c r="ABR4" i="1"/>
  <c r="ABL4" i="1"/>
  <c r="ABF4" i="1"/>
  <c r="AAZ4" i="1"/>
  <c r="AAT4" i="1"/>
  <c r="AAN4" i="1"/>
  <c r="AAH4" i="1"/>
  <c r="AAB4" i="1"/>
  <c r="ZV4" i="1"/>
  <c r="ZP4" i="1"/>
  <c r="ZJ4" i="1"/>
  <c r="ZD4" i="1"/>
  <c r="YX4" i="1"/>
  <c r="YR4" i="1"/>
  <c r="YL4" i="1"/>
  <c r="YF4" i="1"/>
  <c r="XZ4" i="1"/>
  <c r="XT4" i="1"/>
  <c r="XN4" i="1"/>
  <c r="XH4" i="1"/>
  <c r="XB4" i="1"/>
  <c r="WV4" i="1"/>
  <c r="WP4" i="1"/>
  <c r="WJ4" i="1"/>
  <c r="WD4" i="1"/>
  <c r="VX4" i="1"/>
  <c r="VR4" i="1"/>
  <c r="VL4" i="1"/>
  <c r="VF4" i="1"/>
  <c r="UZ4" i="1"/>
  <c r="UT4" i="1"/>
  <c r="UN4" i="1"/>
  <c r="UH4" i="1"/>
  <c r="UB4" i="1"/>
  <c r="TV4" i="1"/>
  <c r="TP4" i="1"/>
  <c r="TJ4" i="1"/>
  <c r="TD4" i="1"/>
  <c r="SX4" i="1"/>
  <c r="SR4" i="1"/>
  <c r="SL4" i="1"/>
  <c r="SF4" i="1"/>
  <c r="RZ4" i="1"/>
  <c r="RT4" i="1"/>
  <c r="RN4" i="1"/>
  <c r="RH4" i="1"/>
  <c r="RB4" i="1"/>
  <c r="QV4" i="1"/>
  <c r="QP4" i="1"/>
  <c r="QJ4" i="1"/>
  <c r="QD4" i="1"/>
  <c r="PX4" i="1"/>
  <c r="PR4" i="1"/>
  <c r="PL4" i="1"/>
  <c r="PF4" i="1"/>
  <c r="OZ4" i="1"/>
  <c r="OT4" i="1"/>
  <c r="ON4" i="1"/>
  <c r="OH4" i="1"/>
  <c r="OB4" i="1"/>
  <c r="NV4" i="1"/>
  <c r="NP4" i="1"/>
  <c r="NJ4" i="1"/>
  <c r="ND4" i="1"/>
  <c r="MX4" i="1"/>
  <c r="MR4" i="1"/>
  <c r="ML4" i="1"/>
  <c r="MF4" i="1"/>
  <c r="LZ4" i="1"/>
  <c r="LT4" i="1"/>
  <c r="LN4" i="1"/>
  <c r="LH4" i="1"/>
  <c r="LB4" i="1"/>
  <c r="KV4" i="1"/>
  <c r="KP4" i="1"/>
  <c r="KJ4" i="1"/>
  <c r="KD4" i="1"/>
  <c r="JX4" i="1"/>
  <c r="JR4" i="1"/>
  <c r="JL4" i="1"/>
  <c r="JF4" i="1"/>
  <c r="IZ4" i="1"/>
  <c r="IT4" i="1"/>
  <c r="IN4" i="1"/>
  <c r="IH4" i="1"/>
  <c r="IB4" i="1"/>
  <c r="HV4" i="1"/>
  <c r="HP4" i="1"/>
  <c r="HJ4" i="1"/>
  <c r="HD4" i="1"/>
  <c r="GX4" i="1"/>
  <c r="GR4" i="1"/>
  <c r="GL4" i="1"/>
  <c r="GF4" i="1"/>
  <c r="FZ4" i="1"/>
  <c r="FT4" i="1"/>
  <c r="FN4" i="1"/>
  <c r="FH4" i="1"/>
  <c r="FB4" i="1"/>
  <c r="EV4" i="1"/>
  <c r="EP4" i="1"/>
  <c r="EJ4" i="1"/>
  <c r="ED4" i="1"/>
  <c r="DX4" i="1"/>
  <c r="DR4" i="1"/>
  <c r="DL4" i="1"/>
  <c r="DF4" i="1"/>
  <c r="CZ4" i="1"/>
  <c r="CT4" i="1"/>
  <c r="CN4" i="1"/>
  <c r="CH4" i="1"/>
  <c r="CB4" i="1"/>
  <c r="BV4" i="1"/>
  <c r="BP4" i="1"/>
  <c r="BJ4" i="1"/>
  <c r="BD4" i="1"/>
  <c r="AX4" i="1"/>
  <c r="AR4" i="1"/>
  <c r="AL4" i="1"/>
  <c r="AF4" i="1"/>
  <c r="Z4" i="1"/>
  <c r="T4" i="1"/>
  <c r="N4" i="1"/>
  <c r="H4" i="1"/>
  <c r="B4" i="1"/>
  <c r="AMN3" i="1"/>
  <c r="AMH3" i="1"/>
  <c r="AMB3" i="1"/>
  <c r="ALV3" i="1"/>
  <c r="ALP3" i="1"/>
  <c r="ALJ3" i="1"/>
  <c r="ALD3" i="1"/>
  <c r="AKX3" i="1"/>
  <c r="AKR3" i="1"/>
  <c r="AKL3" i="1"/>
  <c r="AKF3" i="1"/>
  <c r="AJZ3" i="1"/>
  <c r="AJT3" i="1"/>
  <c r="AJN3" i="1"/>
  <c r="AJH3" i="1"/>
  <c r="AJB3" i="1"/>
  <c r="AIV3" i="1"/>
  <c r="AIP3" i="1"/>
  <c r="AIJ3" i="1"/>
  <c r="AID3" i="1"/>
  <c r="AHX3" i="1"/>
  <c r="AHR3" i="1"/>
  <c r="AHL3" i="1"/>
  <c r="AHF3" i="1"/>
  <c r="AGZ3" i="1"/>
  <c r="AGT3" i="1"/>
  <c r="AGN3" i="1"/>
  <c r="AGH3" i="1"/>
  <c r="AGB3" i="1"/>
  <c r="AFV3" i="1"/>
  <c r="AFP3" i="1"/>
  <c r="AFJ3" i="1"/>
  <c r="AFD3" i="1"/>
  <c r="AEX3" i="1"/>
  <c r="AER3" i="1"/>
  <c r="AEL3" i="1"/>
  <c r="AEF3" i="1"/>
  <c r="ADZ3" i="1"/>
  <c r="ADT3" i="1"/>
  <c r="ADN3" i="1"/>
  <c r="ADH3" i="1"/>
  <c r="ADB3" i="1"/>
  <c r="ACV3" i="1"/>
  <c r="ACP3" i="1"/>
  <c r="ACJ3" i="1"/>
  <c r="ACD3" i="1"/>
  <c r="ABX3" i="1"/>
  <c r="ABR3" i="1"/>
  <c r="ABL3" i="1"/>
  <c r="ABF3" i="1"/>
  <c r="AAZ3" i="1"/>
  <c r="AAT3" i="1"/>
  <c r="AAN3" i="1"/>
  <c r="AAH3" i="1"/>
  <c r="AAB3" i="1"/>
  <c r="ZV3" i="1"/>
  <c r="ZP3" i="1"/>
  <c r="ZJ3" i="1"/>
  <c r="ZD3" i="1"/>
  <c r="YX3" i="1"/>
  <c r="YR3" i="1"/>
  <c r="YL3" i="1"/>
  <c r="YF3" i="1"/>
  <c r="XZ3" i="1"/>
  <c r="XT3" i="1"/>
  <c r="XN3" i="1"/>
  <c r="XH3" i="1"/>
  <c r="XB3" i="1"/>
  <c r="WV3" i="1"/>
  <c r="WP3" i="1"/>
  <c r="WJ3" i="1"/>
  <c r="WD3" i="1"/>
  <c r="VX3" i="1"/>
  <c r="VR3" i="1"/>
  <c r="VL3" i="1"/>
  <c r="VF3" i="1"/>
  <c r="UZ3" i="1"/>
  <c r="UT3" i="1"/>
  <c r="UN3" i="1"/>
  <c r="UH3" i="1"/>
  <c r="UB3" i="1"/>
  <c r="TV3" i="1"/>
  <c r="TP3" i="1"/>
  <c r="TJ3" i="1"/>
  <c r="TD3" i="1"/>
  <c r="SX3" i="1"/>
  <c r="SR3" i="1"/>
  <c r="SL3" i="1"/>
  <c r="SF3" i="1"/>
  <c r="RZ3" i="1"/>
  <c r="RT3" i="1"/>
  <c r="RN3" i="1"/>
  <c r="RH3" i="1"/>
  <c r="RB3" i="1"/>
  <c r="QV3" i="1"/>
  <c r="QP3" i="1"/>
  <c r="QJ3" i="1"/>
  <c r="QD3" i="1"/>
  <c r="PX3" i="1"/>
  <c r="PR3" i="1"/>
  <c r="PL3" i="1"/>
  <c r="PF3" i="1"/>
  <c r="OZ3" i="1"/>
  <c r="OT3" i="1"/>
  <c r="ON3" i="1"/>
  <c r="OH3" i="1"/>
  <c r="OB3" i="1"/>
  <c r="NV3" i="1"/>
  <c r="NP3" i="1"/>
  <c r="NJ3" i="1"/>
  <c r="ND3" i="1"/>
  <c r="MX3" i="1"/>
  <c r="MR3" i="1"/>
  <c r="ML3" i="1"/>
  <c r="MF3" i="1"/>
  <c r="LZ3" i="1"/>
  <c r="LT3" i="1"/>
  <c r="LN3" i="1"/>
  <c r="LH3" i="1"/>
  <c r="LB3" i="1"/>
  <c r="KV3" i="1"/>
  <c r="KP3" i="1"/>
  <c r="KJ3" i="1"/>
  <c r="KD3" i="1"/>
  <c r="JX3" i="1"/>
  <c r="JR3" i="1"/>
  <c r="JL3" i="1"/>
  <c r="JF3" i="1"/>
  <c r="IZ3" i="1"/>
  <c r="IT3" i="1"/>
  <c r="IN3" i="1"/>
  <c r="IH3" i="1"/>
  <c r="IB3" i="1"/>
  <c r="HV3" i="1"/>
  <c r="HP3" i="1"/>
  <c r="HJ3" i="1"/>
  <c r="HD3" i="1"/>
  <c r="GX3" i="1"/>
  <c r="GR3" i="1"/>
  <c r="GL3" i="1"/>
  <c r="GF3" i="1"/>
  <c r="FZ3" i="1"/>
  <c r="FT3" i="1"/>
  <c r="FN3" i="1"/>
  <c r="FH3" i="1"/>
  <c r="FB3" i="1"/>
  <c r="EV3" i="1"/>
  <c r="EP3" i="1"/>
  <c r="EJ3" i="1"/>
  <c r="ED3" i="1"/>
  <c r="DX3" i="1"/>
  <c r="DR3" i="1"/>
  <c r="DL3" i="1"/>
  <c r="DF3" i="1"/>
  <c r="CZ3" i="1"/>
  <c r="CT3" i="1"/>
  <c r="CN3" i="1"/>
  <c r="CH3" i="1"/>
  <c r="CB3" i="1"/>
  <c r="BV3" i="1"/>
  <c r="BP3" i="1"/>
  <c r="BJ3" i="1"/>
  <c r="BD3" i="1"/>
  <c r="AX3" i="1"/>
  <c r="AR3" i="1"/>
  <c r="AL3" i="1"/>
  <c r="AF3" i="1"/>
  <c r="Z3" i="1"/>
  <c r="T3" i="1"/>
  <c r="N3" i="1"/>
  <c r="H3" i="1"/>
  <c r="B3" i="1"/>
  <c r="F26" i="1" l="1"/>
  <c r="R24" i="1"/>
  <c r="B79" i="1" s="1"/>
  <c r="L34" i="1" a="1"/>
  <c r="L34" i="1" s="1"/>
  <c r="F34" i="1" l="1" a="1"/>
  <c r="F34" i="1" s="1"/>
  <c r="R25" i="1"/>
  <c r="D34" i="1" l="1" a="1"/>
  <c r="D34" i="1" s="1"/>
  <c r="R26" i="1"/>
  <c r="B81" i="1" s="1"/>
  <c r="B80" i="1"/>
  <c r="R34" i="1" a="1"/>
  <c r="R34" i="1" s="1"/>
  <c r="D49" i="1" s="1" a="1"/>
  <c r="D49" i="1" s="1"/>
  <c r="P34" i="1" a="1"/>
  <c r="P34" i="1" s="1"/>
  <c r="D50" i="1" a="1"/>
  <c r="D50" i="1" s="1"/>
  <c r="C50" i="1" a="1"/>
  <c r="C50" i="1" s="1"/>
  <c r="C49" i="1" l="1" a="1"/>
  <c r="C49" i="1" s="1"/>
  <c r="G34" i="1"/>
  <c r="B49" i="1"/>
  <c r="S34" i="1"/>
  <c r="B50" i="1"/>
  <c r="B51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<sst xmlns="http://schemas.openxmlformats.org/spreadsheetml/2006/main" count="6058" uniqueCount="4353">
  <si>
    <t>Score</t>
  </si>
  <si>
    <t>Greedy</t>
  </si>
  <si>
    <t>HM</t>
  </si>
  <si>
    <t>N</t>
  </si>
  <si>
    <t>MEP</t>
  </si>
  <si>
    <t>MAX</t>
  </si>
  <si>
    <t>AXON</t>
  </si>
  <si>
    <t>VURIG</t>
  </si>
  <si>
    <t>TONENDE</t>
  </si>
  <si>
    <t>KLADT</t>
  </si>
  <si>
    <t>ZOG</t>
  </si>
  <si>
    <t>YES</t>
  </si>
  <si>
    <t>MICA</t>
  </si>
  <si>
    <t>ONSJE</t>
  </si>
  <si>
    <t>GEKEEND</t>
  </si>
  <si>
    <t>QUOTEN</t>
  </si>
  <si>
    <t>ZIFT</t>
  </si>
  <si>
    <t>FIXEN</t>
  </si>
  <si>
    <t>EDEN</t>
  </si>
  <si>
    <t>CROWN</t>
  </si>
  <si>
    <t>MN</t>
  </si>
  <si>
    <t>MENNEN</t>
  </si>
  <si>
    <t>REX</t>
  </si>
  <si>
    <t>SEQUENS</t>
  </si>
  <si>
    <t>OTIUM</t>
  </si>
  <si>
    <t>AKERTJE</t>
  </si>
  <si>
    <t>FEBR</t>
  </si>
  <si>
    <t>WARE</t>
  </si>
  <si>
    <t>QTJES</t>
  </si>
  <si>
    <t>SCHENK</t>
  </si>
  <si>
    <t>BREKING</t>
  </si>
  <si>
    <t>NOBLESSE</t>
  </si>
  <si>
    <t>YIPS</t>
  </si>
  <si>
    <t>PUNCH</t>
  </si>
  <si>
    <t>WEM</t>
  </si>
  <si>
    <t>WEMELEN</t>
  </si>
  <si>
    <t>BELG</t>
  </si>
  <si>
    <t>BDSM</t>
  </si>
  <si>
    <t>DEZER</t>
  </si>
  <si>
    <t>DRAKERIG</t>
  </si>
  <si>
    <t>VEEG</t>
  </si>
  <si>
    <t>RUWDE</t>
  </si>
  <si>
    <t>HEMDEN</t>
  </si>
  <si>
    <t>BRIK</t>
  </si>
  <si>
    <t>ZEEG</t>
  </si>
  <si>
    <t>ZWERK</t>
  </si>
  <si>
    <t>JEE</t>
  </si>
  <si>
    <t>GEHINT</t>
  </si>
  <si>
    <t>IMP</t>
  </si>
  <si>
    <t>HAAF</t>
  </si>
  <si>
    <t>GARCONS</t>
  </si>
  <si>
    <t>SEPTIC</t>
  </si>
  <si>
    <t>SEXY</t>
  </si>
  <si>
    <t>SEXYER</t>
  </si>
  <si>
    <t>RUWEN</t>
  </si>
  <si>
    <t>WIIEN</t>
  </si>
  <si>
    <t>FECIT</t>
  </si>
  <si>
    <t>TOESTAND</t>
  </si>
  <si>
    <t>VERSO</t>
  </si>
  <si>
    <t>NASTAAR</t>
  </si>
  <si>
    <t>CTJE</t>
  </si>
  <si>
    <t>KOMENDEN</t>
  </si>
  <si>
    <t>DELF</t>
  </si>
  <si>
    <t>SMALL</t>
  </si>
  <si>
    <t>FIXUS</t>
  </si>
  <si>
    <t>GESEISD</t>
  </si>
  <si>
    <t>LID</t>
  </si>
  <si>
    <t>KLAAGT</t>
  </si>
  <si>
    <t>WACHT</t>
  </si>
  <si>
    <t>WACHTENDE</t>
  </si>
  <si>
    <t>YEL</t>
  </si>
  <si>
    <t>WANTEN</t>
  </si>
  <si>
    <t>DEJA</t>
  </si>
  <si>
    <t>DUOOTJES</t>
  </si>
  <si>
    <t>NECRO</t>
  </si>
  <si>
    <t>VANGT</t>
  </si>
  <si>
    <t>BOZER</t>
  </si>
  <si>
    <t>KOKS</t>
  </si>
  <si>
    <t>NEY</t>
  </si>
  <si>
    <t>FES</t>
  </si>
  <si>
    <t>ZWARE</t>
  </si>
  <si>
    <t>KEES</t>
  </si>
  <si>
    <t>SIJP</t>
  </si>
  <si>
    <t>LOFREDES</t>
  </si>
  <si>
    <t>FEEEN</t>
  </si>
  <si>
    <t>GESTES</t>
  </si>
  <si>
    <t>ANDANTE</t>
  </si>
  <si>
    <t>FAN</t>
  </si>
  <si>
    <t>ZWAMP</t>
  </si>
  <si>
    <t>MARY</t>
  </si>
  <si>
    <t>MIX</t>
  </si>
  <si>
    <t>MIXED</t>
  </si>
  <si>
    <t>BOEIEN</t>
  </si>
  <si>
    <t>STREBER</t>
  </si>
  <si>
    <t>ALSTOEN</t>
  </si>
  <si>
    <t>TVNET</t>
  </si>
  <si>
    <t>OBLIES</t>
  </si>
  <si>
    <t>CELEN</t>
  </si>
  <si>
    <t>BOMIG</t>
  </si>
  <si>
    <t>KOERS</t>
  </si>
  <si>
    <t>KAAL</t>
  </si>
  <si>
    <t>CENTS</t>
  </si>
  <si>
    <t>DER</t>
  </si>
  <si>
    <t>FRONS</t>
  </si>
  <si>
    <t>KLERK</t>
  </si>
  <si>
    <t>LANCET</t>
  </si>
  <si>
    <t>NAPIJNEN</t>
  </si>
  <si>
    <t>EAU</t>
  </si>
  <si>
    <t>TEMPO</t>
  </si>
  <si>
    <t>DANSE</t>
  </si>
  <si>
    <t>GAPER</t>
  </si>
  <si>
    <t>PIXEL</t>
  </si>
  <si>
    <t>DAS</t>
  </si>
  <si>
    <t>RATTE</t>
  </si>
  <si>
    <t>SACRA</t>
  </si>
  <si>
    <t>EREWIJN</t>
  </si>
  <si>
    <t>SQUAW</t>
  </si>
  <si>
    <t>BELAGEN</t>
  </si>
  <si>
    <t>HEBT</t>
  </si>
  <si>
    <t>AMUSED</t>
  </si>
  <si>
    <t>VUT</t>
  </si>
  <si>
    <t>SALONS</t>
  </si>
  <si>
    <t>INSLAAN</t>
  </si>
  <si>
    <t>CAKE</t>
  </si>
  <si>
    <t>PENCE</t>
  </si>
  <si>
    <t>NANACHT</t>
  </si>
  <si>
    <t>JAM</t>
  </si>
  <si>
    <t>JAMS</t>
  </si>
  <si>
    <t>YENS</t>
  </si>
  <si>
    <t>DINKY</t>
  </si>
  <si>
    <t>HUK</t>
  </si>
  <si>
    <t>PIEL</t>
  </si>
  <si>
    <t>AALMOES</t>
  </si>
  <si>
    <t>QAT</t>
  </si>
  <si>
    <t>GEUITE</t>
  </si>
  <si>
    <t>AJOUR</t>
  </si>
  <si>
    <t>KNIJP</t>
  </si>
  <si>
    <t>KNIJPEN</t>
  </si>
  <si>
    <t>YIN</t>
  </si>
  <si>
    <t>SJIRK</t>
  </si>
  <si>
    <t>ZENDT</t>
  </si>
  <si>
    <t>BEUGT</t>
  </si>
  <si>
    <t>BEPTE</t>
  </si>
  <si>
    <t>PIJEN</t>
  </si>
  <si>
    <t>WASTE</t>
  </si>
  <si>
    <t>DONATIE</t>
  </si>
  <si>
    <t>ZIED</t>
  </si>
  <si>
    <t>ZATST</t>
  </si>
  <si>
    <t>VAMP</t>
  </si>
  <si>
    <t>AFVORM</t>
  </si>
  <si>
    <t>ONS</t>
  </si>
  <si>
    <t>ZWAD</t>
  </si>
  <si>
    <t>PEYOTE</t>
  </si>
  <si>
    <t>TRENDY</t>
  </si>
  <si>
    <t>DIEPERE</t>
  </si>
  <si>
    <t>CLIP</t>
  </si>
  <si>
    <t>QATTE</t>
  </si>
  <si>
    <t>HALEND</t>
  </si>
  <si>
    <t>BELAS</t>
  </si>
  <si>
    <t>DICTEE</t>
  </si>
  <si>
    <t>NYLON</t>
  </si>
  <si>
    <t>EDDY</t>
  </si>
  <si>
    <t>VOYEUR</t>
  </si>
  <si>
    <t>FYLUM</t>
  </si>
  <si>
    <t>FEMELT</t>
  </si>
  <si>
    <t>SMUKT</t>
  </si>
  <si>
    <t>MEEETEN</t>
  </si>
  <si>
    <t>DEBUG</t>
  </si>
  <si>
    <t>DEZEN</t>
  </si>
  <si>
    <t>VAARZEN</t>
  </si>
  <si>
    <t>RUNS</t>
  </si>
  <si>
    <t>SSSRBUY</t>
  </si>
  <si>
    <t>SCHURKT</t>
  </si>
  <si>
    <t>KRCSDTD</t>
  </si>
  <si>
    <t>OPRECHTE</t>
  </si>
  <si>
    <t xml:space="preserve">EOCTHE </t>
  </si>
  <si>
    <t>GENEREND</t>
  </si>
  <si>
    <t>GEDNNRE</t>
  </si>
  <si>
    <t>EXEN</t>
  </si>
  <si>
    <t>EEAKNNO</t>
  </si>
  <si>
    <t>CHAI</t>
  </si>
  <si>
    <t>IKCJHEA</t>
  </si>
  <si>
    <t>FLOX</t>
  </si>
  <si>
    <t>XANTOFK</t>
  </si>
  <si>
    <t>QATS</t>
  </si>
  <si>
    <t>II SQHE</t>
  </si>
  <si>
    <t>DSTZUOX</t>
  </si>
  <si>
    <t>DABT</t>
  </si>
  <si>
    <t>AIDAWBT</t>
  </si>
  <si>
    <t>BINDT</t>
  </si>
  <si>
    <t xml:space="preserve">OITNFB </t>
  </si>
  <si>
    <t>KWEET</t>
  </si>
  <si>
    <t>EEENKWN</t>
  </si>
  <si>
    <t>CASUS</t>
  </si>
  <si>
    <t>RASASCT</t>
  </si>
  <si>
    <t>KAZER</t>
  </si>
  <si>
    <t>AVEZERM</t>
  </si>
  <si>
    <t>HEET</t>
  </si>
  <si>
    <t>HODUTEE</t>
  </si>
  <si>
    <t>SCHEETJE</t>
  </si>
  <si>
    <t>VOJ NES</t>
  </si>
  <si>
    <t>HUI</t>
  </si>
  <si>
    <t>ANNUIHN</t>
  </si>
  <si>
    <t>ZENGT</t>
  </si>
  <si>
    <t>TFZEDGV</t>
  </si>
  <si>
    <t>PLENG</t>
  </si>
  <si>
    <t>PGQWLEA</t>
  </si>
  <si>
    <t>PECTINE</t>
  </si>
  <si>
    <t>CEIE PE</t>
  </si>
  <si>
    <t>SLENKEN</t>
  </si>
  <si>
    <t>N NKSEE</t>
  </si>
  <si>
    <t>ZEN</t>
  </si>
  <si>
    <t>BEAZNMC</t>
  </si>
  <si>
    <t>ENPENME</t>
  </si>
  <si>
    <t>KNUTTEN</t>
  </si>
  <si>
    <t>NKEATNU</t>
  </si>
  <si>
    <t>PERM</t>
  </si>
  <si>
    <t xml:space="preserve"> MEPNDI</t>
  </si>
  <si>
    <t>SERENER</t>
  </si>
  <si>
    <t>SNSBERE</t>
  </si>
  <si>
    <t>NEUKTEN</t>
  </si>
  <si>
    <t>NMUEKTN</t>
  </si>
  <si>
    <t>KLAMP</t>
  </si>
  <si>
    <t>MNLAFPD</t>
  </si>
  <si>
    <t>DAAGS</t>
  </si>
  <si>
    <t>IAGDASN</t>
  </si>
  <si>
    <t>PERKJE</t>
  </si>
  <si>
    <t>JRMHEPE</t>
  </si>
  <si>
    <t>RECTUM</t>
  </si>
  <si>
    <t>AUQRMTE</t>
  </si>
  <si>
    <t>WEES</t>
  </si>
  <si>
    <t>VEEESOW</t>
  </si>
  <si>
    <t>WEMELENDE</t>
  </si>
  <si>
    <t>DOOTEAT</t>
  </si>
  <si>
    <t>AFWEERDE</t>
  </si>
  <si>
    <t>EER DAW</t>
  </si>
  <si>
    <t>ZOMP</t>
  </si>
  <si>
    <t>TDBZPOJ</t>
  </si>
  <si>
    <t>ZWEM</t>
  </si>
  <si>
    <t>XWNCMOE</t>
  </si>
  <si>
    <t>FAS</t>
  </si>
  <si>
    <t>GJAFNSP</t>
  </si>
  <si>
    <t>DINO</t>
  </si>
  <si>
    <t>OQINRDN</t>
  </si>
  <si>
    <t>MEG</t>
  </si>
  <si>
    <t>NNEOGME</t>
  </si>
  <si>
    <t>ZONKANT</t>
  </si>
  <si>
    <t xml:space="preserve">NANTZO </t>
  </si>
  <si>
    <t>VANNEN</t>
  </si>
  <si>
    <t>ANNEDVU</t>
  </si>
  <si>
    <t>BANKJE</t>
  </si>
  <si>
    <t>BTEPAKJ</t>
  </si>
  <si>
    <t>TET</t>
  </si>
  <si>
    <t>FRVTETJ</t>
  </si>
  <si>
    <t>GEREZEN</t>
  </si>
  <si>
    <t>CGZENAD</t>
  </si>
  <si>
    <t>SNEES</t>
  </si>
  <si>
    <t>SEIONSE</t>
  </si>
  <si>
    <t>AZUKI</t>
  </si>
  <si>
    <t>MAAUEIZ</t>
  </si>
  <si>
    <t>YELT</t>
  </si>
  <si>
    <t>AUOALYE</t>
  </si>
  <si>
    <t>KOEHUIDEN</t>
  </si>
  <si>
    <t>NOUE ID</t>
  </si>
  <si>
    <t>R</t>
  </si>
  <si>
    <t>ENUNREU</t>
  </si>
  <si>
    <t>HOZEN</t>
  </si>
  <si>
    <t>ZWENONH</t>
  </si>
  <si>
    <t>HU</t>
  </si>
  <si>
    <t>HNZNMZU</t>
  </si>
  <si>
    <t>SEXT</t>
  </si>
  <si>
    <t>VERSEXF</t>
  </si>
  <si>
    <t>WAARMEE</t>
  </si>
  <si>
    <t>WEEAEMA</t>
  </si>
  <si>
    <t>GELD</t>
  </si>
  <si>
    <t>NNGGLED</t>
  </si>
  <si>
    <t>GEMBER</t>
  </si>
  <si>
    <t>MGBREEK</t>
  </si>
  <si>
    <t>BETEGELT</t>
  </si>
  <si>
    <t>EEETLTB</t>
  </si>
  <si>
    <t>MAKIS</t>
  </si>
  <si>
    <t>KIAMSMR</t>
  </si>
  <si>
    <t>ZAADJES</t>
  </si>
  <si>
    <t>SEAZAJG</t>
  </si>
  <si>
    <t>TWEE</t>
  </si>
  <si>
    <t>JOEWEAV</t>
  </si>
  <si>
    <t>NUTTIGS</t>
  </si>
  <si>
    <t>N TIGSU</t>
  </si>
  <si>
    <t>VERROKEN</t>
  </si>
  <si>
    <t>NRR O E</t>
  </si>
  <si>
    <t>DEED</t>
  </si>
  <si>
    <t>EDDTDNE</t>
  </si>
  <si>
    <t>VERMEEN</t>
  </si>
  <si>
    <t>NRVEEKE</t>
  </si>
  <si>
    <t>CAJUN</t>
  </si>
  <si>
    <t>JDAIPUC</t>
  </si>
  <si>
    <t>WEG</t>
  </si>
  <si>
    <t>GEWUDPO</t>
  </si>
  <si>
    <t>BEI</t>
  </si>
  <si>
    <t>SAHEBIE</t>
  </si>
  <si>
    <t>TONGEND</t>
  </si>
  <si>
    <t>NENRTOD</t>
  </si>
  <si>
    <t>LANDJES</t>
  </si>
  <si>
    <t>DJ SALN</t>
  </si>
  <si>
    <t>NAVY</t>
  </si>
  <si>
    <t>WLYANIV</t>
  </si>
  <si>
    <t>EURO</t>
  </si>
  <si>
    <t>OJAEERU</t>
  </si>
  <si>
    <t>PILDE</t>
  </si>
  <si>
    <t>MPQEIDU</t>
  </si>
  <si>
    <t>CAMEEEN</t>
  </si>
  <si>
    <t>NFMAECE</t>
  </si>
  <si>
    <t>NURK</t>
  </si>
  <si>
    <t>NORAEEK</t>
  </si>
  <si>
    <t>HOEWEL</t>
  </si>
  <si>
    <t>WLETEQH</t>
  </si>
  <si>
    <t>LEE</t>
  </si>
  <si>
    <t>JNLTWEM</t>
  </si>
  <si>
    <t>PONYS</t>
  </si>
  <si>
    <t>KFNAPYS</t>
  </si>
  <si>
    <t>WIEDT</t>
  </si>
  <si>
    <t>UTTWDAI</t>
  </si>
  <si>
    <t>JA</t>
  </si>
  <si>
    <t>NCCNDJA</t>
  </si>
  <si>
    <t>NET</t>
  </si>
  <si>
    <t>RLFUTEN</t>
  </si>
  <si>
    <t>GENST</t>
  </si>
  <si>
    <t>DGDDSNE</t>
  </si>
  <si>
    <t>BAD</t>
  </si>
  <si>
    <t>BEEDAVO</t>
  </si>
  <si>
    <t>UITZEILEN</t>
  </si>
  <si>
    <t>IUENTIL</t>
  </si>
  <si>
    <t>NDNFNUE</t>
  </si>
  <si>
    <t>WEB</t>
  </si>
  <si>
    <t>EABEWAY</t>
  </si>
  <si>
    <t>EUTROFIE</t>
  </si>
  <si>
    <t>OEF URT</t>
  </si>
  <si>
    <t>INRUKTEN</t>
  </si>
  <si>
    <t>ENNITRK</t>
  </si>
  <si>
    <t>SLEPEND</t>
  </si>
  <si>
    <t>XDPELES</t>
  </si>
  <si>
    <t>AVE</t>
  </si>
  <si>
    <t>VEUEELA</t>
  </si>
  <si>
    <t>ARCEER</t>
  </si>
  <si>
    <t>NACZREE</t>
  </si>
  <si>
    <t>WADI</t>
  </si>
  <si>
    <t>QDDIBWT</t>
  </si>
  <si>
    <t>MEI</t>
  </si>
  <si>
    <t>VQOEMIW</t>
  </si>
  <si>
    <t>RE</t>
  </si>
  <si>
    <t>VMRENAU</t>
  </si>
  <si>
    <t>HARP</t>
  </si>
  <si>
    <t>PARRHGN</t>
  </si>
  <si>
    <t>JUNKS</t>
  </si>
  <si>
    <t>KUNXDJT</t>
  </si>
  <si>
    <t>NETWERK</t>
  </si>
  <si>
    <t>EKWURTN</t>
  </si>
  <si>
    <t>TRY</t>
  </si>
  <si>
    <t>CTEHOYR</t>
  </si>
  <si>
    <t>WEEDAS</t>
  </si>
  <si>
    <t>NDEAWEW</t>
  </si>
  <si>
    <t>MENNER</t>
  </si>
  <si>
    <t>MRNNENI</t>
  </si>
  <si>
    <t>STAAN</t>
  </si>
  <si>
    <t>AAEENTS</t>
  </si>
  <si>
    <t>ZATE</t>
  </si>
  <si>
    <t>EAEZTNN</t>
  </si>
  <si>
    <t>AXEL</t>
  </si>
  <si>
    <t>JKXTLEA</t>
  </si>
  <si>
    <t>AFBETEN</t>
  </si>
  <si>
    <t>ENAFBTR</t>
  </si>
  <si>
    <t>DERVEN</t>
  </si>
  <si>
    <t>VUNGENV</t>
  </si>
  <si>
    <t>WON</t>
  </si>
  <si>
    <t>EAAOEWF</t>
  </si>
  <si>
    <t>VEEWAGEN</t>
  </si>
  <si>
    <t>WVEAEEG</t>
  </si>
  <si>
    <t>SIBFTHM</t>
  </si>
  <si>
    <t>DWEEP</t>
  </si>
  <si>
    <t>WDEEEAU</t>
  </si>
  <si>
    <t>KADEN</t>
  </si>
  <si>
    <t>AEKNEDD</t>
  </si>
  <si>
    <t>HE</t>
  </si>
  <si>
    <t>NOEEEHE</t>
  </si>
  <si>
    <t>YUCA</t>
  </si>
  <si>
    <t>QCWAOEY</t>
  </si>
  <si>
    <t>NEERZET</t>
  </si>
  <si>
    <t>EETZNER</t>
  </si>
  <si>
    <t>WAKER</t>
  </si>
  <si>
    <t>AEAWWAK</t>
  </si>
  <si>
    <t>MATIGER</t>
  </si>
  <si>
    <t>GRFMTAE</t>
  </si>
  <si>
    <t>INVOERT</t>
  </si>
  <si>
    <t>NIOERTV</t>
  </si>
  <si>
    <t>NEUSAAP</t>
  </si>
  <si>
    <t>YA UPEN</t>
  </si>
  <si>
    <t>SOESDEN</t>
  </si>
  <si>
    <t>DWSSOEE</t>
  </si>
  <si>
    <t>PUIN</t>
  </si>
  <si>
    <t>UDACDNP</t>
  </si>
  <si>
    <t>GAK</t>
  </si>
  <si>
    <t>GKCSVAE</t>
  </si>
  <si>
    <t>AFVANGT</t>
  </si>
  <si>
    <t>GANTK V</t>
  </si>
  <si>
    <t>JOB</t>
  </si>
  <si>
    <t>NEOAMKJ</t>
  </si>
  <si>
    <t>GEPINDE</t>
  </si>
  <si>
    <t>NGEEGPI</t>
  </si>
  <si>
    <t>BEPERK</t>
  </si>
  <si>
    <t>EXEEKRB</t>
  </si>
  <si>
    <t>GEURNORM</t>
  </si>
  <si>
    <t>UORG ER</t>
  </si>
  <si>
    <t>EH</t>
  </si>
  <si>
    <t>IAKAEHI</t>
  </si>
  <si>
    <t>SJEU</t>
  </si>
  <si>
    <t>EUOEJJS</t>
  </si>
  <si>
    <t>ZWOEL</t>
  </si>
  <si>
    <t>ZKDOLWU</t>
  </si>
  <si>
    <t>VUIG</t>
  </si>
  <si>
    <t>GVQNOIU</t>
  </si>
  <si>
    <t>PF</t>
  </si>
  <si>
    <t>GAFDUDP</t>
  </si>
  <si>
    <t>DANDY</t>
  </si>
  <si>
    <t>UNDNEYD</t>
  </si>
  <si>
    <t>DANDYS</t>
  </si>
  <si>
    <t>OWRLSOI</t>
  </si>
  <si>
    <t>KWIK</t>
  </si>
  <si>
    <t>NUWNIJK</t>
  </si>
  <si>
    <t>SHOGI</t>
  </si>
  <si>
    <t>OEHSOTG</t>
  </si>
  <si>
    <t>MOVES</t>
  </si>
  <si>
    <t>MEEVFSO</t>
  </si>
  <si>
    <t>POM</t>
  </si>
  <si>
    <t>OSCMRRP</t>
  </si>
  <si>
    <t>BOSPLAN</t>
  </si>
  <si>
    <t>NBOSALP</t>
  </si>
  <si>
    <t>BVBA</t>
  </si>
  <si>
    <t>FBZAJVT</t>
  </si>
  <si>
    <t>MAXIMALE</t>
  </si>
  <si>
    <t>EMXAIML</t>
  </si>
  <si>
    <t>STOKTEN</t>
  </si>
  <si>
    <t>EONSTKT</t>
  </si>
  <si>
    <t>BEUNEN</t>
  </si>
  <si>
    <t>UMSEEBN</t>
  </si>
  <si>
    <t>HIL</t>
  </si>
  <si>
    <t>GAHEOEL</t>
  </si>
  <si>
    <t>DJAKS</t>
  </si>
  <si>
    <t>ABDXJKN</t>
  </si>
  <si>
    <t>LAF</t>
  </si>
  <si>
    <t>ADOLUFM</t>
  </si>
  <si>
    <t>AANSTA</t>
  </si>
  <si>
    <t>SNAOANA</t>
  </si>
  <si>
    <t>EOEVPFI</t>
  </si>
  <si>
    <t>AFWIPT</t>
  </si>
  <si>
    <t>WXT IFS</t>
  </si>
  <si>
    <t>AOOOHEN</t>
  </si>
  <si>
    <t>GEINDE</t>
  </si>
  <si>
    <t>EEINAGU</t>
  </si>
  <si>
    <t>EB</t>
  </si>
  <si>
    <t>EQIDBOD</t>
  </si>
  <si>
    <t>DIVAS</t>
  </si>
  <si>
    <t>MVIADER</t>
  </si>
  <si>
    <t>VIP</t>
  </si>
  <si>
    <t>ETEEEVP</t>
  </si>
  <si>
    <t>PROZA</t>
  </si>
  <si>
    <t>DNNZOAR</t>
  </si>
  <si>
    <t>JU</t>
  </si>
  <si>
    <t>UEEJEEE</t>
  </si>
  <si>
    <t>ENNE</t>
  </si>
  <si>
    <t>NNNXENE</t>
  </si>
  <si>
    <t>GRUWT</t>
  </si>
  <si>
    <t>OUOTGVR</t>
  </si>
  <si>
    <t>ERFLAND</t>
  </si>
  <si>
    <t>DZFALNR</t>
  </si>
  <si>
    <t>MNOXKEA</t>
  </si>
  <si>
    <t>CLIPJES</t>
  </si>
  <si>
    <t>EESGGRJ</t>
  </si>
  <si>
    <t>OVENS</t>
  </si>
  <si>
    <t>KVNTOEM</t>
  </si>
  <si>
    <t>CAKEJE</t>
  </si>
  <si>
    <t>MKOCEJA</t>
  </si>
  <si>
    <t>SNUL</t>
  </si>
  <si>
    <t>UNSERNL</t>
  </si>
  <si>
    <t>NOEL</t>
  </si>
  <si>
    <t>OENONEF</t>
  </si>
  <si>
    <t>KLAAR</t>
  </si>
  <si>
    <t>AKLMADR</t>
  </si>
  <si>
    <t>BEWESTEN</t>
  </si>
  <si>
    <t>WTEE BE</t>
  </si>
  <si>
    <t>BUPS</t>
  </si>
  <si>
    <t>SNUHPOR</t>
  </si>
  <si>
    <t>HADJ</t>
  </si>
  <si>
    <t>JDZEOAH</t>
  </si>
  <si>
    <t>BEINKTE</t>
  </si>
  <si>
    <t>TEENIBK</t>
  </si>
  <si>
    <t>SEDAN</t>
  </si>
  <si>
    <t>ADSBEDN</t>
  </si>
  <si>
    <t>MEEVAL</t>
  </si>
  <si>
    <t>VANELEM</t>
  </si>
  <si>
    <t>DWMWEJN</t>
  </si>
  <si>
    <t>EX</t>
  </si>
  <si>
    <t>SEEKEXO</t>
  </si>
  <si>
    <t>WAMDE</t>
  </si>
  <si>
    <t>OEEDHWM</t>
  </si>
  <si>
    <t>CRUDE</t>
  </si>
  <si>
    <t>PDSCRUL</t>
  </si>
  <si>
    <t>BOLK</t>
  </si>
  <si>
    <t>SSBYONL</t>
  </si>
  <si>
    <t>RACK</t>
  </si>
  <si>
    <t>DDKRMAC</t>
  </si>
  <si>
    <t>HER</t>
  </si>
  <si>
    <t>RNTHWEC</t>
  </si>
  <si>
    <t>BEWEEN</t>
  </si>
  <si>
    <t>EBESAWE</t>
  </si>
  <si>
    <t>COCA</t>
  </si>
  <si>
    <t>AKNOCEZ</t>
  </si>
  <si>
    <t>WAKE</t>
  </si>
  <si>
    <t>KJEWAHT</t>
  </si>
  <si>
    <t>KNUT</t>
  </si>
  <si>
    <t>ANTKUEV</t>
  </si>
  <si>
    <t>ETHICI</t>
  </si>
  <si>
    <t>IIHEJBC</t>
  </si>
  <si>
    <t>DOX</t>
  </si>
  <si>
    <t>DSTUXEA</t>
  </si>
  <si>
    <t>VETWEI</t>
  </si>
  <si>
    <t>IAWEVTE</t>
  </si>
  <si>
    <t>ZWERF</t>
  </si>
  <si>
    <t>OFDRDZW</t>
  </si>
  <si>
    <t>ANNEXEER</t>
  </si>
  <si>
    <t>ENN XAR</t>
  </si>
  <si>
    <t>STAYER</t>
  </si>
  <si>
    <t>RATEGSY</t>
  </si>
  <si>
    <t>BI</t>
  </si>
  <si>
    <t>VEMK EB</t>
  </si>
  <si>
    <t>FTPDE</t>
  </si>
  <si>
    <t>ODUEFTP</t>
  </si>
  <si>
    <t>NON</t>
  </si>
  <si>
    <t>VONTNNN</t>
  </si>
  <si>
    <t>ANODEN</t>
  </si>
  <si>
    <t>ANNNOED</t>
  </si>
  <si>
    <t>FRONT</t>
  </si>
  <si>
    <t>FDVNRTP</t>
  </si>
  <si>
    <t>QWAYEBM</t>
  </si>
  <si>
    <t>KAN</t>
  </si>
  <si>
    <t>EAEKTNE</t>
  </si>
  <si>
    <t>CONFUSE</t>
  </si>
  <si>
    <t>ECVFONU</t>
  </si>
  <si>
    <t>AMICTEN</t>
  </si>
  <si>
    <t>BAMCIGT</t>
  </si>
  <si>
    <t>PENEN</t>
  </si>
  <si>
    <t>EPENENN</t>
  </si>
  <si>
    <t>CAB</t>
  </si>
  <si>
    <t>AYWACDB</t>
  </si>
  <si>
    <t>RAZEIL</t>
  </si>
  <si>
    <t>NDIZLEA</t>
  </si>
  <si>
    <t>BENGELS</t>
  </si>
  <si>
    <t>SBEGNEE</t>
  </si>
  <si>
    <t>MUFT</t>
  </si>
  <si>
    <t>MNUATNF</t>
  </si>
  <si>
    <t>RAF</t>
  </si>
  <si>
    <t>NFDOROA</t>
  </si>
  <si>
    <t>SIKH</t>
  </si>
  <si>
    <t>INHESNK</t>
  </si>
  <si>
    <t>HIEROM</t>
  </si>
  <si>
    <t>MHFEIRO</t>
  </si>
  <si>
    <t>RIM</t>
  </si>
  <si>
    <t>AQIEMRS</t>
  </si>
  <si>
    <t>ACE</t>
  </si>
  <si>
    <t>VEOAECT</t>
  </si>
  <si>
    <t>OPVATTE</t>
  </si>
  <si>
    <t>OOTATPV</t>
  </si>
  <si>
    <t>ELAN</t>
  </si>
  <si>
    <t>YANNOEL</t>
  </si>
  <si>
    <t>TAB</t>
  </si>
  <si>
    <t>TDBJACF</t>
  </si>
  <si>
    <t>CODEX</t>
  </si>
  <si>
    <t>XNCOEED</t>
  </si>
  <si>
    <t>JENT</t>
  </si>
  <si>
    <t>GJNPMET</t>
  </si>
  <si>
    <t>ERVANAF</t>
  </si>
  <si>
    <t>QRNMAVE</t>
  </si>
  <si>
    <t>NNOEWMS</t>
  </si>
  <si>
    <t>BEVEK</t>
  </si>
  <si>
    <t>OKEYCEB</t>
  </si>
  <si>
    <t>PERDUE</t>
  </si>
  <si>
    <t>DUEEPRD</t>
  </si>
  <si>
    <t>JOGT</t>
  </si>
  <si>
    <t>TPJNROG</t>
  </si>
  <si>
    <t>FIVE</t>
  </si>
  <si>
    <t>FRVJOIE</t>
  </si>
  <si>
    <t>NADEEL</t>
  </si>
  <si>
    <t>CADLEQE</t>
  </si>
  <si>
    <t>CAI</t>
  </si>
  <si>
    <t>IOCEEAW</t>
  </si>
  <si>
    <t>BIET</t>
  </si>
  <si>
    <t>MAEJTBS</t>
  </si>
  <si>
    <t>ROG</t>
  </si>
  <si>
    <t>AUOARGE</t>
  </si>
  <si>
    <t>CREME</t>
  </si>
  <si>
    <t>CMFEELS</t>
  </si>
  <si>
    <t>CUE</t>
  </si>
  <si>
    <t>ENUNEUC</t>
  </si>
  <si>
    <t>CINCH</t>
  </si>
  <si>
    <t>WNH ZWC</t>
  </si>
  <si>
    <t>AZCS</t>
  </si>
  <si>
    <t>NZNMZAC</t>
  </si>
  <si>
    <t>VERAF</t>
  </si>
  <si>
    <t>VREFIAR</t>
  </si>
  <si>
    <t>ZAL</t>
  </si>
  <si>
    <t>EZEEAHN</t>
  </si>
  <si>
    <t>GODINNEN</t>
  </si>
  <si>
    <t>NNGDNIO</t>
  </si>
  <si>
    <t>LEX</t>
  </si>
  <si>
    <t>EKALFXD</t>
  </si>
  <si>
    <t>TAS</t>
  </si>
  <si>
    <t>NASTUAC</t>
  </si>
  <si>
    <t>DAMPER</t>
  </si>
  <si>
    <t>MRPKDAM</t>
  </si>
  <si>
    <t>RINGELT</t>
  </si>
  <si>
    <t>GN IELR</t>
  </si>
  <si>
    <t>JOAVNUE</t>
  </si>
  <si>
    <t>DETOX</t>
  </si>
  <si>
    <t>EDP MXO</t>
  </si>
  <si>
    <t>CENT</t>
  </si>
  <si>
    <t>NATCANE</t>
  </si>
  <si>
    <t>NOG</t>
  </si>
  <si>
    <t>TDNGSNV</t>
  </si>
  <si>
    <t>BEK</t>
  </si>
  <si>
    <t>KCBSNEO</t>
  </si>
  <si>
    <t>RAAI</t>
  </si>
  <si>
    <t>DIPDAVR</t>
  </si>
  <si>
    <t>FOP</t>
  </si>
  <si>
    <t>UDPOFKA</t>
  </si>
  <si>
    <t>MANSHOED</t>
  </si>
  <si>
    <t>SAHENMO</t>
  </si>
  <si>
    <t>ZAP</t>
  </si>
  <si>
    <t>RGFPQZA</t>
  </si>
  <si>
    <t>MODERNS</t>
  </si>
  <si>
    <t>EMSOERO</t>
  </si>
  <si>
    <t>WARME</t>
  </si>
  <si>
    <t>WLIMERA</t>
  </si>
  <si>
    <t>JUTTE</t>
  </si>
  <si>
    <t>JAETUTS</t>
  </si>
  <si>
    <t>SMOUZEN</t>
  </si>
  <si>
    <t xml:space="preserve">MQUO Z </t>
  </si>
  <si>
    <t>SFINX</t>
  </si>
  <si>
    <t>FXSBOIN</t>
  </si>
  <si>
    <t>ERA</t>
  </si>
  <si>
    <t>OAEEORN</t>
  </si>
  <si>
    <t>TROEL</t>
  </si>
  <si>
    <t>TQIERVO</t>
  </si>
  <si>
    <t>WURM</t>
  </si>
  <si>
    <t>JNTWMUP</t>
  </si>
  <si>
    <t>KAASDE</t>
  </si>
  <si>
    <t>KFADAED</t>
  </si>
  <si>
    <t>ID</t>
  </si>
  <si>
    <t>UTADZER</t>
  </si>
  <si>
    <t>C</t>
  </si>
  <si>
    <t>NCCNDLN</t>
  </si>
  <si>
    <t>SLURF</t>
  </si>
  <si>
    <t>RLFUNNS</t>
  </si>
  <si>
    <t>PI</t>
  </si>
  <si>
    <t>DDDONPI</t>
  </si>
  <si>
    <t>OVERAL</t>
  </si>
  <si>
    <t>EEVOERA</t>
  </si>
  <si>
    <t>WEEL</t>
  </si>
  <si>
    <t>AAPEEIL</t>
  </si>
  <si>
    <t>KUR</t>
  </si>
  <si>
    <t>NNNUVUK</t>
  </si>
  <si>
    <t>AYA</t>
  </si>
  <si>
    <t>EAEAYOE</t>
  </si>
  <si>
    <t>HMNJNOA</t>
  </si>
  <si>
    <t>VRONEN</t>
  </si>
  <si>
    <t>ONEVNYA</t>
  </si>
  <si>
    <t>MENSA</t>
  </si>
  <si>
    <t>XNAESMU</t>
  </si>
  <si>
    <t>SUB</t>
  </si>
  <si>
    <t>EUEELSB</t>
  </si>
  <si>
    <t>OPZEND</t>
  </si>
  <si>
    <t>NZEODKN</t>
  </si>
  <si>
    <t>QDBTONA</t>
  </si>
  <si>
    <t>WOLVEN</t>
  </si>
  <si>
    <t>VQOWELN</t>
  </si>
  <si>
    <t>MUD</t>
  </si>
  <si>
    <t>VMENAUD</t>
  </si>
  <si>
    <t>GRANNY</t>
  </si>
  <si>
    <t>RGNYSAE</t>
  </si>
  <si>
    <t>DUX</t>
  </si>
  <si>
    <t xml:space="preserve">XDTMOM </t>
  </si>
  <si>
    <t>DIAPAUZE</t>
  </si>
  <si>
    <t>UPGZIDA</t>
  </si>
  <si>
    <t>BIOTECH</t>
  </si>
  <si>
    <t>CEHO TO</t>
  </si>
  <si>
    <t>PRENTEN</t>
  </si>
  <si>
    <t>NWTPEEN</t>
  </si>
  <si>
    <t>CIS</t>
  </si>
  <si>
    <t>NIKCESA</t>
  </si>
  <si>
    <t>WEEERE</t>
  </si>
  <si>
    <t>EEEERWN</t>
  </si>
  <si>
    <t>ENTINGEN</t>
  </si>
  <si>
    <t>ENNGNIT</t>
  </si>
  <si>
    <t>JEUKT</t>
  </si>
  <si>
    <t>JKTEUEM</t>
  </si>
  <si>
    <t>CARVE</t>
  </si>
  <si>
    <t>RAEPCVZ</t>
  </si>
  <si>
    <t>GUTSEN</t>
  </si>
  <si>
    <t>UGNVCTS</t>
  </si>
  <si>
    <t>FULP</t>
  </si>
  <si>
    <t>EAAEFPL</t>
  </si>
  <si>
    <t>WECK</t>
  </si>
  <si>
    <t>CMEDKGV</t>
  </si>
  <si>
    <t>BEFTE</t>
  </si>
  <si>
    <t>SIBFTEE</t>
  </si>
  <si>
    <t>AUREOOL</t>
  </si>
  <si>
    <t>EAURLOO</t>
  </si>
  <si>
    <t>BREIDDE</t>
  </si>
  <si>
    <t>EDDRIBR</t>
  </si>
  <si>
    <t>TEMPORE</t>
  </si>
  <si>
    <t>NOEEERE</t>
  </si>
  <si>
    <t>WIEME</t>
  </si>
  <si>
    <t>QWOEMIV</t>
  </si>
  <si>
    <t>KALIS</t>
  </si>
  <si>
    <t xml:space="preserve">CSKNIL </t>
  </si>
  <si>
    <t>KWAB</t>
  </si>
  <si>
    <t>AWABENO</t>
  </si>
  <si>
    <t>FRIT</t>
  </si>
  <si>
    <t>FRTRNMN</t>
  </si>
  <si>
    <t>LUXE</t>
  </si>
  <si>
    <t>ELADUKN</t>
  </si>
  <si>
    <t xml:space="preserve">YJAMNV </t>
  </si>
  <si>
    <t>BEIGE</t>
  </si>
  <si>
    <t>WGBIEAN</t>
  </si>
  <si>
    <t>DECADENT</t>
  </si>
  <si>
    <t>DACDEET</t>
  </si>
  <si>
    <t>CAMPS</t>
  </si>
  <si>
    <t>CSVEPNM</t>
  </si>
  <si>
    <t>YONI</t>
  </si>
  <si>
    <t>KINOUQY</t>
  </si>
  <si>
    <t>AANKOM</t>
  </si>
  <si>
    <t>NEAMKLA</t>
  </si>
  <si>
    <t>GEHAK</t>
  </si>
  <si>
    <t>GAHEOEA</t>
  </si>
  <si>
    <t>XEGKANN</t>
  </si>
  <si>
    <t>MEELIJ</t>
  </si>
  <si>
    <t>EMNELPJ</t>
  </si>
  <si>
    <t>KIS</t>
  </si>
  <si>
    <t>IAKAIEK</t>
  </si>
  <si>
    <t>OEJAXSZ</t>
  </si>
  <si>
    <t>GULDEN</t>
  </si>
  <si>
    <t>KDUNGEL</t>
  </si>
  <si>
    <t>NANACHTEN</t>
  </si>
  <si>
    <t>QNOSRME</t>
  </si>
  <si>
    <t>DEUGEND</t>
  </si>
  <si>
    <t>GADUDEN</t>
  </si>
  <si>
    <t>YUPPEN</t>
  </si>
  <si>
    <t>UNEUP A</t>
  </si>
  <si>
    <t>RUIL</t>
  </si>
  <si>
    <t>OWRLOIE</t>
  </si>
  <si>
    <t>JUNK</t>
  </si>
  <si>
    <t>NUNJ NG</t>
  </si>
  <si>
    <t>GESTOTEN</t>
  </si>
  <si>
    <t>EOTNEGT</t>
  </si>
  <si>
    <t>SNOEFDE</t>
  </si>
  <si>
    <t>EFEDNSB</t>
  </si>
  <si>
    <t>ETS</t>
  </si>
  <si>
    <t>SCRRNTN</t>
  </si>
  <si>
    <t>MALVE</t>
  </si>
  <si>
    <t>EEACERV</t>
  </si>
  <si>
    <t>JEANS</t>
  </si>
  <si>
    <t>FZJTSAN</t>
  </si>
  <si>
    <t>CREEER</t>
  </si>
  <si>
    <t>REFRCEE</t>
  </si>
  <si>
    <t>OHAEN</t>
  </si>
  <si>
    <t>NHAUODE</t>
  </si>
  <si>
    <t>SNELTRAM</t>
  </si>
  <si>
    <t>MSTLN R</t>
  </si>
  <si>
    <t>GARVE</t>
  </si>
  <si>
    <t>GAEOEAV</t>
  </si>
  <si>
    <t>NEB</t>
  </si>
  <si>
    <t>BXNZEPD</t>
  </si>
  <si>
    <t>DUM</t>
  </si>
  <si>
    <t>ADOUMNO</t>
  </si>
  <si>
    <t>POINTE</t>
  </si>
  <si>
    <t>ONNIPOE</t>
  </si>
  <si>
    <t>GIN</t>
  </si>
  <si>
    <t>EOEVIQN</t>
  </si>
  <si>
    <t>X</t>
  </si>
  <si>
    <t>XSIEREJ</t>
  </si>
  <si>
    <t>ZANT</t>
  </si>
  <si>
    <t>AOOONZR</t>
  </si>
  <si>
    <t>SAUZEN</t>
  </si>
  <si>
    <t>AUMNEZS</t>
  </si>
  <si>
    <t>QUID</t>
  </si>
  <si>
    <t>QIDODSS</t>
  </si>
  <si>
    <t>MODERNER</t>
  </si>
  <si>
    <t>MERNR O</t>
  </si>
  <si>
    <t>GEZIED</t>
  </si>
  <si>
    <t>ETEEEGS</t>
  </si>
  <si>
    <t>DOXEN</t>
  </si>
  <si>
    <t>DNNREXO</t>
  </si>
  <si>
    <t>E</t>
  </si>
  <si>
    <t>EEEEENE</t>
  </si>
  <si>
    <t>NXNTNEF</t>
  </si>
  <si>
    <t>H</t>
  </si>
  <si>
    <t>OOVHVLO</t>
  </si>
  <si>
    <t>FEZEL</t>
  </si>
  <si>
    <t>ZFNEERE</t>
  </si>
  <si>
    <t>FOKKEN</t>
  </si>
  <si>
    <t>NOKEAKE</t>
  </si>
  <si>
    <t>GELEGERD</t>
  </si>
  <si>
    <t>EGGRDEL</t>
  </si>
  <si>
    <t>BLOKT</t>
  </si>
  <si>
    <t>KTMBBOF</t>
  </si>
  <si>
    <t>BOEMELDE</t>
  </si>
  <si>
    <t>MOEBEDL</t>
  </si>
  <si>
    <t>FETEREN</t>
  </si>
  <si>
    <t>NERNEFT</t>
  </si>
  <si>
    <t>ONKLAAR</t>
  </si>
  <si>
    <t>ONEFEEU</t>
  </si>
  <si>
    <t>AFA</t>
  </si>
  <si>
    <t>MADDNFA</t>
  </si>
  <si>
    <t>GEWIT</t>
  </si>
  <si>
    <t>GIINTWL</t>
  </si>
  <si>
    <t>SHOWEN</t>
  </si>
  <si>
    <t>NHORKES</t>
  </si>
  <si>
    <t>ZOEMEN</t>
  </si>
  <si>
    <t>ZEONEMQ</t>
  </si>
  <si>
    <t>WEKT</t>
  </si>
  <si>
    <t>WEOKMOT</t>
  </si>
  <si>
    <t>BDYISAN</t>
  </si>
  <si>
    <t>BRONOLIE</t>
  </si>
  <si>
    <t>NROE OI</t>
  </si>
  <si>
    <t>DWJNFYE</t>
  </si>
  <si>
    <t>SOK</t>
  </si>
  <si>
    <t>SEEKEOT</t>
  </si>
  <si>
    <t>OEH</t>
  </si>
  <si>
    <t>OEHETRR</t>
  </si>
  <si>
    <t>PEGEL</t>
  </si>
  <si>
    <t>PSLEDMG</t>
  </si>
  <si>
    <t xml:space="preserve">SSYNZG </t>
  </si>
  <si>
    <t>DAMPENDE</t>
  </si>
  <si>
    <t>DDMPEEN</t>
  </si>
  <si>
    <t>KETCH</t>
  </si>
  <si>
    <t>NTWCNOK</t>
  </si>
  <si>
    <t>RUFT</t>
  </si>
  <si>
    <t>SARFZTU</t>
  </si>
  <si>
    <t>KNIEZER</t>
  </si>
  <si>
    <t>KNEZETI</t>
  </si>
  <si>
    <t>TWIJG</t>
  </si>
  <si>
    <t>JHTGYLW</t>
  </si>
  <si>
    <t>SWA</t>
  </si>
  <si>
    <t>AEVSWEN</t>
  </si>
  <si>
    <t>JOBS</t>
  </si>
  <si>
    <t>JBEESEO</t>
  </si>
  <si>
    <t>RUWSTE</t>
  </si>
  <si>
    <t>STUEARN</t>
  </si>
  <si>
    <t>W</t>
  </si>
  <si>
    <t>AVENWNN</t>
  </si>
  <si>
    <t>EINDBOD</t>
  </si>
  <si>
    <t>ODDENIB</t>
  </si>
  <si>
    <t>SPRENG</t>
  </si>
  <si>
    <t>GRSLNNP</t>
  </si>
  <si>
    <t>GELS</t>
  </si>
  <si>
    <t>EGSLNIL</t>
  </si>
  <si>
    <t>VEREN</t>
  </si>
  <si>
    <t>VEMKEZN</t>
  </si>
  <si>
    <t>OOST</t>
  </si>
  <si>
    <t>OUETROS</t>
  </si>
  <si>
    <t>GEZIFT</t>
  </si>
  <si>
    <t>VTNNGEK</t>
  </si>
  <si>
    <t>NJEABSN</t>
  </si>
  <si>
    <t>SPAAD</t>
  </si>
  <si>
    <t>DVPSNAA</t>
  </si>
  <si>
    <t>BAZ</t>
  </si>
  <si>
    <t>QWABMZU</t>
  </si>
  <si>
    <t>DELETE</t>
  </si>
  <si>
    <t>EETEOLD</t>
  </si>
  <si>
    <t>NOEN</t>
  </si>
  <si>
    <t>VOTEMEN</t>
  </si>
  <si>
    <t>GEBAK</t>
  </si>
  <si>
    <t>BGAHKEE</t>
  </si>
  <si>
    <t>IEL</t>
  </si>
  <si>
    <t>EENEELI</t>
  </si>
  <si>
    <t>DRAW</t>
  </si>
  <si>
    <t>YWADFRI</t>
  </si>
  <si>
    <t>NDJCHEV</t>
  </si>
  <si>
    <t>GAGE</t>
  </si>
  <si>
    <t>ENMGOGA</t>
  </si>
  <si>
    <t>VANGEN</t>
  </si>
  <si>
    <t>NAN NGV</t>
  </si>
  <si>
    <t>WINDVANGEN</t>
  </si>
  <si>
    <t>NDOOWIH</t>
  </si>
  <si>
    <t>BREKINGEN</t>
  </si>
  <si>
    <t>NENCEQE</t>
  </si>
  <si>
    <t>GEDUBDE</t>
  </si>
  <si>
    <t>FDEDUNB</t>
  </si>
  <si>
    <t>IS</t>
  </si>
  <si>
    <t>AQESOIU</t>
  </si>
  <si>
    <t>VREES</t>
  </si>
  <si>
    <t>VOETNES</t>
  </si>
  <si>
    <t>NACHO</t>
  </si>
  <si>
    <t>OHANHKC</t>
  </si>
  <si>
    <t>OF</t>
  </si>
  <si>
    <t>YNOGFNC</t>
  </si>
  <si>
    <t>ZOMPEN</t>
  </si>
  <si>
    <t>DJCFEND</t>
  </si>
  <si>
    <t>INCH</t>
  </si>
  <si>
    <t>NEEIHEO</t>
  </si>
  <si>
    <t>SPOGEN</t>
  </si>
  <si>
    <t>GNPMSOD</t>
  </si>
  <si>
    <t>SMAAKJE</t>
  </si>
  <si>
    <t>QMAEKAJ</t>
  </si>
  <si>
    <t>SNOETEN</t>
  </si>
  <si>
    <t>NNOSETE</t>
  </si>
  <si>
    <t>DOCH</t>
  </si>
  <si>
    <t>OYCHAND</t>
  </si>
  <si>
    <t>F</t>
  </si>
  <si>
    <t>DOFKZII</t>
  </si>
  <si>
    <t>PENNY</t>
  </si>
  <si>
    <t>PNRN YI</t>
  </si>
  <si>
    <t>RONDJE</t>
  </si>
  <si>
    <t>RJOENDO</t>
  </si>
  <si>
    <t>OCTET</t>
  </si>
  <si>
    <t>CQRNONA</t>
  </si>
  <si>
    <t>REU</t>
  </si>
  <si>
    <t>OEEAWOR</t>
  </si>
  <si>
    <t>DR</t>
  </si>
  <si>
    <t>MAJSLDR</t>
  </si>
  <si>
    <t>ME</t>
  </si>
  <si>
    <t>AUAEMEE</t>
  </si>
  <si>
    <t>WELKE</t>
  </si>
  <si>
    <t>FELSKVW</t>
  </si>
  <si>
    <t>EG</t>
  </si>
  <si>
    <t>ENNEUGN</t>
  </si>
  <si>
    <t>DWAZE</t>
  </si>
  <si>
    <t>WZWODEA</t>
  </si>
  <si>
    <t>MENSZIJN</t>
  </si>
  <si>
    <t>NNMZJSI</t>
  </si>
  <si>
    <t>WIM</t>
  </si>
  <si>
    <t>IRNWEMR</t>
  </si>
  <si>
    <t>HIC</t>
  </si>
  <si>
    <t>EEEAHNC</t>
  </si>
  <si>
    <t>WOEF</t>
  </si>
  <si>
    <t>KWTOEFS</t>
  </si>
  <si>
    <t>PEDA</t>
  </si>
  <si>
    <t>EKAFDOP</t>
  </si>
  <si>
    <t>UNCIALEN</t>
  </si>
  <si>
    <t>NUACILE</t>
  </si>
  <si>
    <t>ZWALK</t>
  </si>
  <si>
    <t>KMSLZWR</t>
  </si>
  <si>
    <t>BEDANKT</t>
  </si>
  <si>
    <t>DBETAKN</t>
  </si>
  <si>
    <t>DOVEN</t>
  </si>
  <si>
    <t>OAVNEDO</t>
  </si>
  <si>
    <t>BOEF</t>
  </si>
  <si>
    <t>PMTFBOE</t>
  </si>
  <si>
    <t>AANEWMM</t>
  </si>
  <si>
    <t>LENST</t>
  </si>
  <si>
    <t>TDSNVLE</t>
  </si>
  <si>
    <t>ZJES</t>
  </si>
  <si>
    <t>CSNODSZ</t>
  </si>
  <si>
    <t>PA</t>
  </si>
  <si>
    <t>DPDVRNA</t>
  </si>
  <si>
    <t>UDKA VE</t>
  </si>
  <si>
    <t>YOGA</t>
  </si>
  <si>
    <t>YEHAOIG</t>
  </si>
  <si>
    <t>GEADERDE</t>
  </si>
  <si>
    <t>RGFQDEE</t>
  </si>
  <si>
    <t>HAVE</t>
  </si>
  <si>
    <t>EORHNVA</t>
  </si>
  <si>
    <t>VEIE</t>
  </si>
  <si>
    <t>LIEZFEV</t>
  </si>
  <si>
    <t>AANWIES</t>
  </si>
  <si>
    <t>ASFIANE</t>
  </si>
  <si>
    <t>GETOND</t>
  </si>
  <si>
    <t>QTEGDND</t>
  </si>
  <si>
    <t>EBOLA</t>
  </si>
  <si>
    <t>BOVANLE</t>
  </si>
  <si>
    <t>DEMON</t>
  </si>
  <si>
    <t>OEONDEM</t>
  </si>
  <si>
    <t>VISA</t>
  </si>
  <si>
    <t>QIVSIAF</t>
  </si>
  <si>
    <t>PAX</t>
  </si>
  <si>
    <t>JNTPNLX</t>
  </si>
  <si>
    <t>FASES</t>
  </si>
  <si>
    <t>FDENSAS</t>
  </si>
  <si>
    <t>UTAZERM</t>
  </si>
  <si>
    <t>D</t>
  </si>
  <si>
    <t>NCNDLNN</t>
  </si>
  <si>
    <t>QUA</t>
  </si>
  <si>
    <t>NNSCQEA</t>
  </si>
  <si>
    <t>ODD</t>
  </si>
  <si>
    <t>DDDONNH</t>
  </si>
  <si>
    <t>KUSJE</t>
  </si>
  <si>
    <t>EEUJKKS</t>
  </si>
  <si>
    <t>PIECE</t>
  </si>
  <si>
    <t>AAPEICE</t>
  </si>
  <si>
    <t>KUREN</t>
  </si>
  <si>
    <t>NNNVUEB</t>
  </si>
  <si>
    <t>POT</t>
  </si>
  <si>
    <t>EEOEPTH</t>
  </si>
  <si>
    <t>AKS</t>
  </si>
  <si>
    <t>NJNOAKB</t>
  </si>
  <si>
    <t>YANG</t>
  </si>
  <si>
    <t>YAWRSGD</t>
  </si>
  <si>
    <t>AEQUO</t>
  </si>
  <si>
    <t>XUREAQO</t>
  </si>
  <si>
    <t>KUL</t>
  </si>
  <si>
    <t>EEELSDK</t>
  </si>
  <si>
    <t>KLIEREND</t>
  </si>
  <si>
    <t>KNE LIE</t>
  </si>
  <si>
    <t>OS</t>
  </si>
  <si>
    <t>DBONRSF</t>
  </si>
  <si>
    <t>BEAAM</t>
  </si>
  <si>
    <t>QANAECB</t>
  </si>
  <si>
    <t>VEN</t>
  </si>
  <si>
    <t>VENAJOO</t>
  </si>
  <si>
    <t>CREPES</t>
  </si>
  <si>
    <t>SECRNNE</t>
  </si>
  <si>
    <t>KRAMT</t>
  </si>
  <si>
    <t>TMOM KA</t>
  </si>
  <si>
    <t>LAKSE</t>
  </si>
  <si>
    <t>GSNKAQL</t>
  </si>
  <si>
    <t>LOEIERS</t>
  </si>
  <si>
    <t>OEESRJI</t>
  </si>
  <si>
    <t>WEEPS</t>
  </si>
  <si>
    <t>WPEESOU</t>
  </si>
  <si>
    <t>KEG</t>
  </si>
  <si>
    <t>NKEAGAA</t>
  </si>
  <si>
    <t>COURANTE</t>
  </si>
  <si>
    <t xml:space="preserve">NUTECA </t>
  </si>
  <si>
    <t>OFNVRAD</t>
  </si>
  <si>
    <t>GEMERKT</t>
  </si>
  <si>
    <t>EEMTGRI</t>
  </si>
  <si>
    <t>WED</t>
  </si>
  <si>
    <t>PZESDWE</t>
  </si>
  <si>
    <t>VCGBKRD</t>
  </si>
  <si>
    <t>EEL</t>
  </si>
  <si>
    <t>EAAEOLE</t>
  </si>
  <si>
    <t>GOKJE</t>
  </si>
  <si>
    <t xml:space="preserve">MDGVJE </t>
  </si>
  <si>
    <t>SIMT</t>
  </si>
  <si>
    <t>SIDTHNM</t>
  </si>
  <si>
    <t>NOP</t>
  </si>
  <si>
    <t>NPEONEA</t>
  </si>
  <si>
    <t>SISSY</t>
  </si>
  <si>
    <t>RNSYSSR</t>
  </si>
  <si>
    <t>LEERT</t>
  </si>
  <si>
    <t>NOEEERL</t>
  </si>
  <si>
    <t>VIA</t>
  </si>
  <si>
    <t>QOVNANA</t>
  </si>
  <si>
    <t>BIDON</t>
  </si>
  <si>
    <t>CNN BDO</t>
  </si>
  <si>
    <t>HOL</t>
  </si>
  <si>
    <t>AENORHL</t>
  </si>
  <si>
    <t>MER</t>
  </si>
  <si>
    <t>RNMNCAJ</t>
  </si>
  <si>
    <t>ZEKEN</t>
  </si>
  <si>
    <t>ADKNH Z</t>
  </si>
  <si>
    <t>SMETLIJN</t>
  </si>
  <si>
    <t>JM ILET</t>
  </si>
  <si>
    <t>WAVEN</t>
  </si>
  <si>
    <t>WANVAIE</t>
  </si>
  <si>
    <t>IDEETJES</t>
  </si>
  <si>
    <t>EIEJEST</t>
  </si>
  <si>
    <t>TU</t>
  </si>
  <si>
    <t>VENUOTS</t>
  </si>
  <si>
    <t>DESK</t>
  </si>
  <si>
    <t>KUQEDSZ</t>
  </si>
  <si>
    <t>RELEASE</t>
  </si>
  <si>
    <t>ELSAEER</t>
  </si>
  <si>
    <t>TROEFAAS</t>
  </si>
  <si>
    <t>OEATSFR</t>
  </si>
  <si>
    <t>GA</t>
  </si>
  <si>
    <t>GKANOCN</t>
  </si>
  <si>
    <t>INPERS</t>
  </si>
  <si>
    <t>NPERSEI</t>
  </si>
  <si>
    <t>ANEMIEK</t>
  </si>
  <si>
    <t>AAIEKNM</t>
  </si>
  <si>
    <t>ZERK</t>
  </si>
  <si>
    <t>OJASZER</t>
  </si>
  <si>
    <t>SHOWDE</t>
  </si>
  <si>
    <t>KD OOEH</t>
  </si>
  <si>
    <t>DRUMS</t>
  </si>
  <si>
    <t>QOSRMDB</t>
  </si>
  <si>
    <t>BEAMERS</t>
  </si>
  <si>
    <t>AEMSFBR</t>
  </si>
  <si>
    <t>HUW</t>
  </si>
  <si>
    <t>UAHSXWV</t>
  </si>
  <si>
    <t>WOW</t>
  </si>
  <si>
    <t>OWOEODR</t>
  </si>
  <si>
    <t>GUANINE</t>
  </si>
  <si>
    <t>N NGAUE</t>
  </si>
  <si>
    <t>FLOTEN</t>
  </si>
  <si>
    <t>ETFNENL</t>
  </si>
  <si>
    <t>GETOBD</t>
  </si>
  <si>
    <t>BDNGONT</t>
  </si>
  <si>
    <t>NERF</t>
  </si>
  <si>
    <t>CRRNNNE</t>
  </si>
  <si>
    <t>RACENDE</t>
  </si>
  <si>
    <t>ECERADN</t>
  </si>
  <si>
    <t>NEOFYT</t>
  </si>
  <si>
    <t>FZTIEOY</t>
  </si>
  <si>
    <t>ZEEFT</t>
  </si>
  <si>
    <t>FEEZTVI</t>
  </si>
  <si>
    <t>JIJ</t>
  </si>
  <si>
    <t>UDEENJI</t>
  </si>
  <si>
    <t>KNIJPENDE</t>
  </si>
  <si>
    <t>ENNEBND</t>
  </si>
  <si>
    <t>AAI</t>
  </si>
  <si>
    <t>OEAVIEE</t>
  </si>
  <si>
    <t>ZUS</t>
  </si>
  <si>
    <t>XZPDNSR</t>
  </si>
  <si>
    <t>JOON</t>
  </si>
  <si>
    <t>AONONFO</t>
  </si>
  <si>
    <t>ZENDTOREN</t>
  </si>
  <si>
    <t>NORKNER</t>
  </si>
  <si>
    <t>VOOSDE</t>
  </si>
  <si>
    <t>EOEVQDS</t>
  </si>
  <si>
    <t>BERIJM</t>
  </si>
  <si>
    <t>SIEREJM</t>
  </si>
  <si>
    <t>OHO</t>
  </si>
  <si>
    <t>OOORNDH</t>
  </si>
  <si>
    <t>MEPWHRF</t>
  </si>
  <si>
    <t>DIES</t>
  </si>
  <si>
    <t xml:space="preserve">ODSSEA </t>
  </si>
  <si>
    <t>INHAK</t>
  </si>
  <si>
    <t>KHIEAED</t>
  </si>
  <si>
    <t>EREN</t>
  </si>
  <si>
    <t>TEEESNE</t>
  </si>
  <si>
    <t>DRONG</t>
  </si>
  <si>
    <t>NRGPODC</t>
  </si>
  <si>
    <t>DRONGEN</t>
  </si>
  <si>
    <t>EEEENEU</t>
  </si>
  <si>
    <t>NANNY</t>
  </si>
  <si>
    <t>NNTNFAY</t>
  </si>
  <si>
    <t>L</t>
  </si>
  <si>
    <t>OOVVLOB</t>
  </si>
  <si>
    <t>REES</t>
  </si>
  <si>
    <t>NRENESN</t>
  </si>
  <si>
    <t>ZEGT</t>
  </si>
  <si>
    <t>AEVGZVI</t>
  </si>
  <si>
    <t>OSEKEOY</t>
  </si>
  <si>
    <t>BEMAT</t>
  </si>
  <si>
    <t>MBFNATE</t>
  </si>
  <si>
    <t>GENERFD</t>
  </si>
  <si>
    <t>GDFERHN</t>
  </si>
  <si>
    <t>BEZAAN</t>
  </si>
  <si>
    <t>NSEAZNA</t>
  </si>
  <si>
    <t>UI</t>
  </si>
  <si>
    <t>EFEEUIE</t>
  </si>
  <si>
    <t>MUM</t>
  </si>
  <si>
    <t>MDDNMJU</t>
  </si>
  <si>
    <t>SLIB</t>
  </si>
  <si>
    <t>INLBEEN</t>
  </si>
  <si>
    <t>KRANT</t>
  </si>
  <si>
    <t>RKTANFT</t>
  </si>
  <si>
    <t>KLEIN</t>
  </si>
  <si>
    <t>QKENEIL</t>
  </si>
  <si>
    <t>LOSJE</t>
  </si>
  <si>
    <t>EOMOLSN</t>
  </si>
  <si>
    <t>DAB</t>
  </si>
  <si>
    <t>BDSAGAQ</t>
  </si>
  <si>
    <t>KEU</t>
  </si>
  <si>
    <t>ERJZKUE</t>
  </si>
  <si>
    <t>WTJE</t>
  </si>
  <si>
    <t>DWJFJTP</t>
  </si>
  <si>
    <t>SAZ</t>
  </si>
  <si>
    <t>EEETAZS</t>
  </si>
  <si>
    <t>ERF</t>
  </si>
  <si>
    <t>ETRRFEN</t>
  </si>
  <si>
    <t>PENSUM</t>
  </si>
  <si>
    <t>SDMRUEN</t>
  </si>
  <si>
    <t>ZEGDE</t>
  </si>
  <si>
    <t>SZGOOEE</t>
  </si>
  <si>
    <t>TON</t>
  </si>
  <si>
    <t>EONATEH</t>
  </si>
  <si>
    <t>CANONS</t>
  </si>
  <si>
    <t>NWNOASE</t>
  </si>
  <si>
    <t>ZN</t>
  </si>
  <si>
    <t xml:space="preserve">SAZMAF </t>
  </si>
  <si>
    <t>ETTXESE</t>
  </si>
  <si>
    <t>HIELD</t>
  </si>
  <si>
    <t>HYLDINE</t>
  </si>
  <si>
    <t>VLEKJE</t>
  </si>
  <si>
    <t>EVENLGK</t>
  </si>
  <si>
    <t>REENDE</t>
  </si>
  <si>
    <t>EEEANDR</t>
  </si>
  <si>
    <t>SCART</t>
  </si>
  <si>
    <t>ANRCERS</t>
  </si>
  <si>
    <t>NANEVEN</t>
  </si>
  <si>
    <t>AVENNNE</t>
  </si>
  <si>
    <t>COHESIE</t>
  </si>
  <si>
    <t>HOCESAI</t>
  </si>
  <si>
    <t>ALLEE</t>
  </si>
  <si>
    <t>LNAELOE</t>
  </si>
  <si>
    <t>INROLLEN</t>
  </si>
  <si>
    <t>NILOE L</t>
  </si>
  <si>
    <t>MAKI</t>
  </si>
  <si>
    <t>MKZAOVO</t>
  </si>
  <si>
    <t>URM</t>
  </si>
  <si>
    <t>UERSMRO</t>
  </si>
  <si>
    <t>VINKT</t>
  </si>
  <si>
    <t>VTNNKAI</t>
  </si>
  <si>
    <t>BABAS</t>
  </si>
  <si>
    <t>NABSNBE</t>
  </si>
  <si>
    <t>VLA</t>
  </si>
  <si>
    <t>DVNNALD</t>
  </si>
  <si>
    <t>MUSJE</t>
  </si>
  <si>
    <t>QWMUJSX</t>
  </si>
  <si>
    <t>BRON</t>
  </si>
  <si>
    <t>ORNBTNV</t>
  </si>
  <si>
    <t>VEEM</t>
  </si>
  <si>
    <t>VTMEDNE</t>
  </si>
  <si>
    <t>HYVE</t>
  </si>
  <si>
    <t>HEYDOJS</t>
  </si>
  <si>
    <t>SEN</t>
  </si>
  <si>
    <t>ENEEESE</t>
  </si>
  <si>
    <t>AFLIG</t>
  </si>
  <si>
    <t>YFIALSG</t>
  </si>
  <si>
    <t>VICE</t>
  </si>
  <si>
    <t>NCEVIUN</t>
  </si>
  <si>
    <t>KOMTIE</t>
  </si>
  <si>
    <t>NMOK IE</t>
  </si>
  <si>
    <t>NEG</t>
  </si>
  <si>
    <t>NSEEGER</t>
  </si>
  <si>
    <t>OOHGIVM</t>
  </si>
  <si>
    <t>ELVEN</t>
  </si>
  <si>
    <t>NCEQELV</t>
  </si>
  <si>
    <t>GE</t>
  </si>
  <si>
    <t>FNNTTEG</t>
  </si>
  <si>
    <t>AQEOUNK</t>
  </si>
  <si>
    <t>NOODNET</t>
  </si>
  <si>
    <t>OTNNDEO</t>
  </si>
  <si>
    <t>HOOP</t>
  </si>
  <si>
    <t>OHKSOAO</t>
  </si>
  <si>
    <t>GEWEN</t>
  </si>
  <si>
    <t>YNGNCEE</t>
  </si>
  <si>
    <t>DECK</t>
  </si>
  <si>
    <t>DJCFDAK</t>
  </si>
  <si>
    <t>KOEKEN</t>
  </si>
  <si>
    <t>EEEOAKN</t>
  </si>
  <si>
    <t>RONDOM</t>
  </si>
  <si>
    <t>MDOTYNO</t>
  </si>
  <si>
    <t>HOBU</t>
  </si>
  <si>
    <t>QNZOBUH</t>
  </si>
  <si>
    <t>NEXUS</t>
  </si>
  <si>
    <t>NMXUSUE</t>
  </si>
  <si>
    <t>PUNKY</t>
  </si>
  <si>
    <t>YANJVPD</t>
  </si>
  <si>
    <t>DII</t>
  </si>
  <si>
    <t>DOKZIIN</t>
  </si>
  <si>
    <t>MIERENEI</t>
  </si>
  <si>
    <t>RNIMEIE</t>
  </si>
  <si>
    <t>ICE</t>
  </si>
  <si>
    <t>EOEILUC</t>
  </si>
  <si>
    <t>VAREN</t>
  </si>
  <si>
    <t>QRNNARV</t>
  </si>
  <si>
    <t>VEE</t>
  </si>
  <si>
    <t>OEAWOVE</t>
  </si>
  <si>
    <t>ZEMEL</t>
  </si>
  <si>
    <t>MAJSLSE</t>
  </si>
  <si>
    <t>DUB</t>
  </si>
  <si>
    <t>AUAEEEB</t>
  </si>
  <si>
    <t>FJES</t>
  </si>
  <si>
    <t>FSVKEJF</t>
  </si>
  <si>
    <t>NNEUNSR</t>
  </si>
  <si>
    <t>DOLER</t>
  </si>
  <si>
    <t>WOMRELD</t>
  </si>
  <si>
    <t>VALIESJE</t>
  </si>
  <si>
    <t>V EILEA</t>
  </si>
  <si>
    <t>ERFRENTE</t>
  </si>
  <si>
    <t>RNEREFT</t>
  </si>
  <si>
    <t>EENS</t>
  </si>
  <si>
    <t>EEEANSN</t>
  </si>
  <si>
    <t>STEEF</t>
  </si>
  <si>
    <t>KTSMEFE</t>
  </si>
  <si>
    <t>ZOUK</t>
  </si>
  <si>
    <t>KFOJZED</t>
  </si>
  <si>
    <t>STAR</t>
  </si>
  <si>
    <t>TRSAVSN</t>
  </si>
  <si>
    <t>RESEM</t>
  </si>
  <si>
    <t>MSRWPEE</t>
  </si>
  <si>
    <t>BUREN</t>
  </si>
  <si>
    <t>EEBVUNU</t>
  </si>
  <si>
    <t>ZONA</t>
  </si>
  <si>
    <t>AOZNRJN</t>
  </si>
  <si>
    <t>TOPTE</t>
  </si>
  <si>
    <t>PMTEDPT</t>
  </si>
  <si>
    <t>ANEMEAV</t>
  </si>
  <si>
    <t>BOXEN</t>
  </si>
  <si>
    <t>DVBGOXE</t>
  </si>
  <si>
    <t>CNODSKQ</t>
  </si>
  <si>
    <t>VERMEENT</t>
  </si>
  <si>
    <t>DDVRNTP</t>
  </si>
  <si>
    <t>AD</t>
  </si>
  <si>
    <t>DKAEQRO</t>
  </si>
  <si>
    <t>HEVIGERE</t>
  </si>
  <si>
    <t>EHIVREJ</t>
  </si>
  <si>
    <t>HOF</t>
  </si>
  <si>
    <t>FQHROED</t>
  </si>
  <si>
    <t>RUSTEN</t>
  </si>
  <si>
    <t>ORNUETS</t>
  </si>
  <si>
    <t>FEZ</t>
  </si>
  <si>
    <t>LZFNNRS</t>
  </si>
  <si>
    <t>AFSTEEK</t>
  </si>
  <si>
    <t>FEEASKT</t>
  </si>
  <si>
    <t>SNIB</t>
  </si>
  <si>
    <t>QDIONJS</t>
  </si>
  <si>
    <t>POERT</t>
  </si>
  <si>
    <t>VNPREOT</t>
  </si>
  <si>
    <t>LEENGOED</t>
  </si>
  <si>
    <t>EOE ELD</t>
  </si>
  <si>
    <t>SOF</t>
  </si>
  <si>
    <t>QIFOSAN</t>
  </si>
  <si>
    <t>TJALK</t>
  </si>
  <si>
    <t>JNTNLNK</t>
  </si>
  <si>
    <t>WODKAS</t>
  </si>
  <si>
    <t>DNWO OS</t>
  </si>
  <si>
    <t>UTAZRMT</t>
  </si>
  <si>
    <t>G</t>
  </si>
  <si>
    <t>NCNLNNG</t>
  </si>
  <si>
    <t>SEC</t>
  </si>
  <si>
    <t>NNSCEBK</t>
  </si>
  <si>
    <t>HEDEN</t>
  </si>
  <si>
    <t>DNNHNOE</t>
  </si>
  <si>
    <t>DEK</t>
  </si>
  <si>
    <t>EKEDDUO</t>
  </si>
  <si>
    <t>MIAUWDE</t>
  </si>
  <si>
    <t>AAEMIEW</t>
  </si>
  <si>
    <t xml:space="preserve">NNVUBN </t>
  </si>
  <si>
    <t>HEAT</t>
  </si>
  <si>
    <t>EEEHTOA</t>
  </si>
  <si>
    <t>NJNOBGD</t>
  </si>
  <si>
    <t>RUIDE</t>
  </si>
  <si>
    <t>WRSDRUI</t>
  </si>
  <si>
    <t>TEXT</t>
  </si>
  <si>
    <t>XRN TGE</t>
  </si>
  <si>
    <t>AVERS</t>
  </si>
  <si>
    <t>EEESDRM</t>
  </si>
  <si>
    <t>BEF</t>
  </si>
  <si>
    <t>FHOBENE</t>
  </si>
  <si>
    <t>DRAB</t>
  </si>
  <si>
    <t>DBNRFAE</t>
  </si>
  <si>
    <t>ACEJE</t>
  </si>
  <si>
    <t>QNCEJEE</t>
  </si>
  <si>
    <t>NOOTJE</t>
  </si>
  <si>
    <t>AJOONTE</t>
  </si>
  <si>
    <t>VEELT</t>
  </si>
  <si>
    <t>NNLEOEV</t>
  </si>
  <si>
    <t>OMVLIEGT</t>
  </si>
  <si>
    <t>OM IVTG</t>
  </si>
  <si>
    <t>YOGAEN</t>
  </si>
  <si>
    <t>GNQORAE</t>
  </si>
  <si>
    <t>BIOTECHNIEK</t>
  </si>
  <si>
    <t>JSNBIKE</t>
  </si>
  <si>
    <t>OUD</t>
  </si>
  <si>
    <t>OUDDZDN</t>
  </si>
  <si>
    <t>YO</t>
  </si>
  <si>
    <t>NAAAJYE</t>
  </si>
  <si>
    <t>INENTINGEN</t>
  </si>
  <si>
    <t>NPLIYBD</t>
  </si>
  <si>
    <t>KEVER</t>
  </si>
  <si>
    <t>OVRDEDK</t>
  </si>
  <si>
    <t>GI</t>
  </si>
  <si>
    <t>IGEONDE</t>
  </si>
  <si>
    <t>ZES</t>
  </si>
  <si>
    <t>PZSEBUU</t>
  </si>
  <si>
    <t>GOK</t>
  </si>
  <si>
    <t>VCGBKBO</t>
  </si>
  <si>
    <t>ORDE</t>
  </si>
  <si>
    <t>AAOEADR</t>
  </si>
  <si>
    <t>SILEX</t>
  </si>
  <si>
    <t>MDVDLEX</t>
  </si>
  <si>
    <t>DHNZTSU</t>
  </si>
  <si>
    <t>FEEKS</t>
  </si>
  <si>
    <t>ENEAKSF</t>
  </si>
  <si>
    <t>DRANG</t>
  </si>
  <si>
    <t>RNRGODH</t>
  </si>
  <si>
    <t>HOEZEN</t>
  </si>
  <si>
    <t>NOENZJH</t>
  </si>
  <si>
    <t>WIEMEN</t>
  </si>
  <si>
    <t>QONNASV</t>
  </si>
  <si>
    <t>MEM</t>
  </si>
  <si>
    <t>CNEENMM</t>
  </si>
  <si>
    <t>AFTORNEN</t>
  </si>
  <si>
    <t>AENRFNT</t>
  </si>
  <si>
    <t>CANON</t>
  </si>
  <si>
    <t>NNCAJOE</t>
  </si>
  <si>
    <t>AH</t>
  </si>
  <si>
    <t>ADHZEEB</t>
  </si>
  <si>
    <t>WILD</t>
  </si>
  <si>
    <t>DIRLLUD</t>
  </si>
  <si>
    <t>NAIBEMH</t>
  </si>
  <si>
    <t>HNRLAIN</t>
  </si>
  <si>
    <t>DES</t>
  </si>
  <si>
    <t>VENOSDE</t>
  </si>
  <si>
    <t>ZEPEN</t>
  </si>
  <si>
    <t>UQZECPN</t>
  </si>
  <si>
    <t>MZRTOFP</t>
  </si>
  <si>
    <t>GESHOP</t>
  </si>
  <si>
    <t>DDORSNP</t>
  </si>
  <si>
    <t>KEN</t>
  </si>
  <si>
    <t>KNOCNJJ</t>
  </si>
  <si>
    <t>EYUHRBT</t>
  </si>
  <si>
    <t>DADA</t>
  </si>
  <si>
    <t>AUDDDDN</t>
  </si>
  <si>
    <t>JONGS</t>
  </si>
  <si>
    <t>OJASANS</t>
  </si>
  <si>
    <t>GET</t>
  </si>
  <si>
    <t>KOMAETG</t>
  </si>
  <si>
    <t>BEO</t>
  </si>
  <si>
    <t>QOBIRNT</t>
  </si>
  <si>
    <t>KLEF</t>
  </si>
  <si>
    <t>FEKEELN</t>
  </si>
  <si>
    <t>PATS</t>
  </si>
  <si>
    <t>ASXVP H</t>
  </si>
  <si>
    <t>DROL</t>
  </si>
  <si>
    <t>OEODRLA</t>
  </si>
  <si>
    <t>MOPNEUS</t>
  </si>
  <si>
    <t>UPZMOSE</t>
  </si>
  <si>
    <t>AFREDEN</t>
  </si>
  <si>
    <t>ENDRAEF</t>
  </si>
  <si>
    <t>ZE</t>
  </si>
  <si>
    <t>NNZAECA</t>
  </si>
  <si>
    <t>TEN</t>
  </si>
  <si>
    <t>CRNNLTE</t>
  </si>
  <si>
    <t>WEEKPAS</t>
  </si>
  <si>
    <t>UEPWEIK</t>
  </si>
  <si>
    <t>ZINKERTS</t>
  </si>
  <si>
    <t>ZIN TRE</t>
  </si>
  <si>
    <t>GLIPTEN</t>
  </si>
  <si>
    <t>EVIPLNT</t>
  </si>
  <si>
    <t>KEPEN</t>
  </si>
  <si>
    <t>UDEENKE</t>
  </si>
  <si>
    <t>BEGINNEN</t>
  </si>
  <si>
    <t>NNEBNIG</t>
  </si>
  <si>
    <t>VOD</t>
  </si>
  <si>
    <t>OEVEETD</t>
  </si>
  <si>
    <t>UW</t>
  </si>
  <si>
    <t>XPDNRUW</t>
  </si>
  <si>
    <t>AANBLAF</t>
  </si>
  <si>
    <t>ANFOAME</t>
  </si>
  <si>
    <t>MELKER</t>
  </si>
  <si>
    <t>KNRMLNE</t>
  </si>
  <si>
    <t>EQEUMKN</t>
  </si>
  <si>
    <t>SLUITEND</t>
  </si>
  <si>
    <t>SEUDLTN</t>
  </si>
  <si>
    <t>OPDRONG</t>
  </si>
  <si>
    <t>ORNDG O</t>
  </si>
  <si>
    <t>FICHE</t>
  </si>
  <si>
    <t>PHRFIEC</t>
  </si>
  <si>
    <t>ONAGERS</t>
  </si>
  <si>
    <t>OSA ENG</t>
  </si>
  <si>
    <t>MEEDOE</t>
  </si>
  <si>
    <t>EED EOE</t>
  </si>
  <si>
    <t>TESEEKX</t>
  </si>
  <si>
    <t>PCAENLN</t>
  </si>
  <si>
    <t>KS</t>
  </si>
  <si>
    <t>EEEEUKS</t>
  </si>
  <si>
    <t>GYMT</t>
  </si>
  <si>
    <t>TFSSGNM</t>
  </si>
  <si>
    <t>BOOM</t>
  </si>
  <si>
    <t>OOVVOBE</t>
  </si>
  <si>
    <t>PEIS</t>
  </si>
  <si>
    <t>NNNSIDP</t>
  </si>
  <si>
    <t>AT</t>
  </si>
  <si>
    <t>AVVIEOT</t>
  </si>
  <si>
    <t>KOELAUTO</t>
  </si>
  <si>
    <t>OKEO TU</t>
  </si>
  <si>
    <t>AFWON</t>
  </si>
  <si>
    <t>FNAMWOA</t>
  </si>
  <si>
    <t>HJERCMK</t>
  </si>
  <si>
    <t>DAGWINST</t>
  </si>
  <si>
    <t xml:space="preserve">SNWIAG </t>
  </si>
  <si>
    <t>MOF</t>
  </si>
  <si>
    <t>EFEEEOC</t>
  </si>
  <si>
    <t>JAT</t>
  </si>
  <si>
    <t>DDNJTZA</t>
  </si>
  <si>
    <t>KENNEN</t>
  </si>
  <si>
    <t>NEENEEK</t>
  </si>
  <si>
    <t>FLAN</t>
  </si>
  <si>
    <t>FTEALNV</t>
  </si>
  <si>
    <t>WAGEN</t>
  </si>
  <si>
    <t>QEGATWN</t>
  </si>
  <si>
    <t>OEFEN</t>
  </si>
  <si>
    <t>MONEEUF</t>
  </si>
  <si>
    <t>GEQAT</t>
  </si>
  <si>
    <t>SGAQJEN</t>
  </si>
  <si>
    <t>BREMZE</t>
  </si>
  <si>
    <t>RJZEB N</t>
  </si>
  <si>
    <t>PDFJE</t>
  </si>
  <si>
    <t>DFJP FG</t>
  </si>
  <si>
    <t>PATES</t>
  </si>
  <si>
    <t>EEETESA</t>
  </si>
  <si>
    <t>RETURN</t>
  </si>
  <si>
    <t>TRRENIN</t>
  </si>
  <si>
    <t>ONDER</t>
  </si>
  <si>
    <t>DRPNOKD</t>
  </si>
  <si>
    <t>LOC</t>
  </si>
  <si>
    <t>SOONLJT</t>
  </si>
  <si>
    <t>EAEHANE</t>
  </si>
  <si>
    <t>WEE</t>
  </si>
  <si>
    <t>WESENGE</t>
  </si>
  <si>
    <t>SIMA</t>
  </si>
  <si>
    <t>SAMAFID</t>
  </si>
  <si>
    <t>KETENDE</t>
  </si>
  <si>
    <t>TEEDFNE</t>
  </si>
  <si>
    <t>YNSSOVS</t>
  </si>
  <si>
    <t>OMLEGGEN</t>
  </si>
  <si>
    <t>NGOLGME</t>
  </si>
  <si>
    <t>PIANO</t>
  </si>
  <si>
    <t>AZITOPN</t>
  </si>
  <si>
    <t>NOL</t>
  </si>
  <si>
    <t>NERIEOL</t>
  </si>
  <si>
    <t>SMEED</t>
  </si>
  <si>
    <t>EESDAME</t>
  </si>
  <si>
    <t>AEOEESE</t>
  </si>
  <si>
    <t>ZOT</t>
  </si>
  <si>
    <t>NOVNZTN</t>
  </si>
  <si>
    <t>CEEEUNX</t>
  </si>
  <si>
    <t>ZOVOMUD</t>
  </si>
  <si>
    <t>EROS</t>
  </si>
  <si>
    <t>ESROEKE</t>
  </si>
  <si>
    <t>ANODES</t>
  </si>
  <si>
    <t>NADEASO</t>
  </si>
  <si>
    <t>CONVENT</t>
  </si>
  <si>
    <t xml:space="preserve">NNETVO </t>
  </si>
  <si>
    <t>DEINDEN</t>
  </si>
  <si>
    <t>DNNDIEE</t>
  </si>
  <si>
    <t>O</t>
  </si>
  <si>
    <t>QWXWODD</t>
  </si>
  <si>
    <t>DELETETE</t>
  </si>
  <si>
    <t>TNVELRG</t>
  </si>
  <si>
    <t>STAANDE</t>
  </si>
  <si>
    <t>TDNASEA</t>
  </si>
  <si>
    <t>MOE</t>
  </si>
  <si>
    <t>DOJSDMA</t>
  </si>
  <si>
    <t>EEEEUOH</t>
  </si>
  <si>
    <t>ONGEWIS</t>
  </si>
  <si>
    <t>YSEIGWN</t>
  </si>
  <si>
    <t>NAVEN</t>
  </si>
  <si>
    <t>NUNEAVF</t>
  </si>
  <si>
    <t>TENT</t>
  </si>
  <si>
    <t>NITTTNN</t>
  </si>
  <si>
    <t>ARS</t>
  </si>
  <si>
    <t>NSEERAN</t>
  </si>
  <si>
    <t>VOOGDIJ</t>
  </si>
  <si>
    <t>OOGIVDW</t>
  </si>
  <si>
    <t>CEL</t>
  </si>
  <si>
    <t>CQTTOLO</t>
  </si>
  <si>
    <t>EFFENT</t>
  </si>
  <si>
    <t>FNNTTEF</t>
  </si>
  <si>
    <t>KETST</t>
  </si>
  <si>
    <t>NKKTTES</t>
  </si>
  <si>
    <t>HOLEN</t>
  </si>
  <si>
    <t>OOLEEHN</t>
  </si>
  <si>
    <t>NEL</t>
  </si>
  <si>
    <t>KSAOJNL</t>
  </si>
  <si>
    <t>MEDLEY</t>
  </si>
  <si>
    <t>YNCED B</t>
  </si>
  <si>
    <t>JFDAEVE</t>
  </si>
  <si>
    <t>LATE</t>
  </si>
  <si>
    <t>EAHODLT</t>
  </si>
  <si>
    <t>TEDDYS</t>
  </si>
  <si>
    <t>DTYESED</t>
  </si>
  <si>
    <t>PEUL</t>
  </si>
  <si>
    <t>QNZNLUE</t>
  </si>
  <si>
    <t>MULDSIN</t>
  </si>
  <si>
    <t>LED</t>
  </si>
  <si>
    <t>AJVDLCE</t>
  </si>
  <si>
    <t>OKZNASO</t>
  </si>
  <si>
    <t>MULO</t>
  </si>
  <si>
    <t>QEONLMU</t>
  </si>
  <si>
    <t>OUWELS</t>
  </si>
  <si>
    <t>OELUSEW</t>
  </si>
  <si>
    <t>DRAF</t>
  </si>
  <si>
    <t>QNRFDAE</t>
  </si>
  <si>
    <t>WART</t>
  </si>
  <si>
    <t>OAWOOTR</t>
  </si>
  <si>
    <t>SAFEJES</t>
  </si>
  <si>
    <t>AJSSFEU</t>
  </si>
  <si>
    <t>CHEF</t>
  </si>
  <si>
    <t>AAEEE C</t>
  </si>
  <si>
    <t>VLEKT</t>
  </si>
  <si>
    <t>VKFELNT</t>
  </si>
  <si>
    <t>NNUNSVK</t>
  </si>
  <si>
    <t>EMOE</t>
  </si>
  <si>
    <t>WMTEOIE</t>
  </si>
  <si>
    <t>HAAG</t>
  </si>
  <si>
    <t>SNGAHEA</t>
  </si>
  <si>
    <t>DONUT</t>
  </si>
  <si>
    <t>NTODUEN</t>
  </si>
  <si>
    <t>POK</t>
  </si>
  <si>
    <t>EANNKPS</t>
  </si>
  <si>
    <t>PALM</t>
  </si>
  <si>
    <t>KMNPLBA</t>
  </si>
  <si>
    <t>FRISJE</t>
  </si>
  <si>
    <t>FJEDADR</t>
  </si>
  <si>
    <t>HENG</t>
  </si>
  <si>
    <t xml:space="preserve">VSNHNG </t>
  </si>
  <si>
    <t>WPHDEGL</t>
  </si>
  <si>
    <t>GENE</t>
  </si>
  <si>
    <t>EVUNEEO</t>
  </si>
  <si>
    <t>RES</t>
  </si>
  <si>
    <t>RJNNRER</t>
  </si>
  <si>
    <t>MDPAKNL</t>
  </si>
  <si>
    <t>EXMAN</t>
  </si>
  <si>
    <t>NMEAVAE</t>
  </si>
  <si>
    <t>DUMP</t>
  </si>
  <si>
    <t>DVGPUBF</t>
  </si>
  <si>
    <t>ENK</t>
  </si>
  <si>
    <t>NODSKQE</t>
  </si>
  <si>
    <t>DDVRNPN</t>
  </si>
  <si>
    <t>PEK</t>
  </si>
  <si>
    <t>KEQROPE</t>
  </si>
  <si>
    <t>JONT</t>
  </si>
  <si>
    <t>JRJTODN</t>
  </si>
  <si>
    <t>OPART</t>
  </si>
  <si>
    <t>QREDTAE</t>
  </si>
  <si>
    <t>BONZE</t>
  </si>
  <si>
    <t>OZVEPNB</t>
  </si>
  <si>
    <t>ARTSEN</t>
  </si>
  <si>
    <t>LNNRSEA</t>
  </si>
  <si>
    <t>BOE</t>
  </si>
  <si>
    <t>GOBHUEC</t>
  </si>
  <si>
    <t>INK</t>
  </si>
  <si>
    <t>QDOJSKI</t>
  </si>
  <si>
    <t>VERTOGEN</t>
  </si>
  <si>
    <t>VNRGETE</t>
  </si>
  <si>
    <t>EFNXEHE</t>
  </si>
  <si>
    <t>BEIEN</t>
  </si>
  <si>
    <t>QIANEEB</t>
  </si>
  <si>
    <t>NNNEEIB</t>
  </si>
  <si>
    <t>DOWN</t>
  </si>
  <si>
    <t>NODDMER</t>
  </si>
  <si>
    <t>AU</t>
  </si>
  <si>
    <t>UTAZMTI</t>
  </si>
  <si>
    <t>LIC</t>
  </si>
  <si>
    <t>NCNLNNI</t>
  </si>
  <si>
    <t>ZONE</t>
  </si>
  <si>
    <t>NNBKZTO</t>
  </si>
  <si>
    <t>DOGLA</t>
  </si>
  <si>
    <t>NNOGADL</t>
  </si>
  <si>
    <t>NEU</t>
  </si>
  <si>
    <t>EDUONNC</t>
  </si>
  <si>
    <t>JUKBEEN</t>
  </si>
  <si>
    <t>AEBQGEN</t>
  </si>
  <si>
    <t>BEDEL</t>
  </si>
  <si>
    <t>NNBNSRE</t>
  </si>
  <si>
    <t>DOXE</t>
  </si>
  <si>
    <t>EEOXHDK</t>
  </si>
  <si>
    <t>ES</t>
  </si>
  <si>
    <t>NNGDSEE</t>
  </si>
  <si>
    <t>OPWAS</t>
  </si>
  <si>
    <t>WSRZP A</t>
  </si>
  <si>
    <t>EGT</t>
  </si>
  <si>
    <t>RNGTTCG</t>
  </si>
  <si>
    <t>EMMERDE</t>
  </si>
  <si>
    <t>EEEDMMR</t>
  </si>
  <si>
    <t>HOVEN</t>
  </si>
  <si>
    <t>HONEMXV</t>
  </si>
  <si>
    <t>NFEEUED</t>
  </si>
  <si>
    <t>GERS</t>
  </si>
  <si>
    <t>QNESDGR</t>
  </si>
  <si>
    <t>DANSTENT</t>
  </si>
  <si>
    <t>AE DTST</t>
  </si>
  <si>
    <t>PONNEN</t>
  </si>
  <si>
    <t>NNOQNEP</t>
  </si>
  <si>
    <t>OZEKWEF</t>
  </si>
  <si>
    <t>AFREN</t>
  </si>
  <si>
    <t>QRAONEF</t>
  </si>
  <si>
    <t>OM</t>
  </si>
  <si>
    <t>JSBNMGO</t>
  </si>
  <si>
    <t>NADEED</t>
  </si>
  <si>
    <t>DZDNEAZ</t>
  </si>
  <si>
    <t>RAAPJE</t>
  </si>
  <si>
    <t>NAAAJER</t>
  </si>
  <si>
    <t>COURANTEN</t>
  </si>
  <si>
    <t>PLYBDNF</t>
  </si>
  <si>
    <t>EROP</t>
  </si>
  <si>
    <t>ODD REO</t>
  </si>
  <si>
    <t>DONEREN</t>
  </si>
  <si>
    <t>EONDENR</t>
  </si>
  <si>
    <t>PU</t>
  </si>
  <si>
    <t>PBUURNN</t>
  </si>
  <si>
    <t>BLOCK</t>
  </si>
  <si>
    <t>VCBBLOX</t>
  </si>
  <si>
    <t>ZAAG</t>
  </si>
  <si>
    <t>AAARNZO</t>
  </si>
  <si>
    <t>DOMME</t>
  </si>
  <si>
    <t>MDVDTOD</t>
  </si>
  <si>
    <t>INZEND</t>
  </si>
  <si>
    <t>HSUNINW</t>
  </si>
  <si>
    <t>BET</t>
  </si>
  <si>
    <t>NEATHUB</t>
  </si>
  <si>
    <t>MENHIR</t>
  </si>
  <si>
    <t>ROHEQMI</t>
  </si>
  <si>
    <t>GOD</t>
  </si>
  <si>
    <t>NJSGROD</t>
  </si>
  <si>
    <t>VAGE</t>
  </si>
  <si>
    <t>QONASVZ</t>
  </si>
  <si>
    <t>CANYON</t>
  </si>
  <si>
    <t>CNENYOA</t>
  </si>
  <si>
    <t>DVDS</t>
  </si>
  <si>
    <t>CDDSSVP</t>
  </si>
  <si>
    <t>JACKET</t>
  </si>
  <si>
    <t>JETKEMA</t>
  </si>
  <si>
    <t>BEDES</t>
  </si>
  <si>
    <t>DZEEBSQ</t>
  </si>
  <si>
    <t>DEUTELS</t>
  </si>
  <si>
    <t>RLUDSTE</t>
  </si>
  <si>
    <t>INDAM</t>
  </si>
  <si>
    <t>NAIBMNR</t>
  </si>
  <si>
    <t>NRANOXN</t>
  </si>
  <si>
    <t>DEO</t>
  </si>
  <si>
    <t>VENOEEK</t>
  </si>
  <si>
    <t>UQCWHJI</t>
  </si>
  <si>
    <t>MZRTOEE</t>
  </si>
  <si>
    <t>MIN</t>
  </si>
  <si>
    <t>DDRNUIM</t>
  </si>
  <si>
    <t>CO</t>
  </si>
  <si>
    <t>OCNJJNN</t>
  </si>
  <si>
    <t>EYRBTTX</t>
  </si>
  <si>
    <t>KNUST</t>
  </si>
  <si>
    <t>UDDNTKR</t>
  </si>
  <si>
    <t>STAAF</t>
  </si>
  <si>
    <t>AASFMDT</t>
  </si>
  <si>
    <t>HEMAN</t>
  </si>
  <si>
    <t>KOMANHE</t>
  </si>
  <si>
    <t>I</t>
  </si>
  <si>
    <t>QIRNTNN</t>
  </si>
  <si>
    <t>EENLNEE</t>
  </si>
  <si>
    <t>HI</t>
  </si>
  <si>
    <t>XVHIFNK</t>
  </si>
  <si>
    <t>PRAT</t>
  </si>
  <si>
    <t>EOARETO</t>
  </si>
  <si>
    <t>ZAADJE</t>
  </si>
  <si>
    <t>ZAEAJED</t>
  </si>
  <si>
    <t>XIS</t>
  </si>
  <si>
    <t>IMRXSRC</t>
  </si>
  <si>
    <t>ACNE</t>
  </si>
  <si>
    <t>NNACAEO</t>
  </si>
  <si>
    <t>WALGEN</t>
  </si>
  <si>
    <t>CRNLAGW</t>
  </si>
  <si>
    <t>DUIDT</t>
  </si>
  <si>
    <t>UIDUTDU</t>
  </si>
  <si>
    <t>HEER</t>
  </si>
  <si>
    <t>EEEKRGH</t>
  </si>
  <si>
    <t>BES</t>
  </si>
  <si>
    <t>VGNRSBE</t>
  </si>
  <si>
    <t>UDEDYBA</t>
  </si>
  <si>
    <t>WENS</t>
  </si>
  <si>
    <t>OSRERNW</t>
  </si>
  <si>
    <t>ZEDE</t>
  </si>
  <si>
    <t>EEETDZE</t>
  </si>
  <si>
    <t>XPDNRNC</t>
  </si>
  <si>
    <t>FOMEEKE</t>
  </si>
  <si>
    <t>S</t>
  </si>
  <si>
    <t>NNGMSVW</t>
  </si>
  <si>
    <t>MASKER</t>
  </si>
  <si>
    <t>QEMKNRA</t>
  </si>
  <si>
    <t>EMIR</t>
  </si>
  <si>
    <t>IRQMAEY</t>
  </si>
  <si>
    <t>WE</t>
  </si>
  <si>
    <t>ENWBDLS</t>
  </si>
  <si>
    <t>LEPERD</t>
  </si>
  <si>
    <t>PRELNND</t>
  </si>
  <si>
    <t>CHARM</t>
  </si>
  <si>
    <t>CAOO BM</t>
  </si>
  <si>
    <t>RANDJE</t>
  </si>
  <si>
    <t>EJONAND</t>
  </si>
  <si>
    <t>KEEST</t>
  </si>
  <si>
    <t>TESEEKE</t>
  </si>
  <si>
    <t>BETE</t>
  </si>
  <si>
    <t>CENLNTB</t>
  </si>
  <si>
    <t>EEEEUIE</t>
  </si>
  <si>
    <t>BOOMDEN</t>
  </si>
  <si>
    <t>FSSNCED</t>
  </si>
  <si>
    <t>LOVEND</t>
  </si>
  <si>
    <t>VVOEDLF</t>
  </si>
  <si>
    <t>PANDAN</t>
  </si>
  <si>
    <t>NNNDAGA</t>
  </si>
  <si>
    <t>VIDEO</t>
  </si>
  <si>
    <t>VVIEOUE</t>
  </si>
  <si>
    <t>OPVAL</t>
  </si>
  <si>
    <t>ARNOPLV</t>
  </si>
  <si>
    <t>SIAMEES</t>
  </si>
  <si>
    <t>MASSWEF</t>
  </si>
  <si>
    <t>KROM</t>
  </si>
  <si>
    <t>JRCMKOO</t>
  </si>
  <si>
    <t>XI</t>
  </si>
  <si>
    <t>XOMENIP</t>
  </si>
  <si>
    <t>BELASTE</t>
  </si>
  <si>
    <t>EEEECEE</t>
  </si>
  <si>
    <t>RAZEND</t>
  </si>
  <si>
    <t>DDNZR E</t>
  </si>
  <si>
    <t>GEELDE</t>
  </si>
  <si>
    <t>EEEGSDD</t>
  </si>
  <si>
    <t>VOUTEN</t>
  </si>
  <si>
    <t>TENVUPO</t>
  </si>
  <si>
    <t>KLEINST</t>
  </si>
  <si>
    <t>QTSNGVI</t>
  </si>
  <si>
    <t>BUK</t>
  </si>
  <si>
    <t>MUROBAN</t>
  </si>
  <si>
    <t>HEN</t>
  </si>
  <si>
    <t>SJNHCEF</t>
  </si>
  <si>
    <t>HUL</t>
  </si>
  <si>
    <t>JNHLNDN</t>
  </si>
  <si>
    <t>FGOHEOR</t>
  </si>
  <si>
    <t>EEEIUAS</t>
  </si>
  <si>
    <t>CIJNS</t>
  </si>
  <si>
    <t>INOSCLJ</t>
  </si>
  <si>
    <t>PIK</t>
  </si>
  <si>
    <t>DPKDIAS</t>
  </si>
  <si>
    <t>JTJE</t>
  </si>
  <si>
    <t>SONJTEJ</t>
  </si>
  <si>
    <t>NEGER</t>
  </si>
  <si>
    <t>AEANEGE</t>
  </si>
  <si>
    <t>GO</t>
  </si>
  <si>
    <t>SNGEZOV</t>
  </si>
  <si>
    <t>KAF</t>
  </si>
  <si>
    <t>AFDKRSD</t>
  </si>
  <si>
    <t>NIMF</t>
  </si>
  <si>
    <t>FNM AME</t>
  </si>
  <si>
    <t>WAKES</t>
  </si>
  <si>
    <t>NSOVSRJ</t>
  </si>
  <si>
    <t>SEAEABE</t>
  </si>
  <si>
    <t>STORYS</t>
  </si>
  <si>
    <t>ZTRSY V</t>
  </si>
  <si>
    <t>REIEN</t>
  </si>
  <si>
    <t xml:space="preserve">ERIEOE </t>
  </si>
  <si>
    <t>AEUNQAO</t>
  </si>
  <si>
    <t>EDELE</t>
  </si>
  <si>
    <t>AEEEEOD</t>
  </si>
  <si>
    <t>GAVE</t>
  </si>
  <si>
    <t>NVNNLGA</t>
  </si>
  <si>
    <t>JET</t>
  </si>
  <si>
    <t>CEENNJT</t>
  </si>
  <si>
    <t>ZOEVEN</t>
  </si>
  <si>
    <t>ZOVOENE</t>
  </si>
  <si>
    <t>RACE</t>
  </si>
  <si>
    <t>EKEREAC</t>
  </si>
  <si>
    <t>AZBLNPN</t>
  </si>
  <si>
    <t>UHXEERF</t>
  </si>
  <si>
    <t>SEKS</t>
  </si>
  <si>
    <t>DESKRNS</t>
  </si>
  <si>
    <t>QWXWDDJ</t>
  </si>
  <si>
    <t>GROM</t>
  </si>
  <si>
    <t>NVLRGDH</t>
  </si>
  <si>
    <t>GRAUWER</t>
  </si>
  <si>
    <t xml:space="preserve"> EWRRGU</t>
  </si>
  <si>
    <t>ZAK</t>
  </si>
  <si>
    <t>DJSDAZD</t>
  </si>
  <si>
    <t>EEEEOEO</t>
  </si>
  <si>
    <t>KEYEN</t>
  </si>
  <si>
    <t>YBKEEEN</t>
  </si>
  <si>
    <t>FOX</t>
  </si>
  <si>
    <t>UFEOLXR</t>
  </si>
  <si>
    <t>MI</t>
  </si>
  <si>
    <t>ITNNLTC</t>
  </si>
  <si>
    <t>ZEGENEN</t>
  </si>
  <si>
    <t>NEENPZE</t>
  </si>
  <si>
    <t>TWIJNDER</t>
  </si>
  <si>
    <t>WIDJERT</t>
  </si>
  <si>
    <t>HOOPT</t>
  </si>
  <si>
    <t>QTTOONP</t>
  </si>
  <si>
    <t>MANKT</t>
  </si>
  <si>
    <t xml:space="preserve">NTZKNM </t>
  </si>
  <si>
    <t>JAKKER</t>
  </si>
  <si>
    <t>NKAKJRP</t>
  </si>
  <si>
    <t>INSTOOM</t>
  </si>
  <si>
    <t xml:space="preserve">OEMTNI </t>
  </si>
  <si>
    <t>SIK</t>
  </si>
  <si>
    <t>KSAOJIS</t>
  </si>
  <si>
    <t>NCBEUSM</t>
  </si>
  <si>
    <t>FDAVKEE</t>
  </si>
  <si>
    <t>DOOI</t>
  </si>
  <si>
    <t>HODIITR</t>
  </si>
  <si>
    <t>KUNDE</t>
  </si>
  <si>
    <t>EDWNFMK</t>
  </si>
  <si>
    <t>TINT</t>
  </si>
  <si>
    <t>QNZNBTI</t>
  </si>
  <si>
    <t>MUSK</t>
  </si>
  <si>
    <t>MUSNEDK</t>
  </si>
  <si>
    <t>VAR</t>
  </si>
  <si>
    <t>AJVCRAR</t>
  </si>
  <si>
    <t>RONKT</t>
  </si>
  <si>
    <t>OKNONRT</t>
  </si>
  <si>
    <t>WEEG</t>
  </si>
  <si>
    <t>QENGWER</t>
  </si>
  <si>
    <t>MU</t>
  </si>
  <si>
    <t>EMGSUIN</t>
  </si>
  <si>
    <t>TOEFJE</t>
  </si>
  <si>
    <t>QNEPEJT</t>
  </si>
  <si>
    <t>LEGIO</t>
  </si>
  <si>
    <t>OOOGEIN</t>
  </si>
  <si>
    <t>HULST</t>
  </si>
  <si>
    <t>UHLSXTD</t>
  </si>
  <si>
    <t>VLEKTE</t>
  </si>
  <si>
    <t>AAEEEEE</t>
  </si>
  <si>
    <t>SEM</t>
  </si>
  <si>
    <t>FNRSMJE</t>
  </si>
  <si>
    <t>NNUNVOS</t>
  </si>
  <si>
    <t>IMPRINTS</t>
  </si>
  <si>
    <t>WTINRDS</t>
  </si>
  <si>
    <t>ESSEN</t>
  </si>
  <si>
    <t>SNEESOD</t>
  </si>
  <si>
    <t>GARDEN</t>
  </si>
  <si>
    <t>ENDNOAQ</t>
  </si>
  <si>
    <t>NAS</t>
  </si>
  <si>
    <t>EANNSQD</t>
  </si>
  <si>
    <t>EBOOK</t>
  </si>
  <si>
    <t>KNBOENO</t>
  </si>
  <si>
    <t>JADE</t>
  </si>
  <si>
    <t>DADJSEO</t>
  </si>
  <si>
    <t>VSNYGEW</t>
  </si>
  <si>
    <t>TIJ</t>
  </si>
  <si>
    <t>WHDJRNG</t>
  </si>
  <si>
    <t>VUEOYNC</t>
  </si>
  <si>
    <t>RIJF</t>
  </si>
  <si>
    <t>JNNRRFE</t>
  </si>
  <si>
    <t>DNNUEZS</t>
  </si>
  <si>
    <t>AAS</t>
  </si>
  <si>
    <t>VAEEKSE</t>
  </si>
  <si>
    <t>VGBFKUY</t>
  </si>
  <si>
    <t>OPDELF</t>
  </si>
  <si>
    <t>ODSQ EE</t>
  </si>
  <si>
    <t>DORP</t>
  </si>
  <si>
    <t>DDVRPNN</t>
  </si>
  <si>
    <t>OOR</t>
  </si>
  <si>
    <t>QROEOTR</t>
  </si>
  <si>
    <t>ANJER</t>
  </si>
  <si>
    <t>RJDDNAN</t>
  </si>
  <si>
    <t>QEDAENC</t>
  </si>
  <si>
    <t>WEEKLAAG</t>
  </si>
  <si>
    <t>VPEFWEE</t>
  </si>
  <si>
    <t>EL</t>
  </si>
  <si>
    <t>LNQONNE</t>
  </si>
  <si>
    <t>GAUCHO</t>
  </si>
  <si>
    <t>GHUCIDO</t>
  </si>
  <si>
    <t>WESP</t>
  </si>
  <si>
    <t>QDOJSWE</t>
  </si>
  <si>
    <t>MAJOR</t>
  </si>
  <si>
    <t>RJMAOAE</t>
  </si>
  <si>
    <t>FHEZCBN</t>
  </si>
  <si>
    <t>QAGDDPT</t>
  </si>
  <si>
    <t>KEI</t>
  </si>
  <si>
    <t>NNNEIBU</t>
  </si>
  <si>
    <t>STORMDE</t>
  </si>
  <si>
    <t>DMEROTS</t>
  </si>
  <si>
    <t>ZIPT</t>
  </si>
  <si>
    <t>TZMTIPE</t>
  </si>
  <si>
    <t>LINNEN</t>
  </si>
  <si>
    <t>NNNNLEI</t>
  </si>
  <si>
    <t>B</t>
  </si>
  <si>
    <t>NNBKTVP</t>
  </si>
  <si>
    <t>NNNMWWO</t>
  </si>
  <si>
    <t>MIAUWDEN</t>
  </si>
  <si>
    <t>DONCTDN</t>
  </si>
  <si>
    <t>GALG</t>
  </si>
  <si>
    <t>AQGGFLR</t>
  </si>
  <si>
    <t>NNNSRAZ</t>
  </si>
  <si>
    <t>EIK</t>
  </si>
  <si>
    <t>EHKEGIK</t>
  </si>
  <si>
    <t>SLEG</t>
  </si>
  <si>
    <t>NNGDELQ</t>
  </si>
  <si>
    <t>EXTRA</t>
  </si>
  <si>
    <t>RZERXTL</t>
  </si>
  <si>
    <t>RECENT</t>
  </si>
  <si>
    <t>RNTCGEO</t>
  </si>
  <si>
    <t>WHITE</t>
  </si>
  <si>
    <t>HYWBEKI</t>
  </si>
  <si>
    <t>MXKUSRE</t>
  </si>
  <si>
    <t>FUSEE</t>
  </si>
  <si>
    <t xml:space="preserve">FEEDLU </t>
  </si>
  <si>
    <t>ACTIEN</t>
  </si>
  <si>
    <t xml:space="preserve">QNDEAC </t>
  </si>
  <si>
    <t>DANSTENTEN</t>
  </si>
  <si>
    <t>UNTPEEE</t>
  </si>
  <si>
    <t>IET</t>
  </si>
  <si>
    <t>QEUTMEI</t>
  </si>
  <si>
    <t>KWETS</t>
  </si>
  <si>
    <t>ZEKWEST</t>
  </si>
  <si>
    <t>MAGIE</t>
  </si>
  <si>
    <t>QAOGIME</t>
  </si>
  <si>
    <t>BALGJES</t>
  </si>
  <si>
    <t>JSBNGAL</t>
  </si>
  <si>
    <t>ZZFEMIT</t>
  </si>
  <si>
    <t>EINS</t>
  </si>
  <si>
    <t>NAMIJOE</t>
  </si>
  <si>
    <t>PLYBDFG</t>
  </si>
  <si>
    <t>SAK</t>
  </si>
  <si>
    <t>DDORSKA</t>
  </si>
  <si>
    <t>EDZNNKO</t>
  </si>
  <si>
    <t>BAN</t>
  </si>
  <si>
    <t xml:space="preserve">BURNNT </t>
  </si>
  <si>
    <t>BENT</t>
  </si>
  <si>
    <t>VBXMNJE</t>
  </si>
  <si>
    <t>KATION</t>
  </si>
  <si>
    <t>ARNOKIE</t>
  </si>
  <si>
    <t>VDTDNCN</t>
  </si>
  <si>
    <t>HSUNWEB</t>
  </si>
  <si>
    <t>HA</t>
  </si>
  <si>
    <t>NEAHUAE</t>
  </si>
  <si>
    <t>OQACITE</t>
  </si>
  <si>
    <t>ORDES</t>
  </si>
  <si>
    <t>NJSROED</t>
  </si>
  <si>
    <t>ALU</t>
  </si>
  <si>
    <t>QONSZUL</t>
  </si>
  <si>
    <t>TEXE</t>
  </si>
  <si>
    <t>EJTEQXE</t>
  </si>
  <si>
    <t>SLAPTE</t>
  </si>
  <si>
    <t>CSPTLAG</t>
  </si>
  <si>
    <t>TROMPEN</t>
  </si>
  <si>
    <t>EMTROPN</t>
  </si>
  <si>
    <t>ZQNDWEB</t>
  </si>
  <si>
    <t>RNUEACO</t>
  </si>
  <si>
    <t>KOF</t>
  </si>
  <si>
    <t>BNRKOFN</t>
  </si>
  <si>
    <t>RNNLRNF</t>
  </si>
  <si>
    <t>GEKEVEN</t>
  </si>
  <si>
    <t>VNEEKGE</t>
  </si>
  <si>
    <t>CLOWN</t>
  </si>
  <si>
    <t>QCWJOLC</t>
  </si>
  <si>
    <t>ZRTOEIF</t>
  </si>
  <si>
    <t>ZEUR</t>
  </si>
  <si>
    <t xml:space="preserve">DDRUBZ </t>
  </si>
  <si>
    <t>NJJNNFS</t>
  </si>
  <si>
    <t>BYTES</t>
  </si>
  <si>
    <t>YRBTT E</t>
  </si>
  <si>
    <t>TER</t>
  </si>
  <si>
    <t>DDRTFEV</t>
  </si>
  <si>
    <t>MDCTBNN</t>
  </si>
  <si>
    <t>NERO</t>
  </si>
  <si>
    <t>KOFREWN</t>
  </si>
  <si>
    <t>QRNTNNR</t>
  </si>
  <si>
    <t>OME</t>
  </si>
  <si>
    <t>NNEEAJX</t>
  </si>
  <si>
    <t>VAK</t>
  </si>
  <si>
    <t>XVFNKMA</t>
  </si>
  <si>
    <t>VETTE</t>
  </si>
  <si>
    <t>EOEOOVT</t>
  </si>
  <si>
    <t>BELEED</t>
  </si>
  <si>
    <t>EDLBAEQ</t>
  </si>
  <si>
    <t>POER</t>
  </si>
  <si>
    <t>MRRCMOP</t>
  </si>
  <si>
    <t>GANSE</t>
  </si>
  <si>
    <t>NAO SDG</t>
  </si>
  <si>
    <t>WENER</t>
  </si>
  <si>
    <t>CRNENEW</t>
  </si>
  <si>
    <t>EEND</t>
  </si>
  <si>
    <t>UUEDENE</t>
  </si>
  <si>
    <t>TEAM</t>
  </si>
  <si>
    <t>EEKGMZE</t>
  </si>
  <si>
    <t>TERGDEN</t>
  </si>
  <si>
    <t>VGNREDP</t>
  </si>
  <si>
    <t>UEBASEF</t>
  </si>
  <si>
    <t>ORROEWA</t>
  </si>
  <si>
    <t>ETETJXN</t>
  </si>
  <si>
    <t>DROMENDE</t>
  </si>
  <si>
    <t>DNRNCEE</t>
  </si>
  <si>
    <t>ENE</t>
  </si>
  <si>
    <t>FEEKENE</t>
  </si>
  <si>
    <t>WOU</t>
  </si>
  <si>
    <t>NNGMVWO</t>
  </si>
  <si>
    <t>DUWT</t>
  </si>
  <si>
    <t>QNETUWD</t>
  </si>
  <si>
    <t>NAG</t>
  </si>
  <si>
    <t>QAYGNDO</t>
  </si>
  <si>
    <t>BEL</t>
  </si>
  <si>
    <t>NBDLSEC</t>
  </si>
  <si>
    <t>SEDER</t>
  </si>
  <si>
    <t>NNKEEDR</t>
  </si>
  <si>
    <t>EPO</t>
  </si>
  <si>
    <t>OOBENTP</t>
  </si>
  <si>
    <t>ONQENAR</t>
  </si>
  <si>
    <t>EEACBGW</t>
  </si>
  <si>
    <t>ACNES</t>
  </si>
  <si>
    <t>CNLNESA</t>
  </si>
  <si>
    <t>EEEUIEE</t>
  </si>
  <si>
    <t>CASES</t>
  </si>
  <si>
    <t>FSSC RE</t>
  </si>
  <si>
    <t>VIEF</t>
  </si>
  <si>
    <t>VFOEANI</t>
  </si>
  <si>
    <t>HANGER</t>
  </si>
  <si>
    <t>NGBHARE</t>
  </si>
  <si>
    <t>BUG</t>
  </si>
  <si>
    <t>VUEGNUB</t>
  </si>
  <si>
    <t>NEERGANG</t>
  </si>
  <si>
    <t>ARNEGEN</t>
  </si>
  <si>
    <t>RANZE</t>
  </si>
  <si>
    <t>WFAERZZ</t>
  </si>
  <si>
    <t>JCOKTDG</t>
  </si>
  <si>
    <t>OMENPSZ</t>
  </si>
  <si>
    <t>ECU</t>
  </si>
  <si>
    <t>EEECEEY</t>
  </si>
  <si>
    <t>SONDE</t>
  </si>
  <si>
    <t>DSNEOAT</t>
  </si>
  <si>
    <t>ZOUDE</t>
  </si>
  <si>
    <t>SDZAOEJ</t>
  </si>
  <si>
    <t>PELACRI</t>
  </si>
  <si>
    <t>INDE</t>
  </si>
  <si>
    <t>QNGVIED</t>
  </si>
  <si>
    <t>MEEN</t>
  </si>
  <si>
    <t>MROANAE</t>
  </si>
  <si>
    <t>SJCFEWW</t>
  </si>
  <si>
    <t>JNNDNCG</t>
  </si>
  <si>
    <t>ORGANDIE</t>
  </si>
  <si>
    <t>GEORIAN</t>
  </si>
  <si>
    <t>DE</t>
  </si>
  <si>
    <t>EEEASDR</t>
  </si>
  <si>
    <t>LOETEN</t>
  </si>
  <si>
    <t>OLTEE E</t>
  </si>
  <si>
    <t>SJIA</t>
  </si>
  <si>
    <t>DDASEJI</t>
  </si>
  <si>
    <t>ONGEL</t>
  </si>
  <si>
    <t>SONLGWM</t>
  </si>
  <si>
    <t>FANAAT</t>
  </si>
  <si>
    <t>AAEFTNA</t>
  </si>
  <si>
    <t>ZOEN</t>
  </si>
  <si>
    <t>SNEZVNB</t>
  </si>
  <si>
    <t>VORM</t>
  </si>
  <si>
    <t>DRSDOVM</t>
  </si>
  <si>
    <t>MMM</t>
  </si>
  <si>
    <t>AMEELME</t>
  </si>
  <si>
    <t>VOER</t>
  </si>
  <si>
    <t>NOVSRJE</t>
  </si>
  <si>
    <t>MA</t>
  </si>
  <si>
    <t>EAEABEM</t>
  </si>
  <si>
    <t>ZWEVEND</t>
  </si>
  <si>
    <t>ZVEWEDN</t>
  </si>
  <si>
    <t>FOTON</t>
  </si>
  <si>
    <t>OEENFOE</t>
  </si>
  <si>
    <t>GNOMEN</t>
  </si>
  <si>
    <t>ENAOMNG</t>
  </si>
  <si>
    <t>ZOTTE</t>
  </si>
  <si>
    <t>AEOKMAT</t>
  </si>
  <si>
    <t>KIF</t>
  </si>
  <si>
    <t>NNNLKFU</t>
  </si>
  <si>
    <t>ZENEN</t>
  </si>
  <si>
    <t>CENNETJ</t>
  </si>
  <si>
    <t>WEEK</t>
  </si>
  <si>
    <t>OEEEKEW</t>
  </si>
  <si>
    <t>ERKER</t>
  </si>
  <si>
    <t>EKEEAER</t>
  </si>
  <si>
    <t>BEKAP</t>
  </si>
  <si>
    <t>ABLPNEK</t>
  </si>
  <si>
    <t>UHERFEE</t>
  </si>
  <si>
    <t>ANDOORNS</t>
  </si>
  <si>
    <t>DRN ONA</t>
  </si>
  <si>
    <t>WIJ</t>
  </si>
  <si>
    <t>QWXWDJI</t>
  </si>
  <si>
    <t>WIJL</t>
  </si>
  <si>
    <t>NVLDHRS</t>
  </si>
  <si>
    <t>WEL</t>
  </si>
  <si>
    <t>WLEPJIR</t>
  </si>
  <si>
    <t>EIS</t>
  </si>
  <si>
    <t>DJSDDEI</t>
  </si>
  <si>
    <t>EEEOEOH</t>
  </si>
  <si>
    <t>BED</t>
  </si>
  <si>
    <t>BEZNOZD</t>
  </si>
  <si>
    <t>ELO</t>
  </si>
  <si>
    <t>UEOLREE</t>
  </si>
  <si>
    <t>ENEN</t>
  </si>
  <si>
    <t>TNNLTCT</t>
  </si>
  <si>
    <t>ZIPTE</t>
  </si>
  <si>
    <t>PEZISSO</t>
  </si>
  <si>
    <t>AART</t>
  </si>
  <si>
    <t>NAAROET</t>
  </si>
  <si>
    <t>YANK</t>
  </si>
  <si>
    <t>QTNYUOA</t>
  </si>
  <si>
    <t>MAZEN</t>
  </si>
  <si>
    <t>ZNM RAN</t>
  </si>
  <si>
    <t>ZIJPEN</t>
  </si>
  <si>
    <t>NPJNZEA</t>
  </si>
  <si>
    <t>ZEGJE</t>
  </si>
  <si>
    <t>ENZDEDG</t>
  </si>
  <si>
    <t>AOJSRZT</t>
  </si>
  <si>
    <t>DUIMEN</t>
  </si>
  <si>
    <t>NBUMNIE</t>
  </si>
  <si>
    <t>TABAK</t>
  </si>
  <si>
    <t>DAVKEEE</t>
  </si>
  <si>
    <t>RITES</t>
  </si>
  <si>
    <t>HITRSAR</t>
  </si>
  <si>
    <t>WOUW</t>
  </si>
  <si>
    <t>WFMWCUO</t>
  </si>
  <si>
    <t>QZNBTEX</t>
  </si>
  <si>
    <t>DEINZEN</t>
  </si>
  <si>
    <t>NEDE NI</t>
  </si>
  <si>
    <t>ERNA</t>
  </si>
  <si>
    <t>JCARNEH</t>
  </si>
  <si>
    <t>HOS</t>
  </si>
  <si>
    <t>ONHSSEO</t>
  </si>
  <si>
    <t>REB</t>
  </si>
  <si>
    <t>QNRERCB</t>
  </si>
  <si>
    <t>MUREN</t>
  </si>
  <si>
    <t>EGSINER</t>
  </si>
  <si>
    <t>HEEP</t>
  </si>
  <si>
    <t>QNPHOEE</t>
  </si>
  <si>
    <t>OONQMCN</t>
  </si>
  <si>
    <t>XDYOGGB</t>
  </si>
  <si>
    <t>AAEEEEW</t>
  </si>
  <si>
    <t>TROJAN</t>
  </si>
  <si>
    <t>FNRJOAT</t>
  </si>
  <si>
    <t>NU</t>
  </si>
  <si>
    <t>NNUNVOE</t>
  </si>
  <si>
    <t>AFWIJS</t>
  </si>
  <si>
    <t>WDJAEIF</t>
  </si>
  <si>
    <t>ODKYUDN</t>
  </si>
  <si>
    <t>FENOL</t>
  </si>
  <si>
    <t>NOQENLE</t>
  </si>
  <si>
    <t>ENQDIOO</t>
  </si>
  <si>
    <t>DROOMT</t>
  </si>
  <si>
    <t>NNTDRMD</t>
  </si>
  <si>
    <t>MEDOCS</t>
  </si>
  <si>
    <t>DSOOMCK</t>
  </si>
  <si>
    <t>WIG</t>
  </si>
  <si>
    <t>VNGWKRZ</t>
  </si>
  <si>
    <t>HORD</t>
  </si>
  <si>
    <t>WHDRNGO</t>
  </si>
  <si>
    <t>EVACUES</t>
  </si>
  <si>
    <t>VUOCEAS</t>
  </si>
  <si>
    <t>GERETWEET</t>
  </si>
  <si>
    <t>NNREEKG</t>
  </si>
  <si>
    <t>DUNKEN</t>
  </si>
  <si>
    <t>DNNUSKC</t>
  </si>
  <si>
    <t>VEEKEOL</t>
  </si>
  <si>
    <t>FIK</t>
  </si>
  <si>
    <t>VBFKUYI</t>
  </si>
  <si>
    <t>SMALLE</t>
  </si>
  <si>
    <t>DSQEEED</t>
  </si>
  <si>
    <t>VER</t>
  </si>
  <si>
    <t>DVNNRNE</t>
  </si>
  <si>
    <t>STREM</t>
  </si>
  <si>
    <t>QETRESM</t>
  </si>
  <si>
    <t>NIK</t>
  </si>
  <si>
    <t>DDNNIMK</t>
  </si>
  <si>
    <t>GROND</t>
  </si>
  <si>
    <t>QEDEN E</t>
  </si>
  <si>
    <t>POEFEN</t>
  </si>
  <si>
    <t>VPFENOE</t>
  </si>
  <si>
    <t>GAUCHOS</t>
  </si>
  <si>
    <t>NQONNSN</t>
  </si>
  <si>
    <t>OXIDES</t>
  </si>
  <si>
    <t>IDEOXES</t>
  </si>
  <si>
    <t>EON</t>
  </si>
  <si>
    <t>QDOJUNL</t>
  </si>
  <si>
    <t>SAVEDE</t>
  </si>
  <si>
    <t>AESEOVD</t>
  </si>
  <si>
    <t>HOEKT</t>
  </si>
  <si>
    <t>FHCBETK</t>
  </si>
  <si>
    <t>WAD</t>
  </si>
  <si>
    <t>GDDPWTA</t>
  </si>
  <si>
    <t>STORMDEN</t>
  </si>
  <si>
    <t>NNNBUEE</t>
  </si>
  <si>
    <t>HET</t>
  </si>
  <si>
    <t>EHEVETN</t>
  </si>
  <si>
    <t>MTEJPEH</t>
  </si>
  <si>
    <t>DOUANES</t>
  </si>
  <si>
    <t>NAAUESO</t>
  </si>
  <si>
    <t>TYP</t>
  </si>
  <si>
    <t>NNKTVPE</t>
  </si>
  <si>
    <t>NNMWIGE</t>
  </si>
  <si>
    <t>DOCTDNT</t>
  </si>
  <si>
    <t>QFRHENS</t>
  </si>
  <si>
    <t>HEATS</t>
  </si>
  <si>
    <t>NNSRAON</t>
  </si>
  <si>
    <t>GEMET</t>
  </si>
  <si>
    <t>HEGKTNM</t>
  </si>
  <si>
    <t>TOD</t>
  </si>
  <si>
    <t>NNDQTNO</t>
  </si>
  <si>
    <t>LOZE</t>
  </si>
  <si>
    <t>ZRLNWEO</t>
  </si>
  <si>
    <t>VEEN</t>
  </si>
  <si>
    <t>GOVNEOE</t>
  </si>
  <si>
    <t>BOY</t>
  </si>
  <si>
    <t>YBKHODR</t>
  </si>
  <si>
    <t>MUG</t>
  </si>
  <si>
    <t>MKRCOGD</t>
  </si>
  <si>
    <t>AL</t>
  </si>
  <si>
    <t>DL NIOK</t>
  </si>
  <si>
    <t>QDLNSKK</t>
  </si>
  <si>
    <t>UTPEENN</t>
  </si>
  <si>
    <t>QUOTA</t>
  </si>
  <si>
    <t>QUMEOTA</t>
  </si>
  <si>
    <t>ZEZHNLA</t>
  </si>
  <si>
    <t>QUORN</t>
  </si>
  <si>
    <t>QOHNRNU</t>
  </si>
  <si>
    <t>NDXENEE</t>
  </si>
  <si>
    <t>ZEMVTBN</t>
  </si>
  <si>
    <t>SMOUTEN</t>
  </si>
  <si>
    <t>AMJOTUS</t>
  </si>
  <si>
    <t>LYBDGVO</t>
  </si>
  <si>
    <t>KOR</t>
  </si>
  <si>
    <t>DDORKWE</t>
  </si>
  <si>
    <t>DONK</t>
  </si>
  <si>
    <t>DNNKODO</t>
  </si>
  <si>
    <t>URT</t>
  </si>
  <si>
    <t>URNTNSL</t>
  </si>
  <si>
    <t>OHM</t>
  </si>
  <si>
    <t>VXMJNHG</t>
  </si>
  <si>
    <t>ALF</t>
  </si>
  <si>
    <t>REASFDR</t>
  </si>
  <si>
    <t>CARD</t>
  </si>
  <si>
    <t>VDDCNAR</t>
  </si>
  <si>
    <t>RABAUW</t>
  </si>
  <si>
    <t>SUNWBAR</t>
  </si>
  <si>
    <t>MEE</t>
  </si>
  <si>
    <t>NEUAEEM</t>
  </si>
  <si>
    <t>QTJE</t>
  </si>
  <si>
    <t xml:space="preserve">OQTERL </t>
  </si>
  <si>
    <t>NJFDNSO</t>
  </si>
  <si>
    <t>QONSZEI</t>
  </si>
  <si>
    <t>JUN</t>
  </si>
  <si>
    <t>JQENENU</t>
  </si>
  <si>
    <t>SICK</t>
  </si>
  <si>
    <t>CGSIIOK</t>
  </si>
  <si>
    <t>DESWEGE</t>
  </si>
  <si>
    <t>GW DEES</t>
  </si>
  <si>
    <t>ZEND</t>
  </si>
  <si>
    <t>ZQNDENN</t>
  </si>
  <si>
    <t>DEPONEER</t>
  </si>
  <si>
    <t>RNEOEPE</t>
  </si>
  <si>
    <t>BNRNKER</t>
  </si>
  <si>
    <t>DECADENTERE</t>
  </si>
  <si>
    <t>NNLRNGE</t>
  </si>
  <si>
    <t>VERHOORD</t>
  </si>
  <si>
    <t>RHDROVO</t>
  </si>
  <si>
    <t>CODE</t>
  </si>
  <si>
    <t>QJCODDE</t>
  </si>
  <si>
    <t>RIKTE</t>
  </si>
  <si>
    <t>RTOEINE</t>
  </si>
  <si>
    <t>TIER</t>
  </si>
  <si>
    <t>DDBETRI</t>
  </si>
  <si>
    <t>WEN</t>
  </si>
  <si>
    <t>NJJNNSW</t>
  </si>
  <si>
    <t>QUOTE</t>
  </si>
  <si>
    <t>RT QOEF</t>
  </si>
  <si>
    <t>DDFVVNE</t>
  </si>
  <si>
    <t>MDTNNYP</t>
  </si>
  <si>
    <t>GEKEF</t>
  </si>
  <si>
    <t>KFWNEGE</t>
  </si>
  <si>
    <t>ROMEN</t>
  </si>
  <si>
    <t>QNTNNRK</t>
  </si>
  <si>
    <t>NNEAJXM</t>
  </si>
  <si>
    <t>LAM</t>
  </si>
  <si>
    <t>XFNMNNQ</t>
  </si>
  <si>
    <t>TOK</t>
  </si>
  <si>
    <t>OOOEKTN</t>
  </si>
  <si>
    <t>AQOER H</t>
  </si>
  <si>
    <t>BRAM</t>
  </si>
  <si>
    <t>MRCMTNB</t>
  </si>
  <si>
    <t>UZI</t>
  </si>
  <si>
    <t>ODIULZE</t>
  </si>
  <si>
    <t>TECHNO</t>
  </si>
  <si>
    <t>CNHOTIE</t>
  </si>
  <si>
    <t>NUFFEN</t>
  </si>
  <si>
    <t>UUEGNNF</t>
  </si>
  <si>
    <t>GEZWEET</t>
  </si>
  <si>
    <t>EKGZETW</t>
  </si>
  <si>
    <t>SWAP</t>
  </si>
  <si>
    <t>VPVASWN</t>
  </si>
  <si>
    <t>FLEX</t>
  </si>
  <si>
    <t>EAEFWQL</t>
  </si>
  <si>
    <t>LARGOS</t>
  </si>
  <si>
    <t>ORROADS</t>
  </si>
  <si>
    <t>EEJNOEA</t>
  </si>
  <si>
    <t>CASTTEN</t>
  </si>
  <si>
    <t xml:space="preserve">NCATST </t>
  </si>
  <si>
    <t>FKENEDH</t>
  </si>
  <si>
    <t>MOVE</t>
  </si>
  <si>
    <t>NNGMVOE</t>
  </si>
  <si>
    <t>QNENHXB</t>
  </si>
  <si>
    <t>QYDOEAE</t>
  </si>
  <si>
    <t>NDSCAEV</t>
  </si>
  <si>
    <t>NES</t>
  </si>
  <si>
    <t>NNKSVNE</t>
  </si>
  <si>
    <t>BOEN</t>
  </si>
  <si>
    <t>OBENTNO</t>
  </si>
  <si>
    <t>WUIT</t>
  </si>
  <si>
    <t>NQENUWT</t>
  </si>
  <si>
    <t>WEGS</t>
  </si>
  <si>
    <t>EEGWSFU</t>
  </si>
  <si>
    <t>LNLNHEI</t>
  </si>
  <si>
    <t>INDRONGEN</t>
  </si>
  <si>
    <t>EEUIEEN</t>
  </si>
  <si>
    <t>ZINDER</t>
  </si>
  <si>
    <t>FRZDEIN</t>
  </si>
  <si>
    <t>ZOUT</t>
  </si>
  <si>
    <t>OANTJUC</t>
  </si>
  <si>
    <t>DUS</t>
  </si>
  <si>
    <t>BWUHNLD</t>
  </si>
  <si>
    <t>TONER</t>
  </si>
  <si>
    <t>VENUTNO</t>
  </si>
  <si>
    <t>TIJDE</t>
  </si>
  <si>
    <t xml:space="preserve"> MQEDJT</t>
  </si>
  <si>
    <t>WFZAUDD</t>
  </si>
  <si>
    <t>DOES</t>
  </si>
  <si>
    <t>CKDOESE</t>
  </si>
  <si>
    <t>ONPZESU</t>
  </si>
  <si>
    <t>EEK</t>
  </si>
  <si>
    <t>EEEEYEK</t>
  </si>
  <si>
    <t>ATSETEQ</t>
  </si>
  <si>
    <t>SOJA</t>
  </si>
  <si>
    <t>SAJDGOQ</t>
  </si>
  <si>
    <t>PAREL</t>
  </si>
  <si>
    <t>PELARIV</t>
  </si>
  <si>
    <t>SPOED</t>
  </si>
  <si>
    <t>QGVESPD</t>
  </si>
  <si>
    <t>MAANWAGEN</t>
  </si>
  <si>
    <t>ROANARM</t>
  </si>
  <si>
    <t>CWWEXDD</t>
  </si>
  <si>
    <t>FOND</t>
  </si>
  <si>
    <t>JNNDNGO</t>
  </si>
  <si>
    <t>BELOGEN</t>
  </si>
  <si>
    <t>EOVBLNR</t>
  </si>
  <si>
    <t>FRASES</t>
  </si>
  <si>
    <t>EEASRSO</t>
  </si>
  <si>
    <t>ENNSNOQ</t>
  </si>
  <si>
    <t>WREEK</t>
  </si>
  <si>
    <t>DDEKAWO</t>
  </si>
  <si>
    <t>MIK</t>
  </si>
  <si>
    <t>SWMIEEK</t>
  </si>
  <si>
    <t>FIEDELT</t>
  </si>
  <si>
    <t>EIT EQD</t>
  </si>
  <si>
    <t>VBO</t>
  </si>
  <si>
    <t>SVNBNOE</t>
  </si>
  <si>
    <t>SJES</t>
  </si>
  <si>
    <t>DSDDJEN</t>
  </si>
  <si>
    <t>TWIJGEN</t>
  </si>
  <si>
    <t>AEELENE</t>
  </si>
  <si>
    <t>HIELDEN</t>
  </si>
  <si>
    <t>NSJDNFD</t>
  </si>
  <si>
    <t>EEABEUI</t>
  </si>
  <si>
    <t>NEFDRRM</t>
  </si>
  <si>
    <t>KAASJE</t>
  </si>
  <si>
    <t>EEEEJLK</t>
  </si>
  <si>
    <t>INHAM</t>
  </si>
  <si>
    <t>ANEPMIH</t>
  </si>
  <si>
    <t>UWE</t>
  </si>
  <si>
    <t>AOKMAUE</t>
  </si>
  <si>
    <t>PULKEN</t>
  </si>
  <si>
    <t>NNNLUPE</t>
  </si>
  <si>
    <t>ACHT</t>
  </si>
  <si>
    <t>CTJHDDR</t>
  </si>
  <si>
    <t>ROET</t>
  </si>
  <si>
    <t>OEEEERT</t>
  </si>
  <si>
    <t>EAEQEGJ</t>
  </si>
  <si>
    <t>EIKELEN</t>
  </si>
  <si>
    <t>LNKEINE</t>
  </si>
  <si>
    <t>RAFEL</t>
  </si>
  <si>
    <t>URFEELU</t>
  </si>
  <si>
    <t>GEVEST</t>
  </si>
  <si>
    <t>EGEESTY</t>
  </si>
  <si>
    <t>QXWDAAR</t>
  </si>
  <si>
    <t>BR</t>
  </si>
  <si>
    <t>NVDHRSD</t>
  </si>
  <si>
    <t>PIJPT</t>
  </si>
  <si>
    <t>PJIRFTP</t>
  </si>
  <si>
    <t>HYVEN</t>
  </si>
  <si>
    <t>DJDDHTN</t>
  </si>
  <si>
    <t>EEOEOEV</t>
  </si>
  <si>
    <t>ZON</t>
  </si>
  <si>
    <t>ZNOZDNA</t>
  </si>
  <si>
    <t>UREEEEN</t>
  </si>
  <si>
    <t>LEST</t>
  </si>
  <si>
    <t>TNLTCTE</t>
  </si>
  <si>
    <t>CES</t>
  </si>
  <si>
    <t>SSOEENE</t>
  </si>
  <si>
    <t>BAR</t>
  </si>
  <si>
    <t>NOEEOAB</t>
  </si>
  <si>
    <t>VENDU</t>
  </si>
  <si>
    <t>QTUODVE</t>
  </si>
  <si>
    <t>WUIEN</t>
  </si>
  <si>
    <t>RNNEIUW</t>
  </si>
  <si>
    <t>DADINGEN</t>
  </si>
  <si>
    <t>NA GDDE</t>
  </si>
  <si>
    <t>NDDNBEE</t>
  </si>
  <si>
    <t>ZIJL</t>
  </si>
  <si>
    <t>OJRZIEK</t>
  </si>
  <si>
    <t>FIX</t>
  </si>
  <si>
    <t>BNSFXEE</t>
  </si>
  <si>
    <t>WEVENDE</t>
  </si>
  <si>
    <t>DVEEEWN</t>
  </si>
  <si>
    <t>GEHANG</t>
  </si>
  <si>
    <t>HARQEGN</t>
  </si>
  <si>
    <t>MSNEN</t>
  </si>
  <si>
    <t>FMCLSEN</t>
  </si>
  <si>
    <t>NAZI</t>
  </si>
  <si>
    <t xml:space="preserve">QZNBTI </t>
  </si>
  <si>
    <t>TAF</t>
  </si>
  <si>
    <t>FEOTBAA</t>
  </si>
  <si>
    <t>CHEEK</t>
  </si>
  <si>
    <t>JCEHEAZ</t>
  </si>
  <si>
    <t>FESTONS</t>
  </si>
  <si>
    <t>NSEOS T</t>
  </si>
  <si>
    <t>LAK</t>
  </si>
  <si>
    <t>QNRCKLA</t>
  </si>
  <si>
    <t>SAGE</t>
  </si>
  <si>
    <t>GSINESA</t>
  </si>
  <si>
    <t>QNOEWNY</t>
  </si>
  <si>
    <t>COLD</t>
  </si>
  <si>
    <t>OONQCNL</t>
  </si>
  <si>
    <t>GEVEEG</t>
  </si>
  <si>
    <t>XYGBETT</t>
  </si>
  <si>
    <t>AAEEEZS</t>
  </si>
  <si>
    <t>OPHEF</t>
  </si>
  <si>
    <t>FHPNNOE</t>
  </si>
  <si>
    <t>DOLEREN</t>
  </si>
  <si>
    <t>NNNVOEO</t>
  </si>
  <si>
    <t>MANDEN</t>
  </si>
  <si>
    <t>DENNAMN</t>
  </si>
  <si>
    <t>OOK</t>
  </si>
  <si>
    <t>OKUNGOB</t>
  </si>
  <si>
    <t>BEER</t>
  </si>
  <si>
    <t>QNEJBRE</t>
  </si>
  <si>
    <t>HORREN</t>
  </si>
  <si>
    <t>NQIOREH</t>
  </si>
  <si>
    <t>PALMVET</t>
  </si>
  <si>
    <t>NNDEVTN</t>
  </si>
  <si>
    <t>KOP</t>
  </si>
  <si>
    <t>OKANOPN</t>
  </si>
  <si>
    <t>VNKRZNM</t>
  </si>
  <si>
    <t>KOGEN</t>
  </si>
  <si>
    <t>WNGEOUE</t>
  </si>
  <si>
    <t>FONDUE</t>
  </si>
  <si>
    <t>O FEONV</t>
  </si>
  <si>
    <t>NNKHELD</t>
  </si>
  <si>
    <t>SMID</t>
  </si>
  <si>
    <t>SCQMMDI</t>
  </si>
  <si>
    <t>VIEW</t>
  </si>
  <si>
    <t>VEKEOIW</t>
  </si>
  <si>
    <t>ABCTJE</t>
  </si>
  <si>
    <t>VBUYOAJ</t>
  </si>
  <si>
    <t>SEO</t>
  </si>
  <si>
    <t>DSQEEDO</t>
  </si>
  <si>
    <t>RANI</t>
  </si>
  <si>
    <t>DNNNRAI</t>
  </si>
  <si>
    <t>QENUNLL</t>
  </si>
  <si>
    <t>DDNMCEE</t>
  </si>
  <si>
    <t>MAF</t>
  </si>
  <si>
    <t>QEEECME</t>
  </si>
  <si>
    <t>JIVE</t>
  </si>
  <si>
    <t>VNJINME</t>
  </si>
  <si>
    <t>NQONNNZ</t>
  </si>
  <si>
    <t>INKEERDE</t>
  </si>
  <si>
    <t>EEDRENK</t>
  </si>
  <si>
    <t>DAL</t>
  </si>
  <si>
    <t>QDJULAR</t>
  </si>
  <si>
    <t>KOEK</t>
  </si>
  <si>
    <t>OEKHKGE</t>
  </si>
  <si>
    <t>MIC</t>
  </si>
  <si>
    <t>FCBINGM</t>
  </si>
  <si>
    <t>PANDT</t>
  </si>
  <si>
    <t>GDPTPNA</t>
  </si>
  <si>
    <t>BUHNEN</t>
  </si>
  <si>
    <t>NNBUEEH</t>
  </si>
  <si>
    <t>DIEVEN</t>
  </si>
  <si>
    <t>EVENADI</t>
  </si>
  <si>
    <t>MTJEGYN</t>
  </si>
  <si>
    <t>UIEN</t>
  </si>
  <si>
    <t>AOUENOE</t>
  </si>
  <si>
    <t>NNKVEAR</t>
  </si>
  <si>
    <t>WINT</t>
  </si>
  <si>
    <t>NNMWITM</t>
  </si>
  <si>
    <t>DROST</t>
  </si>
  <si>
    <t>DOCDNTS</t>
  </si>
  <si>
    <t>LEENHOF</t>
  </si>
  <si>
    <t>QFHNOEE</t>
  </si>
  <si>
    <t>NNRAONR</t>
  </si>
  <si>
    <t>HEKEN</t>
  </si>
  <si>
    <t>HKNENEI</t>
  </si>
  <si>
    <t>NNQNCHN</t>
  </si>
  <si>
    <t>ZWANG</t>
  </si>
  <si>
    <t>RNWABZC</t>
  </si>
  <si>
    <t>GLO</t>
  </si>
  <si>
    <t>GOOLONG</t>
  </si>
  <si>
    <t>HEKJE</t>
  </si>
  <si>
    <t>KHDRENJ</t>
  </si>
  <si>
    <t>ROCKS</t>
  </si>
  <si>
    <t>KRCODSA</t>
  </si>
  <si>
    <t>GEKKIN</t>
  </si>
  <si>
    <t>DNIOKTT</t>
  </si>
  <si>
    <t>KINA</t>
  </si>
  <si>
    <t>QDLNKAI</t>
  </si>
  <si>
    <t>REP</t>
  </si>
  <si>
    <t>PEENNRR</t>
  </si>
  <si>
    <t>GEMS</t>
  </si>
  <si>
    <t>MEGEFES</t>
  </si>
  <si>
    <t>ZZNLANN</t>
  </si>
  <si>
    <t>HEF</t>
  </si>
  <si>
    <t>HNEFEMS</t>
  </si>
  <si>
    <t>GEPEN</t>
  </si>
  <si>
    <t>NDNEEVP</t>
  </si>
  <si>
    <t>ZEPIG</t>
  </si>
  <si>
    <t>ZMVTNGT</t>
  </si>
  <si>
    <t>HEEF</t>
  </si>
  <si>
    <t>AJREHEF</t>
  </si>
  <si>
    <t>BLIK</t>
  </si>
  <si>
    <t>LBDGVLZ</t>
  </si>
  <si>
    <t>DRAM</t>
  </si>
  <si>
    <t>DDRWEMA</t>
  </si>
  <si>
    <t>NDOOGHE</t>
  </si>
  <si>
    <t>SOP</t>
  </si>
  <si>
    <t>NNSLFOP</t>
  </si>
  <si>
    <t>VEGA</t>
  </si>
  <si>
    <t>VXJNGAE</t>
  </si>
  <si>
    <t>RESDREN</t>
  </si>
  <si>
    <t>VULDEN</t>
  </si>
  <si>
    <t>VDNELAU</t>
  </si>
  <si>
    <t>SNNEYQE</t>
  </si>
  <si>
    <t>ANNEX</t>
  </si>
  <si>
    <t>NUAENDX</t>
  </si>
  <si>
    <t>KWEELT</t>
  </si>
  <si>
    <t>ORLWEKT</t>
  </si>
  <si>
    <t>SON</t>
  </si>
  <si>
    <t>NJDNSOF</t>
  </si>
  <si>
    <t>QONIRLD</t>
  </si>
  <si>
    <t>HEE</t>
  </si>
  <si>
    <t>QEENHEE</t>
  </si>
  <si>
    <t>GAPERIG</t>
  </si>
  <si>
    <t>GIOTFGI</t>
  </si>
  <si>
    <t>HEIIG</t>
  </si>
  <si>
    <t>DHIEIOG</t>
  </si>
  <si>
    <t>NUL</t>
  </si>
  <si>
    <t>QNNLUSE</t>
  </si>
  <si>
    <t>HEEOSED</t>
  </si>
  <si>
    <t>NART</t>
  </si>
  <si>
    <t>NRNKRTX</t>
  </si>
  <si>
    <t>VLOG</t>
  </si>
  <si>
    <t>NNLNGMN</t>
  </si>
  <si>
    <t>WOEDT</t>
  </si>
  <si>
    <t>AATDOWZ</t>
  </si>
  <si>
    <t>IJS</t>
  </si>
  <si>
    <t>QJDSNDM</t>
  </si>
  <si>
    <t>LEIS</t>
  </si>
  <si>
    <t>ONESOIE</t>
  </si>
  <si>
    <t>TEDER</t>
  </si>
  <si>
    <t>DDBEERT</t>
  </si>
  <si>
    <t>JJNNSND</t>
  </si>
  <si>
    <t>FRELE</t>
  </si>
  <si>
    <t>RFLEZEB</t>
  </si>
  <si>
    <t>DDFVVEN</t>
  </si>
  <si>
    <t>SHOWDEN</t>
  </si>
  <si>
    <t>MDNNKBM</t>
  </si>
  <si>
    <t>WNLQDER</t>
  </si>
  <si>
    <t>ST</t>
  </si>
  <si>
    <t>QNTNNKN</t>
  </si>
  <si>
    <t>NNAJMWE</t>
  </si>
  <si>
    <t>XFNNNQK</t>
  </si>
  <si>
    <t>OO</t>
  </si>
  <si>
    <t>OOENENE</t>
  </si>
  <si>
    <t>OERHTCW</t>
  </si>
  <si>
    <t>HOM</t>
  </si>
  <si>
    <t>CMTNNDO</t>
  </si>
  <si>
    <t>RODDEL</t>
  </si>
  <si>
    <t>ODLEDQR</t>
  </si>
  <si>
    <t>AFMIK</t>
  </si>
  <si>
    <t>IFIAAEN</t>
  </si>
  <si>
    <t>GIS</t>
  </si>
  <si>
    <t>UGESINN</t>
  </si>
  <si>
    <t>WAX</t>
  </si>
  <si>
    <t>KANGCRX</t>
  </si>
  <si>
    <t>KEA</t>
  </si>
  <si>
    <t>VVNGKDA</t>
  </si>
  <si>
    <t>WEZEL</t>
  </si>
  <si>
    <t>AEWQZEN</t>
  </si>
  <si>
    <t>BOYS</t>
  </si>
  <si>
    <t>RODDESY</t>
  </si>
  <si>
    <t>NOEARQT</t>
  </si>
  <si>
    <t>LUIMT</t>
  </si>
  <si>
    <t>UIMVLGT</t>
  </si>
  <si>
    <t>UWEN</t>
  </si>
  <si>
    <t>KNEDGGE</t>
  </si>
  <si>
    <t>GIF</t>
  </si>
  <si>
    <t>NNGFDIE</t>
  </si>
  <si>
    <t>QNXBRNE</t>
  </si>
  <si>
    <t>ZESDE</t>
  </si>
  <si>
    <t>QDEAESZ</t>
  </si>
  <si>
    <t>AS</t>
  </si>
  <si>
    <t>DVAEKSE</t>
  </si>
  <si>
    <t>INRUK</t>
  </si>
  <si>
    <t>NKVNREU</t>
  </si>
  <si>
    <t>VLEIT</t>
  </si>
  <si>
    <t>TNOLJVG</t>
  </si>
  <si>
    <t>NQENNLC</t>
  </si>
  <si>
    <t>EFUSLNR</t>
  </si>
  <si>
    <t>HEUVEL</t>
  </si>
  <si>
    <t>LHAUWVE</t>
  </si>
  <si>
    <t>EEUEEOE</t>
  </si>
  <si>
    <t>DAARNA</t>
  </si>
  <si>
    <t>FRDNAAH</t>
  </si>
  <si>
    <t>ANJCWQT</t>
  </si>
  <si>
    <t>TWEN</t>
  </si>
  <si>
    <t>BWHNLEJ</t>
  </si>
  <si>
    <t>MINIS</t>
  </si>
  <si>
    <t>VUNSCIM</t>
  </si>
  <si>
    <t>MQNEETU</t>
  </si>
  <si>
    <t>FAUDECR</t>
  </si>
  <si>
    <t>CKEEIAN</t>
  </si>
  <si>
    <t>NEP</t>
  </si>
  <si>
    <t>PZEUEEN</t>
  </si>
  <si>
    <t>YEN</t>
  </si>
  <si>
    <t>EEYEENN</t>
  </si>
  <si>
    <t>INKT</t>
  </si>
  <si>
    <t>ETEVNAN</t>
  </si>
  <si>
    <t>DO</t>
  </si>
  <si>
    <t>DGQSNJH</t>
  </si>
  <si>
    <t>TEX</t>
  </si>
  <si>
    <t>IVEETXE</t>
  </si>
  <si>
    <t>HOTS</t>
  </si>
  <si>
    <t xml:space="preserve">QGVTHO </t>
  </si>
  <si>
    <t>ORDNERS</t>
  </si>
  <si>
    <t>RORNDES</t>
  </si>
  <si>
    <t>CWWDDAM</t>
  </si>
  <si>
    <t>PO</t>
  </si>
  <si>
    <t>JNNGKOP</t>
  </si>
  <si>
    <t>VERWEN</t>
  </si>
  <si>
    <t>OVNREEE</t>
  </si>
  <si>
    <t>VERWENNEN</t>
  </si>
  <si>
    <t>EOANNEU</t>
  </si>
  <si>
    <t>NNSNQAN</t>
  </si>
  <si>
    <t>DDAONZK</t>
  </si>
  <si>
    <t>SWEEVED</t>
  </si>
  <si>
    <t>BOLKOP</t>
  </si>
  <si>
    <t>QEEEOPA</t>
  </si>
  <si>
    <t>SOEKS</t>
  </si>
  <si>
    <t>SNNEEOK</t>
  </si>
  <si>
    <t>DDDNJPU</t>
  </si>
  <si>
    <t>MEELADEN</t>
  </si>
  <si>
    <t>AELEEND</t>
  </si>
  <si>
    <t>DROS</t>
  </si>
  <si>
    <t>SJDNFDR</t>
  </si>
  <si>
    <t>U</t>
  </si>
  <si>
    <t>EEAEUAE</t>
  </si>
  <si>
    <t>FADE</t>
  </si>
  <si>
    <t>NFDRRRN</t>
  </si>
  <si>
    <t>ELF</t>
  </si>
  <si>
    <t>EEELKFJ</t>
  </si>
  <si>
    <t>CAPUT</t>
  </si>
  <si>
    <t>EPCAUNT</t>
  </si>
  <si>
    <t>MADAM</t>
  </si>
  <si>
    <t>AOKMAMA</t>
  </si>
  <si>
    <t>END</t>
  </si>
  <si>
    <t>NNEVDNH</t>
  </si>
  <si>
    <t>DWARS</t>
  </si>
  <si>
    <t>JDDRNWA</t>
  </si>
  <si>
    <t>HEMDE</t>
  </si>
  <si>
    <t>EEEMIDH</t>
  </si>
  <si>
    <t>HUG</t>
  </si>
  <si>
    <t>AEEGYHU</t>
  </si>
  <si>
    <t>JUL</t>
  </si>
  <si>
    <t>NNLDUWN</t>
  </si>
  <si>
    <t>ZOELE</t>
  </si>
  <si>
    <t>UEULZEO</t>
  </si>
  <si>
    <t>EYGJMTR</t>
  </si>
  <si>
    <t>DRA</t>
  </si>
  <si>
    <t>QWDAARG</t>
  </si>
  <si>
    <t>NVDHSDI</t>
  </si>
  <si>
    <t>FOLIO</t>
  </si>
  <si>
    <t>RFLOIOB</t>
  </si>
  <si>
    <t>DJDDHTE</t>
  </si>
  <si>
    <t>VOSSEN</t>
  </si>
  <si>
    <t>EOEOEVS</t>
  </si>
  <si>
    <t>NAZEG</t>
  </si>
  <si>
    <t>ZDNAQDV</t>
  </si>
  <si>
    <t>REDES</t>
  </si>
  <si>
    <t>REEEEDS</t>
  </si>
  <si>
    <t>NOTA</t>
  </si>
  <si>
    <t>NTCTAHO</t>
  </si>
  <si>
    <t>SOENEUX</t>
  </si>
  <si>
    <t>NOORD</t>
  </si>
  <si>
    <t>NOEEOAR</t>
  </si>
  <si>
    <t>TOS</t>
  </si>
  <si>
    <t>QTOSAEE</t>
  </si>
  <si>
    <t>WAR</t>
  </si>
  <si>
    <t>RNOTEAW</t>
  </si>
  <si>
    <t>OOG</t>
  </si>
  <si>
    <t>XRGAWNO</t>
  </si>
  <si>
    <t>EBDE</t>
  </si>
  <si>
    <t>NDNBEFE</t>
  </si>
  <si>
    <t>VERDEK</t>
  </si>
  <si>
    <t>OREKEVD</t>
  </si>
  <si>
    <t>BYE</t>
  </si>
  <si>
    <t>BNSEEIE</t>
  </si>
  <si>
    <t>ZESEAPY</t>
  </si>
  <si>
    <t>QUEUE</t>
  </si>
  <si>
    <t>RQRU UO</t>
  </si>
  <si>
    <t>REN</t>
  </si>
  <si>
    <t>FCLRPEN</t>
  </si>
  <si>
    <t>LBGO</t>
  </si>
  <si>
    <t>QBTGELT</t>
  </si>
  <si>
    <t>BOA</t>
  </si>
  <si>
    <t>EOBAEQP</t>
  </si>
  <si>
    <t>RASA</t>
  </si>
  <si>
    <t>JAZTARS</t>
  </si>
  <si>
    <t>ZEIKT</t>
  </si>
  <si>
    <t>WETFSAZ</t>
  </si>
  <si>
    <t>ER</t>
  </si>
  <si>
    <t>QNRCECN</t>
  </si>
  <si>
    <t>LIS</t>
  </si>
  <si>
    <t>INSOSSL</t>
  </si>
  <si>
    <t>WENK</t>
  </si>
  <si>
    <t xml:space="preserve">QNEWN  </t>
  </si>
  <si>
    <t>NEO</t>
  </si>
  <si>
    <t>ONQNNNE</t>
  </si>
  <si>
    <t>ONYX</t>
  </si>
  <si>
    <t>XYBTTNP</t>
  </si>
  <si>
    <t>DUN</t>
  </si>
  <si>
    <t>AEEENDS</t>
  </si>
  <si>
    <t>NAAI</t>
  </si>
  <si>
    <t>NNNAAIA</t>
  </si>
  <si>
    <t>NNVOOXJ</t>
  </si>
  <si>
    <t>BEMANDE</t>
  </si>
  <si>
    <t>NNEQSEB</t>
  </si>
  <si>
    <t>UNGBEWM</t>
  </si>
  <si>
    <t>DEN</t>
  </si>
  <si>
    <t>QNJEEED</t>
  </si>
  <si>
    <t>TRALIE</t>
  </si>
  <si>
    <t>QITRALN</t>
  </si>
  <si>
    <t>VA</t>
  </si>
  <si>
    <t>NNDNRVA</t>
  </si>
  <si>
    <t>ONDANKS</t>
  </si>
  <si>
    <t>ANON DS</t>
  </si>
  <si>
    <t>VNKRZNN</t>
  </si>
  <si>
    <t>WUENXHN</t>
  </si>
  <si>
    <t>RIJ</t>
  </si>
  <si>
    <t>OVINRQE</t>
  </si>
  <si>
    <t>DORDE</t>
  </si>
  <si>
    <t>NNKLDNA</t>
  </si>
  <si>
    <t>CQMRCEN</t>
  </si>
  <si>
    <t>BEKOGEL</t>
  </si>
  <si>
    <t>KEOLEEG</t>
  </si>
  <si>
    <t>VUYOJIR</t>
  </si>
  <si>
    <t>DQEDAXN</t>
  </si>
  <si>
    <t>DOLEN</t>
  </si>
  <si>
    <t>DNNLEOJ</t>
  </si>
  <si>
    <t>LUL</t>
  </si>
  <si>
    <t>QNUNLEL</t>
  </si>
  <si>
    <t>CEDEL</t>
  </si>
  <si>
    <t>DDNCEEA</t>
  </si>
  <si>
    <t>EED</t>
  </si>
  <si>
    <t>QEEECEA</t>
  </si>
  <si>
    <t>INMIJN</t>
  </si>
  <si>
    <t>NNMEISI</t>
  </si>
  <si>
    <t>JEN</t>
  </si>
  <si>
    <t>QNNNEPJ</t>
  </si>
  <si>
    <t>KDEGGOT</t>
  </si>
  <si>
    <t>BERD</t>
  </si>
  <si>
    <t>QJURBND</t>
  </si>
  <si>
    <t>HGENNZF</t>
  </si>
  <si>
    <t>FBNGMCR</t>
  </si>
  <si>
    <t>REPEN</t>
  </si>
  <si>
    <t>GPEENNR</t>
  </si>
  <si>
    <t>ROZE</t>
  </si>
  <si>
    <t>ETOJZER</t>
  </si>
  <si>
    <t>RAM</t>
  </si>
  <si>
    <t>AIGQNMR</t>
  </si>
  <si>
    <t>MGYNENN</t>
  </si>
  <si>
    <t>OASEN</t>
  </si>
  <si>
    <t xml:space="preserve">AOUOES </t>
  </si>
  <si>
    <t>IJVER</t>
  </si>
  <si>
    <t>NVARJEC</t>
  </si>
  <si>
    <t>MAVO</t>
  </si>
  <si>
    <t>NNMMVOA</t>
  </si>
  <si>
    <t>CDN TZT</t>
  </si>
  <si>
    <t>QPAYXDJ</t>
  </si>
  <si>
    <t>GON</t>
  </si>
  <si>
    <t>NRAONRG</t>
  </si>
  <si>
    <t>ICON</t>
  </si>
  <si>
    <t>NEIUCDO</t>
  </si>
  <si>
    <t>NNQNHNA</t>
  </si>
  <si>
    <t>PRE</t>
  </si>
  <si>
    <t>RBCKEDP</t>
  </si>
  <si>
    <t>GNOES</t>
  </si>
  <si>
    <t>OONGE N</t>
  </si>
  <si>
    <t>DRNNJSF</t>
  </si>
  <si>
    <t>RADIANT</t>
  </si>
  <si>
    <t>DAARNIT</t>
  </si>
  <si>
    <t>CHET</t>
  </si>
  <si>
    <t>DOTTHEN</t>
  </si>
  <si>
    <t>TUIL</t>
  </si>
  <si>
    <t>QDLUTDI</t>
  </si>
  <si>
    <t>NEER</t>
  </si>
  <si>
    <t>ENNRZAE</t>
  </si>
  <si>
    <t>IDEE</t>
  </si>
  <si>
    <t>EFEDUEI</t>
  </si>
  <si>
    <t>ZNNNDNJ</t>
  </si>
  <si>
    <t>NEMSEDD</t>
  </si>
  <si>
    <t>DNEVJND</t>
  </si>
  <si>
    <t>MENGT</t>
  </si>
  <si>
    <t>MVTNTGV</t>
  </si>
  <si>
    <t>AJRONXU</t>
  </si>
  <si>
    <t>ZO</t>
  </si>
  <si>
    <t>DGVLZNH</t>
  </si>
  <si>
    <t>JEUIG</t>
  </si>
  <si>
    <t>DWEUDJI</t>
  </si>
  <si>
    <t>HO</t>
  </si>
  <si>
    <t>NDOOGIH</t>
  </si>
  <si>
    <t>NNLFEDC</t>
  </si>
  <si>
    <t>XJNESQE</t>
  </si>
  <si>
    <t>RRENIYE</t>
  </si>
  <si>
    <t>AANVULDE</t>
  </si>
  <si>
    <t>AUERNAD</t>
  </si>
  <si>
    <t>SYQEGTO</t>
  </si>
  <si>
    <t>UADVUZZ</t>
  </si>
  <si>
    <t>ARKE</t>
  </si>
  <si>
    <t xml:space="preserve">OREJOV </t>
  </si>
  <si>
    <t>JDNFENR</t>
  </si>
  <si>
    <t>QORLDIE</t>
  </si>
  <si>
    <t>QENEEAR</t>
  </si>
  <si>
    <t>GRAFT</t>
  </si>
  <si>
    <t>OTFGIRN</t>
  </si>
  <si>
    <t>SYNODEN</t>
  </si>
  <si>
    <t>DOSNEYO</t>
  </si>
  <si>
    <t>QNSENNE</t>
  </si>
  <si>
    <t>EEEDNZO</t>
  </si>
  <si>
    <t>NKRXFWN</t>
  </si>
  <si>
    <t>NNNMNYE</t>
  </si>
  <si>
    <t>SNIT</t>
  </si>
  <si>
    <t>AAZKESI</t>
  </si>
  <si>
    <t>SAMEN</t>
  </si>
  <si>
    <t>QDNDMAU</t>
  </si>
  <si>
    <t>ONOEANW</t>
  </si>
  <si>
    <t>WAADDE</t>
  </si>
  <si>
    <t>DBEDAAW</t>
  </si>
  <si>
    <t>JANNEN</t>
  </si>
  <si>
    <t>JJNNNDA</t>
  </si>
  <si>
    <t>BON</t>
  </si>
  <si>
    <t>ZBTJOMN</t>
  </si>
  <si>
    <t>DDFVNWE</t>
  </si>
  <si>
    <t>MANK</t>
  </si>
  <si>
    <t>MDNKBMA</t>
  </si>
  <si>
    <t>WINDT</t>
  </si>
  <si>
    <t>WNLQDTI</t>
  </si>
  <si>
    <t>MAK</t>
  </si>
  <si>
    <t>QNNNKNA</t>
  </si>
  <si>
    <t>NNMWEOO</t>
  </si>
  <si>
    <t>XFNNQKZ</t>
  </si>
  <si>
    <t>ENENEUE</t>
  </si>
  <si>
    <t>ENORM</t>
  </si>
  <si>
    <t>OERHTWN</t>
  </si>
  <si>
    <t>UT</t>
  </si>
  <si>
    <t>CTNNDIE</t>
  </si>
  <si>
    <t>QMJKNBU</t>
  </si>
  <si>
    <t>RIANT</t>
  </si>
  <si>
    <t>IIAENTR</t>
  </si>
  <si>
    <t>REIN</t>
  </si>
  <si>
    <t>UENNRIH</t>
  </si>
  <si>
    <t>KNGCRKL</t>
  </si>
  <si>
    <t>VVNGDED</t>
  </si>
  <si>
    <t xml:space="preserve">AQNSEO </t>
  </si>
  <si>
    <t>RDDEMLZ</t>
  </si>
  <si>
    <t>FONEEM</t>
  </si>
  <si>
    <t>NOERUMF</t>
  </si>
  <si>
    <t>STEVIG</t>
  </si>
  <si>
    <t>VGENIOS</t>
  </si>
  <si>
    <t>VERGOK</t>
  </si>
  <si>
    <t>KDGGE O</t>
  </si>
  <si>
    <t>SNOOD</t>
  </si>
  <si>
    <t>NNDEOEA</t>
  </si>
  <si>
    <t>MOVEN</t>
  </si>
  <si>
    <t>QNXRNSN</t>
  </si>
  <si>
    <t>QUERY</t>
  </si>
  <si>
    <t>QAEUNRT</t>
  </si>
  <si>
    <t>GEWED</t>
  </si>
  <si>
    <t>DVEKELG</t>
  </si>
  <si>
    <t>VNEMTXK</t>
  </si>
  <si>
    <t>JOEG</t>
  </si>
  <si>
    <t>NOJGUEO</t>
  </si>
  <si>
    <t>QNNTFZN</t>
  </si>
  <si>
    <t>MULLE</t>
  </si>
  <si>
    <t>FULNRML</t>
  </si>
  <si>
    <t>WANG</t>
  </si>
  <si>
    <t>AWDGSDN</t>
  </si>
  <si>
    <t>EEEEOES</t>
  </si>
  <si>
    <t>TJIRP</t>
  </si>
  <si>
    <t>FHIJTPE</t>
  </si>
  <si>
    <t>AAR</t>
  </si>
  <si>
    <t>ANJCWAR</t>
  </si>
  <si>
    <t>ZOEL</t>
  </si>
  <si>
    <t>BHLJSQE</t>
  </si>
  <si>
    <t>VENIG</t>
  </si>
  <si>
    <t>VUCNEWI</t>
  </si>
  <si>
    <t>KEEN</t>
  </si>
  <si>
    <t>MQETUKN</t>
  </si>
  <si>
    <t>AREN</t>
  </si>
  <si>
    <t>AUDCRNN</t>
  </si>
  <si>
    <t>CIANVNY</t>
  </si>
  <si>
    <t>ZUEEDEA</t>
  </si>
  <si>
    <t>GEER</t>
  </si>
  <si>
    <t>EEEENRG</t>
  </si>
  <si>
    <t>NA</t>
  </si>
  <si>
    <t>EEVNANN</t>
  </si>
  <si>
    <t>HES</t>
  </si>
  <si>
    <t>GQSNJHS</t>
  </si>
  <si>
    <t>LIVE</t>
  </si>
  <si>
    <t>IVETEEO</t>
  </si>
  <si>
    <t>GEVE</t>
  </si>
  <si>
    <t>QGVEECR</t>
  </si>
  <si>
    <t>DNXIAPN</t>
  </si>
  <si>
    <t>DAMT</t>
  </si>
  <si>
    <t>CWDMTIE</t>
  </si>
  <si>
    <t>REK</t>
  </si>
  <si>
    <t>JNNGKER</t>
  </si>
  <si>
    <t>GEHOT</t>
  </si>
  <si>
    <t>OEEVHGT</t>
  </si>
  <si>
    <t>EMO</t>
  </si>
  <si>
    <t xml:space="preserve">OAEUAE </t>
  </si>
  <si>
    <t>NNNQNEA</t>
  </si>
  <si>
    <t>DUIK</t>
  </si>
  <si>
    <t>DDOKITU</t>
  </si>
  <si>
    <t>TEA</t>
  </si>
  <si>
    <t>SEEVEDA</t>
  </si>
  <si>
    <t>WEGER</t>
  </si>
  <si>
    <t>QEEEARA</t>
  </si>
  <si>
    <t>LUG</t>
  </si>
  <si>
    <t>NNELLGU</t>
  </si>
  <si>
    <t>JID</t>
  </si>
  <si>
    <t>DDDNJIN</t>
  </si>
  <si>
    <t>GULP</t>
  </si>
  <si>
    <t>RUPPAGL</t>
  </si>
  <si>
    <t>DOE</t>
  </si>
  <si>
    <t>SJNFDEO</t>
  </si>
  <si>
    <t>EEAEAEN</t>
  </si>
  <si>
    <t>HUP</t>
  </si>
  <si>
    <t>NRRRNPU</t>
  </si>
  <si>
    <t>TEEKJES</t>
  </si>
  <si>
    <t>EEKJ TE</t>
  </si>
  <si>
    <t>DINERS</t>
  </si>
  <si>
    <t>ENSDDIR</t>
  </si>
  <si>
    <t>TJOK</t>
  </si>
  <si>
    <t>OKATERJ</t>
  </si>
  <si>
    <t>NVNHGYE</t>
  </si>
  <si>
    <t>POND</t>
  </si>
  <si>
    <t>JDNOFPP</t>
  </si>
  <si>
    <t>AIR</t>
  </si>
  <si>
    <t>EIRNINA</t>
  </si>
  <si>
    <t>GAY</t>
  </si>
  <si>
    <t>AEEYMAV</t>
  </si>
  <si>
    <t>NNDWNEN</t>
  </si>
  <si>
    <t>DOGMA</t>
  </si>
  <si>
    <t>UUMDAOK</t>
  </si>
  <si>
    <t>EJRIQMK</t>
  </si>
  <si>
    <t>ROW</t>
  </si>
  <si>
    <t>QWAGCOS</t>
  </si>
  <si>
    <t>NVDSDEN</t>
  </si>
  <si>
    <t>TE</t>
  </si>
  <si>
    <t>RBEVATG</t>
  </si>
  <si>
    <t>TINK</t>
  </si>
  <si>
    <t>DJDDTNK</t>
  </si>
  <si>
    <t>EEOEDKC</t>
  </si>
  <si>
    <t>ADDAX</t>
  </si>
  <si>
    <t>DQDVXNA</t>
  </si>
  <si>
    <t>EDE</t>
  </si>
  <si>
    <t>EENDRND</t>
  </si>
  <si>
    <t>CTHDOJS</t>
  </si>
  <si>
    <t>LOONEIS</t>
  </si>
  <si>
    <t>SONEUEL</t>
  </si>
  <si>
    <t>ETENDE</t>
  </si>
  <si>
    <t>EEAEETD</t>
  </si>
  <si>
    <t>EET</t>
  </si>
  <si>
    <t>QAEEJEZ</t>
  </si>
  <si>
    <t>NOTENXC</t>
  </si>
  <si>
    <t>BEWAAR</t>
  </si>
  <si>
    <t>XRAWNAB</t>
  </si>
  <si>
    <t>BEWAARD</t>
  </si>
  <si>
    <t>NDNFNVA</t>
  </si>
  <si>
    <t>NOEMT</t>
  </si>
  <si>
    <t>OMZTRUN</t>
  </si>
  <si>
    <t>P</t>
  </si>
  <si>
    <t>NSEIETP</t>
  </si>
  <si>
    <t>ZIJP</t>
  </si>
  <si>
    <t>ZEAPJSI</t>
  </si>
  <si>
    <t>VOT</t>
  </si>
  <si>
    <t>RROTRVN</t>
  </si>
  <si>
    <t>FCLPEAV</t>
  </si>
  <si>
    <t>ETTE</t>
  </si>
  <si>
    <t>QTETENE</t>
  </si>
  <si>
    <t>OPI</t>
  </si>
  <si>
    <t>EEQPIOE</t>
  </si>
  <si>
    <t>JZTTNSO</t>
  </si>
  <si>
    <t>WEFSAXG</t>
  </si>
  <si>
    <t>QNCCNDU</t>
  </si>
  <si>
    <t>NOSSBMN</t>
  </si>
  <si>
    <t>QN DEXD</t>
  </si>
  <si>
    <t>QNNNAEN</t>
  </si>
  <si>
    <t>TOB</t>
  </si>
  <si>
    <t>BTTPNNO</t>
  </si>
  <si>
    <t>VAST</t>
  </si>
  <si>
    <t>AEEESVT</t>
  </si>
  <si>
    <t>NNAUQNN</t>
  </si>
  <si>
    <t>JE</t>
  </si>
  <si>
    <t>NNVOOJE</t>
  </si>
  <si>
    <t>ARIAS</t>
  </si>
  <si>
    <t>NNQSEAG</t>
  </si>
  <si>
    <t>UNGMTEP</t>
  </si>
  <si>
    <t>KELKJE</t>
  </si>
  <si>
    <t>QJEEKLK</t>
  </si>
  <si>
    <t>QNEGNBE</t>
  </si>
  <si>
    <t>NNDNRIS</t>
  </si>
  <si>
    <t>EDEETIO</t>
  </si>
  <si>
    <t>VNRNNEN</t>
  </si>
  <si>
    <t>HUWT</t>
  </si>
  <si>
    <t>WUENHNT</t>
  </si>
  <si>
    <t>ETSEN</t>
  </si>
  <si>
    <t>OVNQEET</t>
  </si>
  <si>
    <t>NNKLNAY</t>
  </si>
  <si>
    <t>ROB</t>
  </si>
  <si>
    <t>CQRCNBO</t>
  </si>
  <si>
    <t>HENS</t>
  </si>
  <si>
    <t>ENEQHNS</t>
  </si>
  <si>
    <t>JIAUNTR</t>
  </si>
  <si>
    <t>DQDANEW</t>
  </si>
  <si>
    <t>HEM</t>
  </si>
  <si>
    <t>NJTMTHO</t>
  </si>
  <si>
    <t>QNNEKZN</t>
  </si>
  <si>
    <t>ADIEU</t>
  </si>
  <si>
    <t>DNADAES</t>
  </si>
  <si>
    <t>QUASI</t>
  </si>
  <si>
    <t>QECEASU</t>
  </si>
  <si>
    <t>BULKT</t>
  </si>
  <si>
    <t>ESBTLUK</t>
  </si>
  <si>
    <t>QNNPMIA</t>
  </si>
  <si>
    <t>TAG</t>
  </si>
  <si>
    <t>DGTMNRN</t>
  </si>
  <si>
    <t>JEUNE</t>
  </si>
  <si>
    <t>QJURNEE</t>
  </si>
  <si>
    <t>EXCHEF</t>
  </si>
  <si>
    <t>HGNNFCE</t>
  </si>
  <si>
    <t>MERCI</t>
  </si>
  <si>
    <t>FNGMCRI</t>
  </si>
  <si>
    <t>ZUIGEN</t>
  </si>
  <si>
    <t>GNEYZUN</t>
  </si>
  <si>
    <t>ZEER</t>
  </si>
  <si>
    <t>TJEZENA</t>
  </si>
  <si>
    <t>IGQNFEA</t>
  </si>
  <si>
    <t>MGNNNXM</t>
  </si>
  <si>
    <t>BUT</t>
  </si>
  <si>
    <t>UOETNAB</t>
  </si>
  <si>
    <t>NACIEUX</t>
  </si>
  <si>
    <t>MIMEN</t>
  </si>
  <si>
    <t>NNMIEHM</t>
  </si>
  <si>
    <t>GOMT</t>
  </si>
  <si>
    <t>CTOGOMM</t>
  </si>
  <si>
    <t>QYDJNON</t>
  </si>
  <si>
    <t>RANRLEW</t>
  </si>
  <si>
    <t>DURF</t>
  </si>
  <si>
    <t>EUDTMRT</t>
  </si>
  <si>
    <t>IN</t>
  </si>
  <si>
    <t>NNQNNIV</t>
  </si>
  <si>
    <t>KEE</t>
  </si>
  <si>
    <t>BCKDEEE</t>
  </si>
  <si>
    <t>COUPTE</t>
  </si>
  <si>
    <t>ONCEUNP</t>
  </si>
  <si>
    <t>SJWA</t>
  </si>
  <si>
    <t>NNJSFWA</t>
  </si>
  <si>
    <t>EVAS</t>
  </si>
  <si>
    <t>STJVAOE</t>
  </si>
  <si>
    <t>DOTNEGG</t>
  </si>
  <si>
    <t>DONKEY</t>
  </si>
  <si>
    <t>QDDHYPE</t>
  </si>
  <si>
    <t>SNEB</t>
  </si>
  <si>
    <t>NZAEBOS</t>
  </si>
  <si>
    <t>FEUEDED</t>
  </si>
  <si>
    <t>NNDNJWO</t>
  </si>
  <si>
    <t>NMSEDWB</t>
  </si>
  <si>
    <t>JADEN</t>
  </si>
  <si>
    <t>NVJNDEA</t>
  </si>
  <si>
    <t>VTVK RN</t>
  </si>
  <si>
    <t>JURA</t>
  </si>
  <si>
    <t>AJROULA</t>
  </si>
  <si>
    <t>JONG</t>
  </si>
  <si>
    <t>DGVLNHO</t>
  </si>
  <si>
    <t>DWDEEHS</t>
  </si>
  <si>
    <t>INDIGO</t>
  </si>
  <si>
    <t>NDOGISI</t>
  </si>
  <si>
    <t>SNIFTE</t>
  </si>
  <si>
    <t>NNFDEST</t>
  </si>
  <si>
    <t>NEUSJE</t>
  </si>
  <si>
    <t>JSQUEND</t>
  </si>
  <si>
    <t>VERZAAG</t>
  </si>
  <si>
    <t xml:space="preserve">RREERI </t>
  </si>
  <si>
    <t>SINE</t>
  </si>
  <si>
    <t>UERDSRI</t>
  </si>
  <si>
    <t>SPAN</t>
  </si>
  <si>
    <t>SYQO AP</t>
  </si>
  <si>
    <t>UVUZNGT</t>
  </si>
  <si>
    <t>OJOVENS</t>
  </si>
  <si>
    <t>DONDER</t>
  </si>
  <si>
    <t>DNNRTNE</t>
  </si>
  <si>
    <t>RIA</t>
  </si>
  <si>
    <t>QORDIAE</t>
  </si>
  <si>
    <t>QNEAVNM</t>
  </si>
  <si>
    <t>DOEI</t>
  </si>
  <si>
    <t>OINOEUD</t>
  </si>
  <si>
    <t>OUDJE</t>
  </si>
  <si>
    <t>OOAJUEE</t>
  </si>
  <si>
    <t>QNSNNEA</t>
  </si>
  <si>
    <t>ENGE</t>
  </si>
  <si>
    <t>EENOEQG</t>
  </si>
  <si>
    <t>NKXFWNE</t>
  </si>
  <si>
    <t>NNMNNEN</t>
  </si>
  <si>
    <t>KAM</t>
  </si>
  <si>
    <t>AAZKEEM</t>
  </si>
  <si>
    <t>DUT</t>
  </si>
  <si>
    <t>QDDUTDX</t>
  </si>
  <si>
    <t>KOON</t>
  </si>
  <si>
    <t>ONOANKN</t>
  </si>
  <si>
    <t>SLUWE</t>
  </si>
  <si>
    <t>BWLEKSU</t>
  </si>
  <si>
    <t>JDEVNZE</t>
  </si>
  <si>
    <t>ZTJMZSG</t>
  </si>
  <si>
    <t>DDFVENE</t>
  </si>
  <si>
    <t>SMA</t>
  </si>
  <si>
    <t>DBM UDS</t>
  </si>
  <si>
    <t>LI</t>
  </si>
  <si>
    <t>LQAIIER</t>
  </si>
  <si>
    <t>GEN</t>
  </si>
  <si>
    <t>QNNNNEG</t>
  </si>
  <si>
    <t>OED</t>
  </si>
  <si>
    <t xml:space="preserve">NNOOEO </t>
  </si>
  <si>
    <t>FNNQKZN</t>
  </si>
  <si>
    <t>NENEUEE</t>
  </si>
  <si>
    <t>SHAWL</t>
  </si>
  <si>
    <t>HTWSLAE</t>
  </si>
  <si>
    <t>CNNDIER</t>
  </si>
  <si>
    <t>QMJNEXE</t>
  </si>
  <si>
    <t>RIJKE</t>
  </si>
  <si>
    <t>IEERJKA</t>
  </si>
  <si>
    <t>NEOFYTEN</t>
  </si>
  <si>
    <t>UNHNOOE</t>
  </si>
  <si>
    <t>KRENG</t>
  </si>
  <si>
    <t>KNGRKDS</t>
  </si>
  <si>
    <t>NADER</t>
  </si>
  <si>
    <t>VVDDRAE</t>
  </si>
  <si>
    <t>ANONMEH</t>
  </si>
  <si>
    <t>KLEM</t>
  </si>
  <si>
    <t>RDMLKCE</t>
  </si>
  <si>
    <t>HUUR</t>
  </si>
  <si>
    <t>RUOHUEO</t>
  </si>
  <si>
    <t>VERZOEN</t>
  </si>
  <si>
    <t>NOEZREV</t>
  </si>
  <si>
    <t>GADE</t>
  </si>
  <si>
    <t>DGTAEEE</t>
  </si>
  <si>
    <t>KLEED</t>
  </si>
  <si>
    <t>NEEALDK</t>
  </si>
  <si>
    <t>KNARS</t>
  </si>
  <si>
    <t>QXRNSNA</t>
  </si>
  <si>
    <t>NAAST</t>
  </si>
  <si>
    <t>ANTASUN</t>
  </si>
  <si>
    <t>VEL</t>
  </si>
  <si>
    <t>VKLENOK</t>
  </si>
  <si>
    <t>VNMKTAR</t>
  </si>
  <si>
    <t>JURY</t>
  </si>
  <si>
    <t>NUOAYHJ</t>
  </si>
  <si>
    <t>BRANDJE</t>
  </si>
  <si>
    <t>QNTFNBA</t>
  </si>
  <si>
    <t>FNRNOEP</t>
  </si>
  <si>
    <t>DSDCOTE</t>
  </si>
  <si>
    <t>EEEOEWZ</t>
  </si>
  <si>
    <t>FHEEGMA</t>
  </si>
  <si>
    <t>NJCWAME</t>
  </si>
  <si>
    <t>BUSJE</t>
  </si>
  <si>
    <t>BHJSQEE</t>
  </si>
  <si>
    <t>COLS</t>
  </si>
  <si>
    <t xml:space="preserve">UCWCOL </t>
  </si>
  <si>
    <t>QUINTO</t>
  </si>
  <si>
    <t>MQTUINN</t>
  </si>
  <si>
    <t>HITS</t>
  </si>
  <si>
    <t>UDCNIHS</t>
  </si>
  <si>
    <t>EIND</t>
  </si>
  <si>
    <t>CINPN U</t>
  </si>
  <si>
    <t>VORT</t>
  </si>
  <si>
    <t>ZUEEAVR</t>
  </si>
  <si>
    <t>EENKEGO</t>
  </si>
  <si>
    <t>WREVEN</t>
  </si>
  <si>
    <t>EEVNNVW</t>
  </si>
  <si>
    <t>GQNJSRM</t>
  </si>
  <si>
    <t>KIFT</t>
  </si>
  <si>
    <t>TEEOIKF</t>
  </si>
  <si>
    <t>QCRGCEA</t>
  </si>
  <si>
    <t>NIAPNNS</t>
  </si>
  <si>
    <t>CWIEEEO</t>
  </si>
  <si>
    <t>JNNGINS</t>
  </si>
  <si>
    <t>VIM</t>
  </si>
  <si>
    <t>EVKKMCI</t>
  </si>
  <si>
    <t>VUNZE</t>
  </si>
  <si>
    <t>AUAEZNA</t>
  </si>
  <si>
    <t>LANEN</t>
  </si>
  <si>
    <t xml:space="preserve">NNQNEL </t>
  </si>
  <si>
    <t>TOOG</t>
  </si>
  <si>
    <t>DOTGGEO</t>
  </si>
  <si>
    <t>SEVEDBN</t>
  </si>
  <si>
    <t>QEEAAEN</t>
  </si>
  <si>
    <t>SNEL</t>
  </si>
  <si>
    <t>NNELYES</t>
  </si>
  <si>
    <t>DDNNIAN</t>
  </si>
  <si>
    <t>KAP</t>
  </si>
  <si>
    <t>RPAUKAO</t>
  </si>
  <si>
    <t>SJNFBNE</t>
  </si>
  <si>
    <t>ZEE</t>
  </si>
  <si>
    <t>EAEAEEZ</t>
  </si>
  <si>
    <t>NRRRNAE</t>
  </si>
  <si>
    <t>BAH</t>
  </si>
  <si>
    <t>BRGANLH</t>
  </si>
  <si>
    <t>DENK</t>
  </si>
  <si>
    <t>DEKPN</t>
  </si>
  <si>
    <t>RA</t>
  </si>
  <si>
    <t>AEREURQ</t>
  </si>
  <si>
    <t>T</t>
  </si>
  <si>
    <t>NVNGYTD</t>
  </si>
  <si>
    <t>JAP</t>
  </si>
  <si>
    <t>JFPOABF</t>
  </si>
  <si>
    <t>ENINSGI</t>
  </si>
  <si>
    <t>EEMAVAO</t>
  </si>
  <si>
    <t>NNDNNAC</t>
  </si>
  <si>
    <t>TEEUW</t>
  </si>
  <si>
    <t>UUDKECW</t>
  </si>
  <si>
    <t>JQKPI</t>
  </si>
  <si>
    <t>GAD</t>
  </si>
  <si>
    <t>QAGCSSE</t>
  </si>
  <si>
    <t>NVSDNHU</t>
  </si>
  <si>
    <t>BRACE</t>
  </si>
  <si>
    <t>RBVAGLE</t>
  </si>
  <si>
    <t>DJDDNKN</t>
  </si>
  <si>
    <t>DUW</t>
  </si>
  <si>
    <t>EEEDKRF</t>
  </si>
  <si>
    <t xml:space="preserve">QVNMOR </t>
  </si>
  <si>
    <t>NRNDYOM</t>
  </si>
  <si>
    <t>J</t>
  </si>
  <si>
    <t>TDJSSUN</t>
  </si>
  <si>
    <t>UEEKNOD</t>
  </si>
  <si>
    <t>SABEL</t>
  </si>
  <si>
    <t>AECBYLS</t>
  </si>
  <si>
    <t>QAJEZAR</t>
  </si>
  <si>
    <t>DOCENTEN</t>
  </si>
  <si>
    <t>NOTENCD</t>
  </si>
  <si>
    <t>TREF</t>
  </si>
  <si>
    <t>XNFRELL</t>
  </si>
  <si>
    <t>AF</t>
  </si>
  <si>
    <t>NNFNVA</t>
  </si>
  <si>
    <t>ZIN</t>
  </si>
  <si>
    <t>ZRUGJDS</t>
  </si>
  <si>
    <t>NSEIETR</t>
  </si>
  <si>
    <t>EN</t>
  </si>
  <si>
    <t>EASENNN</t>
  </si>
  <si>
    <t>RRRNREE</t>
  </si>
  <si>
    <t>HALVEER</t>
  </si>
  <si>
    <t>CLEAVRH</t>
  </si>
  <si>
    <t>ENER</t>
  </si>
  <si>
    <t>QNECRNE</t>
  </si>
  <si>
    <t>EEQERIJ</t>
  </si>
  <si>
    <t>FOK</t>
  </si>
  <si>
    <t>TTNOKLF</t>
  </si>
  <si>
    <t>FAT</t>
  </si>
  <si>
    <t>EFSGTAN</t>
  </si>
  <si>
    <t>QCCNLEV</t>
  </si>
  <si>
    <t>NOSMNAE</t>
  </si>
  <si>
    <t>QNDAUNP</t>
  </si>
  <si>
    <t>A</t>
  </si>
  <si>
    <t>QNNANAD</t>
  </si>
  <si>
    <t>TPNNFDD</t>
  </si>
  <si>
    <t>AEEEBRD</t>
  </si>
  <si>
    <t>NNAQNNE</t>
  </si>
  <si>
    <t>KA</t>
  </si>
  <si>
    <t>NNVOOKA</t>
  </si>
  <si>
    <t>ENTING</t>
  </si>
  <si>
    <t xml:space="preserve">NNQEGT </t>
  </si>
  <si>
    <t>PUTS</t>
  </si>
  <si>
    <t>UGMPOET</t>
  </si>
  <si>
    <t>QN</t>
  </si>
  <si>
    <t>Z</t>
  </si>
  <si>
    <t>QNGNEJZ</t>
  </si>
  <si>
    <t>NNNRSEA</t>
  </si>
  <si>
    <t>EDIT</t>
  </si>
  <si>
    <t>DEETIEE</t>
  </si>
  <si>
    <t>NNNNHQN</t>
  </si>
  <si>
    <t>EBDEN</t>
  </si>
  <si>
    <t>ENNDO</t>
  </si>
  <si>
    <t>VOS</t>
  </si>
  <si>
    <t>OVQ</t>
  </si>
  <si>
    <t>GEIL</t>
  </si>
  <si>
    <t>KLEEENG</t>
  </si>
  <si>
    <t>CICADES</t>
  </si>
  <si>
    <t>CQCNISA</t>
  </si>
  <si>
    <t>ELPEN</t>
  </si>
  <si>
    <t>EQNERPT</t>
  </si>
  <si>
    <t>JUSANOE</t>
  </si>
  <si>
    <t>DQDANIN</t>
  </si>
  <si>
    <t>EXOOT</t>
  </si>
  <si>
    <t>NJTTOOW</t>
  </si>
  <si>
    <t>ZET</t>
  </si>
  <si>
    <t>QNZNTET</t>
  </si>
  <si>
    <t>BANDERAS</t>
  </si>
  <si>
    <t>NDASERB</t>
  </si>
  <si>
    <t>ECEOXYE</t>
  </si>
  <si>
    <t>ESWEGRK</t>
  </si>
  <si>
    <t>NONNA</t>
  </si>
  <si>
    <t>QNNMABL</t>
  </si>
  <si>
    <t xml:space="preserve">DMNRNP </t>
  </si>
  <si>
    <t>QUARTE</t>
  </si>
  <si>
    <t>QRTAHUS</t>
  </si>
  <si>
    <t>GNNR</t>
  </si>
  <si>
    <t>GEK</t>
  </si>
  <si>
    <t>FNGLNKE</t>
  </si>
  <si>
    <t>GUS</t>
  </si>
  <si>
    <t>YNGVSUS</t>
  </si>
  <si>
    <t>KART</t>
  </si>
  <si>
    <t>TJNANKR</t>
  </si>
  <si>
    <t>QNFEAEU</t>
  </si>
  <si>
    <t>GNNXMEE</t>
  </si>
  <si>
    <t>OENAEDF</t>
  </si>
  <si>
    <t>ATEN</t>
  </si>
  <si>
    <t>NACEUEN</t>
  </si>
  <si>
    <t>AHOB</t>
  </si>
  <si>
    <t>NHEOBSA</t>
  </si>
  <si>
    <t>COMVNRF</t>
  </si>
  <si>
    <t>DANS</t>
  </si>
  <si>
    <t>QDJNNSA</t>
  </si>
  <si>
    <t>RANROCE</t>
  </si>
  <si>
    <t>TEE</t>
  </si>
  <si>
    <t>ETMTEDM</t>
  </si>
  <si>
    <t>INS</t>
  </si>
  <si>
    <t>NQNNVSM</t>
  </si>
  <si>
    <t>BEDDE</t>
  </si>
  <si>
    <t>BCDEDEE</t>
  </si>
  <si>
    <t>FANSITE</t>
  </si>
  <si>
    <t>NNTIOEI</t>
  </si>
  <si>
    <t>NNFZEZK</t>
  </si>
  <si>
    <t>EZELTJES</t>
  </si>
  <si>
    <t>TJOEESL</t>
  </si>
  <si>
    <t>JONGT</t>
  </si>
  <si>
    <t>DOTNGNJ</t>
  </si>
  <si>
    <t>HELP</t>
  </si>
  <si>
    <t>QDDHPER</t>
  </si>
  <si>
    <t>HANG</t>
  </si>
  <si>
    <t>ZAONGWH</t>
  </si>
  <si>
    <t>MIES</t>
  </si>
  <si>
    <t>EEEDCES</t>
  </si>
  <si>
    <t>IDEEEN</t>
  </si>
  <si>
    <t>NNNJWNE</t>
  </si>
  <si>
    <t>UREN</t>
  </si>
  <si>
    <t>NMDBUEZ</t>
  </si>
  <si>
    <t>V</t>
  </si>
  <si>
    <t>VNLC</t>
  </si>
  <si>
    <t>TVKRNQA</t>
  </si>
  <si>
    <t>OLASKHN</t>
  </si>
  <si>
    <t>EUVEL</t>
  </si>
  <si>
    <t>DVLHEUN</t>
  </si>
  <si>
    <t>WOEDE</t>
  </si>
  <si>
    <t>DWDESSO</t>
  </si>
  <si>
    <t>WEENDE</t>
  </si>
  <si>
    <t>SNQEEEW</t>
  </si>
  <si>
    <t>NDVYJIN</t>
  </si>
  <si>
    <t>TOQUE</t>
  </si>
  <si>
    <t>QD EUHT</t>
  </si>
  <si>
    <t>RERIZTT</t>
  </si>
  <si>
    <t>DOVE</t>
  </si>
  <si>
    <t>URDREOJ</t>
  </si>
  <si>
    <t>TYPO</t>
  </si>
  <si>
    <t>YQONIPN</t>
  </si>
  <si>
    <t>NUF</t>
  </si>
  <si>
    <t>VUZNGGF</t>
  </si>
  <si>
    <t>OOVNSMO</t>
  </si>
  <si>
    <t>NTNGEMD</t>
  </si>
  <si>
    <t>WEEIG</t>
  </si>
  <si>
    <t>QODEWGJ</t>
  </si>
  <si>
    <t>NAZEND</t>
  </si>
  <si>
    <t>QNEAVNZ</t>
  </si>
  <si>
    <t>LOU</t>
  </si>
  <si>
    <t>NOUEEEO</t>
  </si>
  <si>
    <t>VOCAL</t>
  </si>
  <si>
    <t>OAECDVF</t>
  </si>
  <si>
    <t>KANNEN</t>
  </si>
  <si>
    <t>QNNNAEK</t>
  </si>
  <si>
    <t>JONDE</t>
  </si>
  <si>
    <t>OEQOJKN</t>
  </si>
  <si>
    <t>NKXWNMG</t>
  </si>
  <si>
    <t>RIF</t>
  </si>
  <si>
    <t>NNNNNIF</t>
  </si>
  <si>
    <t>BUZ</t>
  </si>
  <si>
    <t>AZEEN B</t>
  </si>
  <si>
    <t>QDDXREV</t>
  </si>
  <si>
    <t>NANNRTE</t>
  </si>
  <si>
    <t>BKNEQOO</t>
  </si>
  <si>
    <t>ZEDEN</t>
  </si>
  <si>
    <t>JDVNCNL</t>
  </si>
  <si>
    <t>ZJMZGWG</t>
  </si>
  <si>
    <t>ZWEMENDE</t>
  </si>
  <si>
    <t>DDVNEEC</t>
  </si>
  <si>
    <t>DUNTE</t>
  </si>
  <si>
    <t>DBUDTNE</t>
  </si>
  <si>
    <t>VERWIND</t>
  </si>
  <si>
    <t>QAIERNV</t>
  </si>
  <si>
    <t>QNNNASE</t>
  </si>
  <si>
    <t>HOORT</t>
  </si>
  <si>
    <t>NNOOHRT</t>
  </si>
  <si>
    <t>FNQKNET</t>
  </si>
  <si>
    <t>MUL</t>
  </si>
  <si>
    <t>NUEELNM</t>
  </si>
  <si>
    <t>TEAEEKV</t>
  </si>
  <si>
    <t>CNNDIRZ</t>
  </si>
  <si>
    <t>MENSJE</t>
  </si>
  <si>
    <t>QMJNESY</t>
  </si>
  <si>
    <t>KADEEEN</t>
  </si>
  <si>
    <t>EA EDEN</t>
  </si>
  <si>
    <t>UHNOOOE</t>
  </si>
  <si>
    <t>KDSMJ</t>
  </si>
  <si>
    <t>VVDJONU</t>
  </si>
  <si>
    <t>OMEN</t>
  </si>
  <si>
    <t>NONMENN</t>
  </si>
  <si>
    <t>ANI</t>
  </si>
  <si>
    <t>RDCIASN</t>
  </si>
  <si>
    <t>OEOEPKA</t>
  </si>
  <si>
    <t>BENAUW</t>
  </si>
  <si>
    <t>OAPAELB</t>
  </si>
  <si>
    <t>TEERNIN</t>
  </si>
  <si>
    <t>TAANDER</t>
  </si>
  <si>
    <t>NADAR E</t>
  </si>
  <si>
    <t>COXEN</t>
  </si>
  <si>
    <t>QXNLC C</t>
  </si>
  <si>
    <t>UNEEEVD</t>
  </si>
  <si>
    <t>KLOKT</t>
  </si>
  <si>
    <t>KLNOKKT</t>
  </si>
  <si>
    <t>VERVAT</t>
  </si>
  <si>
    <t>VKTAREN</t>
  </si>
  <si>
    <t>HAZEN</t>
  </si>
  <si>
    <t>NOAHEKZ</t>
  </si>
  <si>
    <t>QNTFNAE</t>
  </si>
  <si>
    <t>KIP</t>
  </si>
  <si>
    <t>FNOPYIK</t>
  </si>
  <si>
    <t>SETJE</t>
  </si>
  <si>
    <t>COTEJIE</t>
  </si>
  <si>
    <t>NEE</t>
  </si>
  <si>
    <t>EOEZK T</t>
  </si>
  <si>
    <t>AFGA</t>
  </si>
  <si>
    <t>FEEGAAR</t>
  </si>
  <si>
    <t>JACK</t>
  </si>
  <si>
    <t>NJCAMLK</t>
  </si>
  <si>
    <t>HEERS</t>
  </si>
  <si>
    <t>HQENESR</t>
  </si>
  <si>
    <t>JOUWT</t>
  </si>
  <si>
    <t>UWCJTMO</t>
  </si>
  <si>
    <t>MNHANX</t>
  </si>
  <si>
    <t>UDCN</t>
  </si>
  <si>
    <t>COUP</t>
  </si>
  <si>
    <t>CPNURON</t>
  </si>
  <si>
    <t>ZOWAT</t>
  </si>
  <si>
    <t>ZUEEATW</t>
  </si>
  <si>
    <t>YENKOERS</t>
  </si>
  <si>
    <t>KEONPSR</t>
  </si>
  <si>
    <t>NVXENLI</t>
  </si>
  <si>
    <t>GQJSRRE</t>
  </si>
  <si>
    <t>EEONAAU</t>
  </si>
  <si>
    <t>CARET</t>
  </si>
  <si>
    <t>QGCEZTA</t>
  </si>
  <si>
    <t>PAN</t>
  </si>
  <si>
    <t>NAPNNSR</t>
  </si>
  <si>
    <t>ZEI</t>
  </si>
  <si>
    <t>CIEEOZA</t>
  </si>
  <si>
    <t>NIJG</t>
  </si>
  <si>
    <t>KIKTEN</t>
  </si>
  <si>
    <t>EKKCNIT</t>
  </si>
  <si>
    <t>OLM</t>
  </si>
  <si>
    <t>AAADOEL</t>
  </si>
  <si>
    <t>HEX</t>
  </si>
  <si>
    <t>QNHVTXE</t>
  </si>
  <si>
    <t>MEDE</t>
  </si>
  <si>
    <t>DGEYEMF</t>
  </si>
  <si>
    <t>SVEDDVS</t>
  </si>
  <si>
    <t>OASE</t>
  </si>
  <si>
    <t>QEEAAEO</t>
  </si>
  <si>
    <t>NYETANA</t>
  </si>
  <si>
    <t>LADY</t>
  </si>
  <si>
    <t>DNNANDL</t>
  </si>
  <si>
    <t>ARE</t>
  </si>
  <si>
    <t>RUAOZRE</t>
  </si>
  <si>
    <t>SJNFNQN</t>
  </si>
  <si>
    <t>AAEENCD</t>
  </si>
  <si>
    <t>RRRJNHG</t>
  </si>
  <si>
    <t>GEL</t>
  </si>
  <si>
    <t>RGNL</t>
  </si>
  <si>
    <t>EEURQSN</t>
  </si>
  <si>
    <t>Y</t>
  </si>
  <si>
    <t>NVNGYD</t>
  </si>
  <si>
    <t>FOBFN</t>
  </si>
  <si>
    <t>ENNI</t>
  </si>
  <si>
    <t>DOM</t>
  </si>
  <si>
    <t>AAOMDED</t>
  </si>
  <si>
    <t>DAG</t>
  </si>
  <si>
    <t xml:space="preserve">NDNNGE </t>
  </si>
  <si>
    <t>CUM</t>
  </si>
  <si>
    <t>UDKC</t>
  </si>
  <si>
    <t>JQK</t>
  </si>
  <si>
    <t>QCSSEEE</t>
  </si>
  <si>
    <t>VENDUS</t>
  </si>
  <si>
    <t>NVDNHUE</t>
  </si>
  <si>
    <t>VLO</t>
  </si>
  <si>
    <t>VGLNORD</t>
  </si>
  <si>
    <t>JDDNKNE</t>
  </si>
  <si>
    <t>KORRE</t>
  </si>
  <si>
    <t>EEEKRFR</t>
  </si>
  <si>
    <t>MOPS</t>
  </si>
  <si>
    <t>VMGPSOS</t>
  </si>
  <si>
    <t>ZAND</t>
  </si>
  <si>
    <t>RNDYOZA</t>
  </si>
  <si>
    <t>SUST</t>
  </si>
  <si>
    <t>TDSSUNQ</t>
  </si>
  <si>
    <t>UENO</t>
  </si>
  <si>
    <t>CY</t>
  </si>
  <si>
    <t>QAJAR</t>
  </si>
  <si>
    <t>LA</t>
  </si>
  <si>
    <t>XNLL</t>
  </si>
  <si>
    <t>VIS</t>
  </si>
  <si>
    <t>NNNV</t>
  </si>
  <si>
    <t>RUGJDSO</t>
  </si>
  <si>
    <t>GECO</t>
  </si>
  <si>
    <t>NEKNGAN</t>
  </si>
  <si>
    <t>ASENNUE</t>
  </si>
  <si>
    <t>DERF</t>
  </si>
  <si>
    <t>RRNREFO</t>
  </si>
  <si>
    <t>CEAS</t>
  </si>
  <si>
    <t>QCN</t>
  </si>
  <si>
    <t>HAGEN</t>
  </si>
  <si>
    <t>EEQEGNE</t>
  </si>
  <si>
    <t>TTNL</t>
  </si>
  <si>
    <t>ESGNEOA</t>
  </si>
  <si>
    <t>QCNEV</t>
  </si>
  <si>
    <t>ONHNETN</t>
  </si>
  <si>
    <t>KNOP</t>
  </si>
  <si>
    <t>NDNPKKO</t>
  </si>
  <si>
    <t>AR</t>
  </si>
  <si>
    <t>QNNNADA</t>
  </si>
  <si>
    <t>TPNNDDP</t>
  </si>
  <si>
    <t>AEERDRA</t>
  </si>
  <si>
    <t>NNVOOEG</t>
  </si>
  <si>
    <t>PASJA</t>
  </si>
  <si>
    <t>QVPKBSD</t>
  </si>
  <si>
    <t>GMOE</t>
  </si>
  <si>
    <t>Q</t>
  </si>
  <si>
    <t>QNGNEJC</t>
  </si>
  <si>
    <t>UKJES</t>
  </si>
  <si>
    <t>NNSUJKE</t>
  </si>
  <si>
    <t>EEEOFAE</t>
  </si>
  <si>
    <t>UH</t>
  </si>
  <si>
    <t>NNNHQNU</t>
  </si>
  <si>
    <t>NO</t>
  </si>
  <si>
    <t>KEENGEH</t>
  </si>
  <si>
    <t>WIELT</t>
  </si>
  <si>
    <t>QNWETIL</t>
  </si>
  <si>
    <t>HTSER</t>
  </si>
  <si>
    <t>QRTSEHF</t>
  </si>
  <si>
    <t>AUDIO</t>
  </si>
  <si>
    <t>UAIZZD</t>
  </si>
  <si>
    <t>QDANNFE</t>
  </si>
  <si>
    <t>WOKTE</t>
  </si>
  <si>
    <t>NJTWKET</t>
  </si>
  <si>
    <t>QNNTCAE</t>
  </si>
  <si>
    <t>ZWIEPT</t>
  </si>
  <si>
    <t>NNWTZN</t>
  </si>
  <si>
    <t>ECEOYEN</t>
  </si>
  <si>
    <t>NEGUS</t>
  </si>
  <si>
    <t>SEGRKN</t>
  </si>
  <si>
    <t>QMBLELD</t>
  </si>
  <si>
    <t>DNRN</t>
  </si>
  <si>
    <t>HS</t>
  </si>
  <si>
    <t>NNR</t>
  </si>
  <si>
    <t>FNLNA</t>
  </si>
  <si>
    <t>TROELAS</t>
  </si>
  <si>
    <t>YNVS</t>
  </si>
  <si>
    <t>JNNE NL</t>
  </si>
  <si>
    <t>QNEEUIC</t>
  </si>
  <si>
    <t>GOM</t>
  </si>
  <si>
    <t>GNNMEGO</t>
  </si>
  <si>
    <t>HYDRA</t>
  </si>
  <si>
    <t>ADARRHE</t>
  </si>
  <si>
    <t>CUENNET</t>
  </si>
  <si>
    <t>BASEREND</t>
  </si>
  <si>
    <t xml:space="preserve">NESEAR </t>
  </si>
  <si>
    <t>CVNRNRN</t>
  </si>
  <si>
    <t xml:space="preserve">QJNEEH </t>
  </si>
  <si>
    <t>ELCO</t>
  </si>
  <si>
    <t>ANROCLE</t>
  </si>
  <si>
    <t>DOMS</t>
  </si>
  <si>
    <t>MTDMVES</t>
  </si>
  <si>
    <t>BEDDEN</t>
  </si>
  <si>
    <t>NQNNVMN</t>
  </si>
  <si>
    <t>CEOAJEU</t>
  </si>
  <si>
    <t>DRIE</t>
  </si>
  <si>
    <t>NNOIRAD</t>
  </si>
  <si>
    <t>NNFZKI</t>
  </si>
  <si>
    <t>NEEP</t>
  </si>
  <si>
    <t>OENNEPN</t>
  </si>
  <si>
    <t>DNN</t>
  </si>
  <si>
    <t>TRED</t>
  </si>
  <si>
    <t>QDDRZON</t>
  </si>
  <si>
    <t>FLOW</t>
  </si>
  <si>
    <t>ZOWLGOF</t>
  </si>
  <si>
    <t>CEEL</t>
  </si>
  <si>
    <t>EEDCEAL</t>
  </si>
  <si>
    <t>NAUW</t>
  </si>
  <si>
    <t>NNJWNA</t>
  </si>
  <si>
    <t>BLOEIER</t>
  </si>
  <si>
    <t>MDBZ</t>
  </si>
  <si>
    <t>NLC</t>
  </si>
  <si>
    <t>KROI</t>
  </si>
  <si>
    <t>TVKRNOD</t>
  </si>
  <si>
    <t>BOLKNAKS</t>
  </si>
  <si>
    <t xml:space="preserve">OLASKN </t>
  </si>
  <si>
    <t>DHNMDCX</t>
  </si>
  <si>
    <t>DSSQNEP</t>
  </si>
  <si>
    <t>MOR</t>
  </si>
  <si>
    <t>SQMROSA</t>
  </si>
  <si>
    <t>TIJDEN</t>
  </si>
  <si>
    <t xml:space="preserve">DVJINE </t>
  </si>
  <si>
    <t>HESP</t>
  </si>
  <si>
    <t>DHJEMSP</t>
  </si>
  <si>
    <t>RRITTMA</t>
  </si>
  <si>
    <t>OUZO</t>
  </si>
  <si>
    <t>URRJOZO</t>
  </si>
  <si>
    <t>QNINEAN</t>
  </si>
  <si>
    <t>VZGGENE</t>
  </si>
  <si>
    <t>OOM</t>
  </si>
  <si>
    <t>ONMO</t>
  </si>
  <si>
    <t>INMENG</t>
  </si>
  <si>
    <t>ND KC I</t>
  </si>
  <si>
    <t>QODJKSN</t>
  </si>
  <si>
    <t>QVJU</t>
  </si>
  <si>
    <t>NEEEO</t>
  </si>
  <si>
    <t>AEDF</t>
  </si>
  <si>
    <t>ZONK</t>
  </si>
  <si>
    <t>QOKNZND</t>
  </si>
  <si>
    <t>K</t>
  </si>
  <si>
    <t>NKWNMG</t>
  </si>
  <si>
    <t>NNNNNAO</t>
  </si>
  <si>
    <t>AZEN</t>
  </si>
  <si>
    <t>AEENEBZ</t>
  </si>
  <si>
    <t>QDDRVEN</t>
  </si>
  <si>
    <t>NNERGEE</t>
  </si>
  <si>
    <t>KQOOMHO</t>
  </si>
  <si>
    <t>JDVCNLL</t>
  </si>
  <si>
    <t>JZGGNAA</t>
  </si>
  <si>
    <t>OP</t>
  </si>
  <si>
    <t>DVCOOCP</t>
  </si>
  <si>
    <t>BDNOERN</t>
  </si>
  <si>
    <t>VAN</t>
  </si>
  <si>
    <t>QAINOVI</t>
  </si>
  <si>
    <t>QNNAYSN</t>
  </si>
  <si>
    <t>UP</t>
  </si>
  <si>
    <t>NNVTUEP</t>
  </si>
  <si>
    <t>FNQKNED</t>
  </si>
  <si>
    <t>RACEND</t>
  </si>
  <si>
    <t>NEENACR</t>
  </si>
  <si>
    <t>DEUKTE</t>
  </si>
  <si>
    <t>TAEKEUD</t>
  </si>
  <si>
    <t>CNDIRZE</t>
  </si>
  <si>
    <t>QYOAV</t>
  </si>
  <si>
    <t>NOOOE</t>
  </si>
  <si>
    <t>DMJ</t>
  </si>
  <si>
    <t>VVDOOC</t>
  </si>
  <si>
    <t>NNN</t>
  </si>
  <si>
    <t>RDCSNGR</t>
  </si>
  <si>
    <t>ZOEF</t>
  </si>
  <si>
    <t>EOEKAFA</t>
  </si>
  <si>
    <t>PACE</t>
  </si>
  <si>
    <t>OPALEQC</t>
  </si>
  <si>
    <t>INENT</t>
  </si>
  <si>
    <t>TENINSD</t>
  </si>
  <si>
    <t>ZEG</t>
  </si>
  <si>
    <t>EGZYJJS</t>
  </si>
  <si>
    <t>HINT</t>
  </si>
  <si>
    <t>QLCIETH</t>
  </si>
  <si>
    <t>NEME</t>
  </si>
  <si>
    <t>EECMNAE</t>
  </si>
  <si>
    <t>KERF</t>
  </si>
  <si>
    <t>NKNFR</t>
  </si>
  <si>
    <t>KNNLARF</t>
  </si>
  <si>
    <t>KWASTEN</t>
  </si>
  <si>
    <t>OKE</t>
  </si>
  <si>
    <t>NFNEJHE</t>
  </si>
  <si>
    <t>FNOYNDM</t>
  </si>
  <si>
    <t>INCO</t>
  </si>
  <si>
    <t>COIKBNI</t>
  </si>
  <si>
    <t>ZLOTY</t>
  </si>
  <si>
    <t>OZKT YA</t>
  </si>
  <si>
    <t>TJIRPEN</t>
  </si>
  <si>
    <t>EERENEK</t>
  </si>
  <si>
    <t>INSLA</t>
  </si>
  <si>
    <t>NAMLIES</t>
  </si>
  <si>
    <t>DANKTE</t>
  </si>
  <si>
    <t>QNEKTAD</t>
  </si>
  <si>
    <t>M</t>
  </si>
  <si>
    <t>CM</t>
  </si>
  <si>
    <t>ARM</t>
  </si>
  <si>
    <t>MNNX</t>
  </si>
  <si>
    <t>DC</t>
  </si>
  <si>
    <t>KIR</t>
  </si>
  <si>
    <t>NRNIB</t>
  </si>
  <si>
    <t>UEE</t>
  </si>
  <si>
    <t>NPUIHDD</t>
  </si>
  <si>
    <t>NVENLIH</t>
  </si>
  <si>
    <t>GQSRRRC</t>
  </si>
  <si>
    <t>EONAMNA</t>
  </si>
  <si>
    <t>QGZJ</t>
  </si>
  <si>
    <t>NNSR</t>
  </si>
  <si>
    <t>CANT</t>
  </si>
  <si>
    <t>CEOANTE</t>
  </si>
  <si>
    <t>SCAN</t>
  </si>
  <si>
    <t>NNSGRVR</t>
  </si>
  <si>
    <t>CTNRDCN</t>
  </si>
  <si>
    <t>REA</t>
  </si>
  <si>
    <t>AAADERQ</t>
  </si>
  <si>
    <t>BEVAT</t>
  </si>
  <si>
    <t>QNVTAEB</t>
  </si>
  <si>
    <t>GYFBST</t>
  </si>
  <si>
    <t>VIEWS</t>
  </si>
  <si>
    <t>EVSIXWZ</t>
  </si>
  <si>
    <t>IJTJE</t>
  </si>
  <si>
    <t>QEAENIU</t>
  </si>
  <si>
    <t>NETNTEI</t>
  </si>
  <si>
    <t>NNNDRQE</t>
  </si>
  <si>
    <t>TOURS</t>
  </si>
  <si>
    <t>UOZRTSO</t>
  </si>
  <si>
    <t>JNFNQNE</t>
  </si>
  <si>
    <t>CODA</t>
  </si>
  <si>
    <t>AAECDOT</t>
  </si>
  <si>
    <t>RRRJNH</t>
  </si>
  <si>
    <t>RN</t>
  </si>
  <si>
    <t>EQ</t>
  </si>
  <si>
    <t>NUN</t>
  </si>
  <si>
    <t>NVNGD</t>
  </si>
  <si>
    <t>BFN</t>
  </si>
  <si>
    <t>LUXERE</t>
  </si>
  <si>
    <t>ENN</t>
  </si>
  <si>
    <t>AAEDBRL</t>
  </si>
  <si>
    <t>NNNEWSE</t>
  </si>
  <si>
    <t>DK</t>
  </si>
  <si>
    <t>QK</t>
  </si>
  <si>
    <t>CAS</t>
  </si>
  <si>
    <t>QCSEEKA</t>
  </si>
  <si>
    <t>NHNRVFE</t>
  </si>
  <si>
    <t>GNRDA</t>
  </si>
  <si>
    <t>DON</t>
  </si>
  <si>
    <t>JDNKN</t>
  </si>
  <si>
    <t>EEFTELA</t>
  </si>
  <si>
    <t>GESMET</t>
  </si>
  <si>
    <t>VGSJTE</t>
  </si>
  <si>
    <t>RYOAWKP</t>
  </si>
  <si>
    <t>DNQUEKO</t>
  </si>
  <si>
    <t>UNO</t>
  </si>
  <si>
    <t>XNL</t>
  </si>
  <si>
    <t>RUGJSEN</t>
  </si>
  <si>
    <t>NKNANQU</t>
  </si>
  <si>
    <t>SEQUEL</t>
  </si>
  <si>
    <t>AENUESL</t>
  </si>
  <si>
    <t>GRANEN</t>
  </si>
  <si>
    <t>RNROANG</t>
  </si>
  <si>
    <t>QC</t>
  </si>
  <si>
    <t>EQEE</t>
  </si>
  <si>
    <t>TTN</t>
  </si>
  <si>
    <t>NEA</t>
  </si>
  <si>
    <t>KLISTEN</t>
  </si>
  <si>
    <t>NNETNMT</t>
  </si>
  <si>
    <t>DNKAN</t>
  </si>
  <si>
    <t>QNNNDAH</t>
  </si>
  <si>
    <t>AEEDRAT</t>
  </si>
  <si>
    <t>NNQNNEO</t>
  </si>
  <si>
    <t>AFWIJST</t>
  </si>
  <si>
    <t>NNVOOET</t>
  </si>
  <si>
    <t>BEVEN</t>
  </si>
  <si>
    <t>QVKBDIE</t>
  </si>
  <si>
    <t>JUICH</t>
  </si>
  <si>
    <t>QNNJCUI</t>
  </si>
  <si>
    <t>JUTEN</t>
  </si>
  <si>
    <t>NN EUT</t>
  </si>
  <si>
    <t>VERVE</t>
  </si>
  <si>
    <t>EEEOEV</t>
  </si>
  <si>
    <t>NNNQN</t>
  </si>
  <si>
    <t>NGE</t>
  </si>
  <si>
    <t>GREEN</t>
  </si>
  <si>
    <t>QREF</t>
  </si>
  <si>
    <t>ZZ</t>
  </si>
  <si>
    <t>QANFOHG</t>
  </si>
  <si>
    <t>KETJE</t>
  </si>
  <si>
    <t>NJTENEN</t>
  </si>
  <si>
    <t>NNCE</t>
  </si>
  <si>
    <t>CEOE</t>
  </si>
  <si>
    <t>ARK</t>
  </si>
  <si>
    <t>RK</t>
  </si>
  <si>
    <t>QMLLD</t>
  </si>
  <si>
    <t>NN</t>
  </si>
  <si>
    <t>NR</t>
  </si>
  <si>
    <t>NLN</t>
  </si>
  <si>
    <t>YNV</t>
  </si>
  <si>
    <t>NOLLE</t>
  </si>
  <si>
    <t>NN NLEO</t>
  </si>
  <si>
    <t>INVANG</t>
  </si>
  <si>
    <t>QNEIG</t>
  </si>
  <si>
    <t>NNEGOMW</t>
  </si>
  <si>
    <t>RAKEN</t>
  </si>
  <si>
    <t xml:space="preserve">AREAQN </t>
  </si>
  <si>
    <t>JEUKENDE</t>
  </si>
  <si>
    <t>UNEEJDE</t>
  </si>
  <si>
    <t>LIRE</t>
  </si>
  <si>
    <t xml:space="preserve">RLKEKE </t>
  </si>
  <si>
    <t>CNRNRN</t>
  </si>
  <si>
    <t>OVERALLS</t>
  </si>
  <si>
    <t xml:space="preserve">QJN </t>
  </si>
  <si>
    <t>POTS</t>
  </si>
  <si>
    <t>ANRSAAA</t>
  </si>
  <si>
    <t>EVENTS</t>
  </si>
  <si>
    <t>TMVEJNS</t>
  </si>
  <si>
    <t>AI</t>
  </si>
  <si>
    <t>QNNVMNI</t>
  </si>
  <si>
    <t>OJEUADL</t>
  </si>
  <si>
    <t>JAN</t>
  </si>
  <si>
    <t>NNOA</t>
  </si>
  <si>
    <t>NFZ</t>
  </si>
  <si>
    <t>FARO</t>
  </si>
  <si>
    <t>ONN</t>
  </si>
  <si>
    <t>ZODEN</t>
  </si>
  <si>
    <t>QDZONSE</t>
  </si>
  <si>
    <t>AFHELPEN</t>
  </si>
  <si>
    <t>ZGONAFK</t>
  </si>
  <si>
    <t>DEA</t>
  </si>
  <si>
    <t>NJN</t>
  </si>
  <si>
    <t>MDZ</t>
  </si>
  <si>
    <t>NL</t>
  </si>
  <si>
    <t>TVNDREL</t>
  </si>
  <si>
    <t>DHDCXJL</t>
  </si>
  <si>
    <t>SNEP</t>
  </si>
  <si>
    <t>DSSQNPE</t>
  </si>
  <si>
    <t>SAS</t>
  </si>
  <si>
    <t>SQSAAE</t>
  </si>
  <si>
    <t>CARVEN</t>
  </si>
  <si>
    <t xml:space="preserve">V </t>
  </si>
  <si>
    <t>IJK</t>
  </si>
  <si>
    <t>DJMIEKA</t>
  </si>
  <si>
    <t>RITTMOE</t>
  </si>
  <si>
    <t>RRJES</t>
  </si>
  <si>
    <t>QNEAN</t>
  </si>
  <si>
    <t>VGN</t>
  </si>
  <si>
    <t>D KC XT</t>
  </si>
  <si>
    <t>QOJKSNE</t>
  </si>
  <si>
    <t>VJ</t>
  </si>
  <si>
    <t>EE</t>
  </si>
  <si>
    <t>ED</t>
  </si>
  <si>
    <t>QND</t>
  </si>
  <si>
    <t>WENGE</t>
  </si>
  <si>
    <t>NWNMG</t>
  </si>
  <si>
    <t>TALEN</t>
  </si>
  <si>
    <t>NNNAELT</t>
  </si>
  <si>
    <t>HEB</t>
  </si>
  <si>
    <t>EEB</t>
  </si>
  <si>
    <t>QDDRVNS</t>
  </si>
  <si>
    <t>NEREN</t>
  </si>
  <si>
    <t>NNREEAE</t>
  </si>
  <si>
    <t>KOMT</t>
  </si>
  <si>
    <t xml:space="preserve">KQOOMO </t>
  </si>
  <si>
    <t>DRY</t>
  </si>
  <si>
    <t>JDCNLLY</t>
  </si>
  <si>
    <t>JZGAD</t>
  </si>
  <si>
    <t>DVCOC</t>
  </si>
  <si>
    <t>SNODE</t>
  </si>
  <si>
    <t>DNONASE</t>
  </si>
  <si>
    <t>OI</t>
  </si>
  <si>
    <t>QIOI</t>
  </si>
  <si>
    <t>GENAS</t>
  </si>
  <si>
    <t>QNNASNO</t>
  </si>
  <si>
    <t>FINETUNE</t>
  </si>
  <si>
    <t xml:space="preserve">NNVTED </t>
  </si>
  <si>
    <t>FQNGEEC</t>
  </si>
  <si>
    <t>TEEG</t>
  </si>
  <si>
    <t>ENEEGTB</t>
  </si>
  <si>
    <t>AV</t>
  </si>
  <si>
    <t>CREA</t>
  </si>
  <si>
    <t>CDIRE</t>
  </si>
  <si>
    <t>DM</t>
  </si>
  <si>
    <t>HAVO</t>
  </si>
  <si>
    <t>VVOC</t>
  </si>
  <si>
    <t>ZOEFDE</t>
  </si>
  <si>
    <t>RDCSGRE</t>
  </si>
  <si>
    <t>SNACK</t>
  </si>
  <si>
    <t xml:space="preserve">EKAANC </t>
  </si>
  <si>
    <t>LOET</t>
  </si>
  <si>
    <t>OLQTEHE</t>
  </si>
  <si>
    <t>SDRNW</t>
  </si>
  <si>
    <t>YJJSTEE</t>
  </si>
  <si>
    <t>LICHEN</t>
  </si>
  <si>
    <t>QLCIEE</t>
  </si>
  <si>
    <t>ECAE</t>
  </si>
  <si>
    <t>KNNLR</t>
  </si>
  <si>
    <t>OE</t>
  </si>
  <si>
    <t>NFNJEON</t>
  </si>
  <si>
    <t>FNNDMEG</t>
  </si>
  <si>
    <t>BILLEN</t>
  </si>
  <si>
    <t>KBNITEL</t>
  </si>
  <si>
    <t>KARGRQF</t>
  </si>
  <si>
    <t>BEKERS</t>
  </si>
  <si>
    <t>EREEKSB</t>
  </si>
  <si>
    <t>MEUREEK</t>
  </si>
  <si>
    <t>NNX</t>
  </si>
  <si>
    <t>BA</t>
  </si>
  <si>
    <t>NNB</t>
  </si>
  <si>
    <t>RUNE</t>
  </si>
  <si>
    <t>UE</t>
  </si>
  <si>
    <t>DOPT</t>
  </si>
  <si>
    <t>NPDDTOJ</t>
  </si>
  <si>
    <t>NVENIHS</t>
  </si>
  <si>
    <t>GQRRRMN</t>
  </si>
  <si>
    <t>ZOND</t>
  </si>
  <si>
    <t>EONANAZ</t>
  </si>
  <si>
    <t>QJ</t>
  </si>
  <si>
    <t>SI</t>
  </si>
  <si>
    <t>NNS</t>
  </si>
  <si>
    <t>NIJGEN</t>
  </si>
  <si>
    <t>EOEANUE</t>
  </si>
  <si>
    <t>NNGRVRO</t>
  </si>
  <si>
    <t>CTNCNNL</t>
  </si>
  <si>
    <t>LAP</t>
  </si>
  <si>
    <t>AADQP</t>
  </si>
  <si>
    <t>FBST</t>
  </si>
  <si>
    <t>AZUREN</t>
  </si>
  <si>
    <t>XZNUFRE</t>
  </si>
  <si>
    <t>HENGEN</t>
  </si>
  <si>
    <t>QEAENU</t>
  </si>
  <si>
    <t>NNTE</t>
  </si>
  <si>
    <t>NNNQ</t>
  </si>
  <si>
    <t>BO</t>
  </si>
  <si>
    <t>ZOTB</t>
  </si>
  <si>
    <t>KUIF</t>
  </si>
  <si>
    <t>NFNQN</t>
  </si>
  <si>
    <t>AET</t>
  </si>
  <si>
    <t>RRRJN</t>
  </si>
  <si>
    <t>VGD</t>
  </si>
  <si>
    <t>BF</t>
  </si>
  <si>
    <t>AWEL</t>
  </si>
  <si>
    <t>AAEDL</t>
  </si>
  <si>
    <t>QEEKSIE</t>
  </si>
  <si>
    <t>VRANK</t>
  </si>
  <si>
    <t>NNRVOAN</t>
  </si>
  <si>
    <t>JKN</t>
  </si>
  <si>
    <t>EEFEL</t>
  </si>
  <si>
    <t>WROK</t>
  </si>
  <si>
    <t>RYOWK</t>
  </si>
  <si>
    <t>DQUKO</t>
  </si>
  <si>
    <t>XN</t>
  </si>
  <si>
    <t>REE</t>
  </si>
  <si>
    <t>RUGSENA</t>
  </si>
  <si>
    <t>BUN</t>
  </si>
  <si>
    <t>NNNQUBR</t>
  </si>
  <si>
    <t>MAGNATEN</t>
  </si>
  <si>
    <t>ANAN TM</t>
  </si>
  <si>
    <t>RO</t>
  </si>
  <si>
    <t>QE</t>
  </si>
  <si>
    <t>TN</t>
  </si>
  <si>
    <t>EVEN</t>
  </si>
  <si>
    <t>NNMT</t>
  </si>
  <si>
    <t>MAND</t>
  </si>
  <si>
    <t>DN</t>
  </si>
  <si>
    <t>IA</t>
  </si>
  <si>
    <t>QNNNDAI</t>
  </si>
  <si>
    <t>REKT</t>
  </si>
  <si>
    <t>EERATDK</t>
  </si>
  <si>
    <t>NQNNNOD</t>
  </si>
  <si>
    <t>NNVOOEY</t>
  </si>
  <si>
    <t>EDIK</t>
  </si>
  <si>
    <t>QKDIDEO</t>
  </si>
  <si>
    <t>QNN</t>
  </si>
  <si>
    <t xml:space="preserve">N </t>
  </si>
  <si>
    <t>EEOE</t>
  </si>
  <si>
    <t>NNQN</t>
  </si>
  <si>
    <t>QF</t>
  </si>
  <si>
    <t>ETO</t>
  </si>
  <si>
    <t>QNOHGTB</t>
  </si>
  <si>
    <t>NNN UGG</t>
  </si>
  <si>
    <t>NC</t>
  </si>
  <si>
    <t>MBOER</t>
  </si>
  <si>
    <t>QMLD</t>
  </si>
  <si>
    <t>LN</t>
  </si>
  <si>
    <t>NV</t>
  </si>
  <si>
    <t>QEG</t>
  </si>
  <si>
    <t>NNGONDR</t>
  </si>
  <si>
    <t>SPA</t>
  </si>
  <si>
    <t>AQTSKEV</t>
  </si>
  <si>
    <t>RUST</t>
  </si>
  <si>
    <t>UZSTRAN</t>
  </si>
  <si>
    <t>NEK</t>
  </si>
  <si>
    <t>KKE</t>
  </si>
  <si>
    <t>CNNRN</t>
  </si>
  <si>
    <t>QJN</t>
  </si>
  <si>
    <t>BREN</t>
  </si>
  <si>
    <t xml:space="preserve">ANRAAA </t>
  </si>
  <si>
    <t>BEZIG</t>
  </si>
  <si>
    <t>MJEQGZI</t>
  </si>
  <si>
    <t>GEM</t>
  </si>
  <si>
    <t>QNNVMNM</t>
  </si>
  <si>
    <t>NZ</t>
  </si>
  <si>
    <t>QS</t>
  </si>
  <si>
    <t>ZGOK</t>
  </si>
  <si>
    <t>DA</t>
  </si>
  <si>
    <t>JN</t>
  </si>
  <si>
    <t>MD</t>
  </si>
  <si>
    <t>TVNDL</t>
  </si>
  <si>
    <t>DEL</t>
  </si>
  <si>
    <t>DDCJLTE</t>
  </si>
  <si>
    <t>DSQE</t>
  </si>
  <si>
    <t>QAE</t>
  </si>
  <si>
    <t>WINDEN</t>
  </si>
  <si>
    <t>DMEANNW</t>
  </si>
  <si>
    <t>OMRIT</t>
  </si>
  <si>
    <t>RJ</t>
  </si>
  <si>
    <t>GN</t>
  </si>
  <si>
    <t>TAEL</t>
  </si>
  <si>
    <t>KTUNATE</t>
  </si>
  <si>
    <t>QJKNEET</t>
  </si>
  <si>
    <t>GUM</t>
  </si>
  <si>
    <t>NNMG</t>
  </si>
  <si>
    <t>QDVNSUN</t>
  </si>
  <si>
    <t>BENE</t>
  </si>
  <si>
    <t>AE</t>
  </si>
  <si>
    <t>TI</t>
  </si>
  <si>
    <t>QOOITEE</t>
  </si>
  <si>
    <t>JCNLL</t>
  </si>
  <si>
    <t>JZG</t>
  </si>
  <si>
    <t>VC</t>
  </si>
  <si>
    <t>LAAN</t>
  </si>
  <si>
    <t>QI</t>
  </si>
  <si>
    <t>TONNEN</t>
  </si>
  <si>
    <t>QNNNOET</t>
  </si>
  <si>
    <t>ZIEDEN</t>
  </si>
  <si>
    <t>NVDEZOI</t>
  </si>
  <si>
    <t>REEF</t>
  </si>
  <si>
    <t>FQNECRE</t>
  </si>
  <si>
    <t>GEBOEND</t>
  </si>
  <si>
    <t>NEBDGOE</t>
  </si>
  <si>
    <t>DI</t>
  </si>
  <si>
    <t>VOC</t>
  </si>
  <si>
    <t>KLEMT</t>
  </si>
  <si>
    <t>RCSGRT</t>
  </si>
  <si>
    <t>EA</t>
  </si>
  <si>
    <t>QHE</t>
  </si>
  <si>
    <t>SDRN</t>
  </si>
  <si>
    <t>SET</t>
  </si>
  <si>
    <t>JJSTE</t>
  </si>
  <si>
    <t>QEE</t>
  </si>
  <si>
    <t>CAE</t>
  </si>
  <si>
    <t>NNL</t>
  </si>
  <si>
    <t>FNJONSR</t>
  </si>
  <si>
    <t>MUNGO</t>
  </si>
  <si>
    <t>FNDMGUO</t>
  </si>
  <si>
    <t>BEKT</t>
  </si>
  <si>
    <t>KTTMENN</t>
  </si>
  <si>
    <t>KARGRQD</t>
  </si>
  <si>
    <t>SPEEK</t>
  </si>
  <si>
    <t>EKEPEO</t>
  </si>
  <si>
    <t>MEEE</t>
  </si>
  <si>
    <t>NX</t>
  </si>
  <si>
    <t>NDJWEBM</t>
  </si>
  <si>
    <t>NVENIHZ</t>
  </si>
  <si>
    <t>GQRRR</t>
  </si>
  <si>
    <t>EANA</t>
  </si>
  <si>
    <t>TAUPE</t>
  </si>
  <si>
    <t>OEAUETP</t>
  </si>
  <si>
    <t>BRR</t>
  </si>
  <si>
    <t>NNRVRN</t>
  </si>
  <si>
    <t>MEST</t>
  </si>
  <si>
    <t>TNCNN</t>
  </si>
  <si>
    <t>ADQ</t>
  </si>
  <si>
    <t>UFO</t>
  </si>
  <si>
    <t>FB</t>
  </si>
  <si>
    <t>XF</t>
  </si>
  <si>
    <t>QAEU</t>
  </si>
  <si>
    <t>STEN</t>
  </si>
  <si>
    <t>NTE</t>
  </si>
  <si>
    <t>NNQ</t>
  </si>
  <si>
    <t>ZT</t>
  </si>
  <si>
    <t>RRR</t>
  </si>
  <si>
    <t>VD</t>
  </si>
  <si>
    <t>BAAD</t>
  </si>
  <si>
    <t>QESIEOZ</t>
  </si>
  <si>
    <t>DANKT</t>
  </si>
  <si>
    <t>NONOAKT</t>
  </si>
  <si>
    <t>EEE</t>
  </si>
  <si>
    <t>RUK</t>
  </si>
  <si>
    <t>DQUK</t>
  </si>
  <si>
    <t>UGSNA</t>
  </si>
  <si>
    <t>NNNQR</t>
  </si>
  <si>
    <t>NNM</t>
  </si>
  <si>
    <t>DEBIET</t>
  </si>
  <si>
    <t xml:space="preserve">QNNNDN </t>
  </si>
  <si>
    <t>DEZE</t>
  </si>
  <si>
    <t>TNNDDPE</t>
  </si>
  <si>
    <t>SAP</t>
  </si>
  <si>
    <t>EADPNSG</t>
  </si>
  <si>
    <t>NQNNNZI</t>
  </si>
  <si>
    <t>NVOOEEN</t>
  </si>
  <si>
    <t>QDOEUTL</t>
  </si>
  <si>
    <t>NQN</t>
  </si>
  <si>
    <t>QNHGBSE</t>
  </si>
  <si>
    <t>ZAG</t>
  </si>
  <si>
    <t>NNNGAEZ</t>
  </si>
  <si>
    <t>QLD</t>
  </si>
  <si>
    <t>HELS</t>
  </si>
  <si>
    <t>NNVSFEL</t>
  </si>
  <si>
    <t>QTKEVE</t>
  </si>
  <si>
    <t>ZAN</t>
  </si>
  <si>
    <t>CNNN</t>
  </si>
  <si>
    <t>AAAAERN</t>
  </si>
  <si>
    <t>MJQNN</t>
  </si>
  <si>
    <t>QNNVNM</t>
  </si>
  <si>
    <t>DDCJT</t>
  </si>
  <si>
    <t>MAN</t>
  </si>
  <si>
    <t>JOH</t>
  </si>
  <si>
    <t>BEUKT</t>
  </si>
  <si>
    <t>KUNTEPB</t>
  </si>
  <si>
    <t>BEENAS</t>
  </si>
  <si>
    <t>KNESABN</t>
  </si>
  <si>
    <t>QDVNN</t>
  </si>
  <si>
    <t>QOOEE</t>
  </si>
  <si>
    <t>JNLL</t>
  </si>
  <si>
    <t>ZINDE</t>
  </si>
  <si>
    <t>QWEIZLD</t>
  </si>
  <si>
    <t>SCHOOR</t>
  </si>
  <si>
    <t>VOJECS</t>
  </si>
  <si>
    <t>QNCSEJN</t>
  </si>
  <si>
    <t>FA</t>
  </si>
  <si>
    <t>ZSFNIAE</t>
  </si>
  <si>
    <t>RCSGR</t>
  </si>
  <si>
    <t>CHEFS</t>
  </si>
  <si>
    <t>SDN</t>
  </si>
  <si>
    <t>JJE</t>
  </si>
  <si>
    <t>EPA</t>
  </si>
  <si>
    <t>MIJN</t>
  </si>
  <si>
    <t>FD</t>
  </si>
  <si>
    <t>TMNNHS</t>
  </si>
  <si>
    <t>RRQD</t>
  </si>
  <si>
    <t>ZOUTE</t>
  </si>
  <si>
    <t>EO</t>
  </si>
  <si>
    <t>NDJBRPG</t>
  </si>
  <si>
    <t xml:space="preserve">NVENHZ </t>
  </si>
  <si>
    <t>QRRR</t>
  </si>
  <si>
    <t>AA</t>
  </si>
  <si>
    <t>INDEN</t>
  </si>
  <si>
    <t>NNVRN</t>
  </si>
  <si>
    <t>NCNN</t>
  </si>
  <si>
    <t>DQ</t>
  </si>
  <si>
    <t>LAB</t>
  </si>
  <si>
    <t>QU</t>
  </si>
  <si>
    <t>FEITE</t>
  </si>
  <si>
    <t>QEIEO F</t>
  </si>
  <si>
    <t>ONOUNTE</t>
  </si>
  <si>
    <t>UGN</t>
  </si>
  <si>
    <t>KWART</t>
  </si>
  <si>
    <t xml:space="preserve">QNNNNK </t>
  </si>
  <si>
    <t>TNNDPKU</t>
  </si>
  <si>
    <t>GEREKT</t>
  </si>
  <si>
    <t>EDNG</t>
  </si>
  <si>
    <t>NQNNNI</t>
  </si>
  <si>
    <t>NVOEENL</t>
  </si>
  <si>
    <t>GILDE</t>
  </si>
  <si>
    <t>DELRNT</t>
  </si>
  <si>
    <t>MENG</t>
  </si>
  <si>
    <t>QNGSYMS</t>
  </si>
  <si>
    <t>NNNEIUN</t>
  </si>
  <si>
    <t>FTES</t>
  </si>
  <si>
    <t>NNVF</t>
  </si>
  <si>
    <t>ELK</t>
  </si>
  <si>
    <t>QKEVE</t>
  </si>
  <si>
    <t>AN</t>
  </si>
  <si>
    <t>AAA</t>
  </si>
  <si>
    <t>MQNN</t>
  </si>
  <si>
    <t>DD</t>
  </si>
  <si>
    <t>PAR</t>
  </si>
  <si>
    <t>NTPNK</t>
  </si>
  <si>
    <t>KN</t>
  </si>
  <si>
    <t>QDVN</t>
  </si>
  <si>
    <t>QOO</t>
  </si>
  <si>
    <t>JNL</t>
  </si>
  <si>
    <t>QWIL</t>
  </si>
  <si>
    <t>VOJE</t>
  </si>
  <si>
    <t>SICAV</t>
  </si>
  <si>
    <t>QCSNBIA</t>
  </si>
  <si>
    <t>ZSNIEE</t>
  </si>
  <si>
    <t>RCSR</t>
  </si>
  <si>
    <t>GADEN</t>
  </si>
  <si>
    <t>TMNNS</t>
  </si>
  <si>
    <t>RQD</t>
  </si>
  <si>
    <t>NDJPG</t>
  </si>
  <si>
    <t>VH</t>
  </si>
  <si>
    <t>QRR</t>
  </si>
  <si>
    <t>NNVN</t>
  </si>
  <si>
    <t>CNN</t>
  </si>
  <si>
    <t>TUF</t>
  </si>
  <si>
    <t>QOTM</t>
  </si>
  <si>
    <t>ONONE</t>
  </si>
  <si>
    <t>GUN</t>
  </si>
  <si>
    <t>UN</t>
  </si>
  <si>
    <t>QNNNN A</t>
  </si>
  <si>
    <t>TNNDKRV</t>
  </si>
  <si>
    <t>QNNNI</t>
  </si>
  <si>
    <t>VEENL</t>
  </si>
  <si>
    <t>RENT</t>
  </si>
  <si>
    <t>RNT</t>
  </si>
  <si>
    <t>MESS</t>
  </si>
  <si>
    <t>QSYS</t>
  </si>
  <si>
    <t>NNNEN</t>
  </si>
  <si>
    <t>NNV</t>
  </si>
  <si>
    <t>QVE</t>
  </si>
  <si>
    <t>NTNK</t>
  </si>
  <si>
    <t>QW</t>
  </si>
  <si>
    <t>VJE</t>
  </si>
  <si>
    <t>QNB</t>
  </si>
  <si>
    <t>ZSI</t>
  </si>
  <si>
    <t>TMNN</t>
  </si>
  <si>
    <t>NDJG</t>
  </si>
  <si>
    <t>QR</t>
  </si>
  <si>
    <t>CN</t>
  </si>
  <si>
    <t>ONON</t>
  </si>
  <si>
    <t>EVER</t>
  </si>
  <si>
    <t>NNNNNEE</t>
  </si>
  <si>
    <t>MOK</t>
  </si>
  <si>
    <t>TNNDKMO</t>
  </si>
  <si>
    <t>QNNN</t>
  </si>
  <si>
    <t>QY</t>
  </si>
  <si>
    <t>NNNN</t>
  </si>
  <si>
    <t>QV</t>
  </si>
  <si>
    <t>NNK</t>
  </si>
  <si>
    <t>TNN</t>
  </si>
  <si>
    <t>NDJ</t>
  </si>
  <si>
    <t>NNNNNE</t>
  </si>
  <si>
    <t>TNND</t>
  </si>
  <si>
    <t>NNNNN</t>
  </si>
  <si>
    <t>NND</t>
  </si>
  <si>
    <t>Gelijk</t>
  </si>
  <si>
    <t>Statistieken</t>
  </si>
  <si>
    <t>Totaal (N)</t>
  </si>
  <si>
    <t>Start</t>
  </si>
  <si>
    <t>Words</t>
  </si>
  <si>
    <t>Tilerow</t>
  </si>
  <si>
    <t>Boardposition</t>
  </si>
  <si>
    <t>Boardpositionition</t>
  </si>
  <si>
    <t>Wins</t>
  </si>
  <si>
    <t>Avg. Score</t>
  </si>
  <si>
    <t>Sta.dev σ</t>
  </si>
  <si>
    <t>Avg. Time</t>
  </si>
  <si>
    <t>Avg. Margin</t>
  </si>
  <si>
    <t>Sta.dev Margin</t>
  </si>
  <si>
    <t>win-lose ratio</t>
  </si>
  <si>
    <t>Tie</t>
  </si>
  <si>
    <t>average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</si>
</sst>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/>
    </fill>
    <fill>
      <patternFill patternType="solid">
        <fgColor rgb="FFCCCCCC"/>
        <bgColor rgb="FFCCCCCC"/>
      </patternFill>
    </fill>
    <fill>
      <patternFill patternType="solid">
        <fgColor rgb="FFFFFF00"/>
        <bgColor indexed="64"/>
      </patternFill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0" borderId="0" xfId="0" applyFont="1"/>
    <xf numFmtId="0" fontId="2" fillId="0" borderId="0" xfId="0" applyFont="1"/>
    <xf numFmtId="1" fontId="0" fillId="0" borderId="0" xfId="0" applyNumberFormat="1"/>
    <xf numFmtId="164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87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Blad1!$F$1</c:f>
              <c:strCache>
                <c:ptCount val="1"/>
                <c:pt idx="0">
                  <c:v>Boardposition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Blad1!$F$2:$F$26</c:f>
              <c:numCache>
                <c:formatCode>General</c:formatCode>
                <c:ptCount val="25"/>
                <c:pt idx="0">
                  <c:v>0</c:v>
                </c:pt>
                <c:pt idx="1">
                  <c:v>7</c:v>
                </c:pt>
                <c:pt idx="2">
                  <c:v>20</c:v>
                </c:pt>
                <c:pt idx="3">
                  <c:v>42</c:v>
                </c:pt>
                <c:pt idx="4">
                  <c:v>75</c:v>
                </c:pt>
                <c:pt idx="5">
                  <c:v>147</c:v>
                </c:pt>
                <c:pt idx="6">
                  <c:v>171</c:v>
                </c:pt>
                <c:pt idx="7">
                  <c:v>213</c:v>
                </c:pt>
                <c:pt idx="8">
                  <c:v>244</c:v>
                </c:pt>
                <c:pt idx="9">
                  <c:v>287</c:v>
                </c:pt>
                <c:pt idx="10">
                  <c:v>313</c:v>
                </c:pt>
                <c:pt idx="11">
                  <c:v>334</c:v>
                </c:pt>
                <c:pt idx="12">
                  <c:v>366</c:v>
                </c:pt>
                <c:pt idx="13">
                  <c:v>389</c:v>
                </c:pt>
                <c:pt idx="14">
                  <c:v>446</c:v>
                </c:pt>
                <c:pt idx="15">
                  <c:v>460</c:v>
                </c:pt>
                <c:pt idx="16">
                  <c:v>469</c:v>
                </c:pt>
                <c:pt idx="17">
                  <c:v>469</c:v>
                </c:pt>
                <c:pt idx="18">
                  <c:v>487</c:v>
                </c:pt>
                <c:pt idx="19">
                  <c:v>487</c:v>
                </c:pt>
                <c:pt idx="20">
                  <c:v>487</c:v>
                </c:pt>
                <c:pt idx="21">
                  <c:v>487</c:v>
                </c:pt>
                <c:pt idx="22">
                  <c:v>487</c:v>
                </c:pt>
                <c:pt idx="23">
                  <c:v>487</c:v>
                </c:pt>
                <c:pt idx="24">
                  <c:v>487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99-4AB0-A730-7AF7A26A2339}"/>
            </c:ext>
          </c:extLst>
        </c:ser>
        <c:ser>
          <c:idx val="1"/>
          <c:order val="1"/>
          <c:tx>
            <c:strRef>
              <c:f>Blad1!$L$1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Blad1!$L$2:$L$26</c:f>
              <c:numCache>
                <c:formatCode>General</c:formatCode>
                <c:ptCount val="25"/>
                <c:pt idx="0">
                  <c:v>0</c:v>
                </c:pt>
                <c:pt idx="1">
                  <c:v>4</c:v>
                </c:pt>
                <c:pt idx="2">
                  <c:v>27</c:v>
                </c:pt>
                <c:pt idx="3">
                  <c:v>55</c:v>
                </c:pt>
                <c:pt idx="4">
                  <c:v>129</c:v>
                </c:pt>
                <c:pt idx="5">
                  <c:v>167</c:v>
                </c:pt>
                <c:pt idx="6">
                  <c:v>198</c:v>
                </c:pt>
                <c:pt idx="7">
                  <c:v>225</c:v>
                </c:pt>
                <c:pt idx="8">
                  <c:v>257</c:v>
                </c:pt>
                <c:pt idx="9">
                  <c:v>299</c:v>
                </c:pt>
                <c:pt idx="10">
                  <c:v>319</c:v>
                </c:pt>
                <c:pt idx="11">
                  <c:v>348</c:v>
                </c:pt>
                <c:pt idx="12">
                  <c:v>361</c:v>
                </c:pt>
                <c:pt idx="13">
                  <c:v>371</c:v>
                </c:pt>
                <c:pt idx="14">
                  <c:v>388</c:v>
                </c:pt>
                <c:pt idx="15">
                  <c:v>405</c:v>
                </c:pt>
                <c:pt idx="16">
                  <c:v>422</c:v>
                </c:pt>
                <c:pt idx="17">
                  <c:v>426</c:v>
                </c:pt>
                <c:pt idx="18">
                  <c:v>416</c:v>
                </c:pt>
                <c:pt idx="19">
                  <c:v>416</c:v>
                </c:pt>
                <c:pt idx="20">
                  <c:v>416</c:v>
                </c:pt>
                <c:pt idx="21">
                  <c:v>416</c:v>
                </c:pt>
                <c:pt idx="22">
                  <c:v>416</c:v>
                </c:pt>
                <c:pt idx="23">
                  <c:v>416</c:v>
                </c:pt>
                <c:pt idx="24">
                  <c:v>416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99-4AB0-A730-7AF7A26A23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Blad1!$R$1</c:f>
              <c:strCache>
                <c:ptCount val="1"/>
                <c:pt idx="0">
                  <c:v>Boardposition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Blad1!$R$2:$R$26</c:f>
              <c:numCache>
                <c:formatCode>General</c:formatCode>
                <c:ptCount val="25"/>
                <c:pt idx="0">
                  <c:v>0</c:v>
                </c:pt>
                <c:pt idx="1">
                  <c:v>8</c:v>
                </c:pt>
                <c:pt idx="2">
                  <c:v>84</c:v>
                </c:pt>
                <c:pt idx="3">
                  <c:v>123</c:v>
                </c:pt>
                <c:pt idx="4">
                  <c:v>144</c:v>
                </c:pt>
                <c:pt idx="5">
                  <c:v>168</c:v>
                </c:pt>
                <c:pt idx="6">
                  <c:v>197</c:v>
                </c:pt>
                <c:pt idx="7">
                  <c:v>216</c:v>
                </c:pt>
                <c:pt idx="8">
                  <c:v>230</c:v>
                </c:pt>
                <c:pt idx="9">
                  <c:v>252</c:v>
                </c:pt>
                <c:pt idx="10">
                  <c:v>279</c:v>
                </c:pt>
                <c:pt idx="11">
                  <c:v>301</c:v>
                </c:pt>
                <c:pt idx="12">
                  <c:v>320</c:v>
                </c:pt>
                <c:pt idx="13">
                  <c:v>337</c:v>
                </c:pt>
                <c:pt idx="14">
                  <c:v>355</c:v>
                </c:pt>
                <c:pt idx="15">
                  <c:v>357</c:v>
                </c:pt>
                <c:pt idx="16">
                  <c:v>377</c:v>
                </c:pt>
                <c:pt idx="17">
                  <c:v>377</c:v>
                </c:pt>
                <c:pt idx="18">
                  <c:v>377</c:v>
                </c:pt>
                <c:pt idx="19">
                  <c:v>377</c:v>
                </c:pt>
                <c:pt idx="20">
                  <c:v>377</c:v>
                </c:pt>
                <c:pt idx="21">
                  <c:v>377</c:v>
                </c:pt>
                <c:pt idx="22">
                  <c:v>377</c:v>
                </c:pt>
                <c:pt idx="23">
                  <c:v>377</c:v>
                </c:pt>
                <c:pt idx="24">
                  <c:v>377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D6-430A-8BA6-AA9F7B42F8AE}"/>
            </c:ext>
          </c:extLst>
        </c:ser>
        <c:ser>
          <c:idx val="1"/>
          <c:order val="1"/>
          <c:tx>
            <c:strRef>
              <c:f>Blad1!$X$1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Blad1!$X$2:$X$26</c:f>
              <c:numCache>
                <c:formatCode>General</c:formatCode>
                <c:ptCount val="25"/>
                <c:pt idx="0">
                  <c:v>0</c:v>
                </c:pt>
                <c:pt idx="1">
                  <c:v>28</c:v>
                </c:pt>
                <c:pt idx="2">
                  <c:v>86</c:v>
                </c:pt>
                <c:pt idx="3">
                  <c:v>138</c:v>
                </c:pt>
                <c:pt idx="4">
                  <c:v>172</c:v>
                </c:pt>
                <c:pt idx="5">
                  <c:v>204</c:v>
                </c:pt>
                <c:pt idx="6">
                  <c:v>226</c:v>
                </c:pt>
                <c:pt idx="7">
                  <c:v>249</c:v>
                </c:pt>
                <c:pt idx="8">
                  <c:v>289</c:v>
                </c:pt>
                <c:pt idx="9">
                  <c:v>311</c:v>
                </c:pt>
                <c:pt idx="10">
                  <c:v>333</c:v>
                </c:pt>
                <c:pt idx="11">
                  <c:v>357</c:v>
                </c:pt>
                <c:pt idx="12">
                  <c:v>373</c:v>
                </c:pt>
                <c:pt idx="13">
                  <c:v>401</c:v>
                </c:pt>
                <c:pt idx="14">
                  <c:v>422</c:v>
                </c:pt>
                <c:pt idx="15">
                  <c:v>424</c:v>
                </c:pt>
                <c:pt idx="16">
                  <c:v>412</c:v>
                </c:pt>
                <c:pt idx="17">
                  <c:v>412</c:v>
                </c:pt>
                <c:pt idx="18">
                  <c:v>412</c:v>
                </c:pt>
                <c:pt idx="19">
                  <c:v>412</c:v>
                </c:pt>
                <c:pt idx="20">
                  <c:v>412</c:v>
                </c:pt>
                <c:pt idx="21">
                  <c:v>412</c:v>
                </c:pt>
                <c:pt idx="22">
                  <c:v>412</c:v>
                </c:pt>
                <c:pt idx="23">
                  <c:v>412</c:v>
                </c:pt>
                <c:pt idx="24">
                  <c:v>412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D6-430A-8BA6-AA9F7B42F8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Blad1!$AD$1</c:f>
              <c:strCache>
                <c:ptCount val="1"/>
                <c:pt idx="0">
                  <c:v>Boardposition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Blad1!$AD$2:$AD$26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20</c:v>
                </c:pt>
                <c:pt idx="3">
                  <c:v>56</c:v>
                </c:pt>
                <c:pt idx="4">
                  <c:v>146</c:v>
                </c:pt>
                <c:pt idx="5">
                  <c:v>177</c:v>
                </c:pt>
                <c:pt idx="6">
                  <c:v>213</c:v>
                </c:pt>
                <c:pt idx="7">
                  <c:v>241</c:v>
                </c:pt>
                <c:pt idx="8">
                  <c:v>259</c:v>
                </c:pt>
                <c:pt idx="9">
                  <c:v>278</c:v>
                </c:pt>
                <c:pt idx="10">
                  <c:v>339</c:v>
                </c:pt>
                <c:pt idx="11">
                  <c:v>382</c:v>
                </c:pt>
                <c:pt idx="12">
                  <c:v>419</c:v>
                </c:pt>
                <c:pt idx="13">
                  <c:v>444</c:v>
                </c:pt>
                <c:pt idx="14">
                  <c:v>484</c:v>
                </c:pt>
                <c:pt idx="15">
                  <c:v>506</c:v>
                </c:pt>
                <c:pt idx="16">
                  <c:v>515</c:v>
                </c:pt>
                <c:pt idx="17">
                  <c:v>533</c:v>
                </c:pt>
                <c:pt idx="18">
                  <c:v>533</c:v>
                </c:pt>
                <c:pt idx="19">
                  <c:v>533</c:v>
                </c:pt>
                <c:pt idx="20">
                  <c:v>533</c:v>
                </c:pt>
                <c:pt idx="21">
                  <c:v>533</c:v>
                </c:pt>
                <c:pt idx="22">
                  <c:v>533</c:v>
                </c:pt>
                <c:pt idx="23">
                  <c:v>533</c:v>
                </c:pt>
                <c:pt idx="24">
                  <c:v>533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4A-4B70-8BC7-9DAEE73D23CE}"/>
            </c:ext>
          </c:extLst>
        </c:ser>
        <c:ser>
          <c:idx val="1"/>
          <c:order val="1"/>
          <c:tx>
            <c:strRef>
              <c:f>Blad1!$AJ$1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Blad1!$AJ$2:$AJ$26</c:f>
              <c:numCache>
                <c:formatCode>General</c:formatCode>
                <c:ptCount val="25"/>
                <c:pt idx="0">
                  <c:v>0</c:v>
                </c:pt>
                <c:pt idx="1">
                  <c:v>23</c:v>
                </c:pt>
                <c:pt idx="2">
                  <c:v>70</c:v>
                </c:pt>
                <c:pt idx="3">
                  <c:v>106</c:v>
                </c:pt>
                <c:pt idx="4">
                  <c:v>144</c:v>
                </c:pt>
                <c:pt idx="5">
                  <c:v>196</c:v>
                </c:pt>
                <c:pt idx="6">
                  <c:v>222</c:v>
                </c:pt>
                <c:pt idx="7">
                  <c:v>246</c:v>
                </c:pt>
                <c:pt idx="8">
                  <c:v>273</c:v>
                </c:pt>
                <c:pt idx="9">
                  <c:v>287</c:v>
                </c:pt>
                <c:pt idx="10">
                  <c:v>310</c:v>
                </c:pt>
                <c:pt idx="11">
                  <c:v>339</c:v>
                </c:pt>
                <c:pt idx="12">
                  <c:v>363</c:v>
                </c:pt>
                <c:pt idx="13">
                  <c:v>375</c:v>
                </c:pt>
                <c:pt idx="14">
                  <c:v>393</c:v>
                </c:pt>
                <c:pt idx="15">
                  <c:v>404</c:v>
                </c:pt>
                <c:pt idx="16">
                  <c:v>410</c:v>
                </c:pt>
                <c:pt idx="17">
                  <c:v>398</c:v>
                </c:pt>
                <c:pt idx="18">
                  <c:v>398</c:v>
                </c:pt>
                <c:pt idx="19">
                  <c:v>398</c:v>
                </c:pt>
                <c:pt idx="20">
                  <c:v>398</c:v>
                </c:pt>
                <c:pt idx="21">
                  <c:v>398</c:v>
                </c:pt>
                <c:pt idx="22">
                  <c:v>398</c:v>
                </c:pt>
                <c:pt idx="23">
                  <c:v>398</c:v>
                </c:pt>
                <c:pt idx="24">
                  <c:v>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4A-4B70-8BC7-9DAEE73D23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Blad1!$AP$1</c:f>
              <c:strCache>
                <c:ptCount val="1"/>
                <c:pt idx="0">
                  <c:v>Boardposition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Blad1!$AP$2:$AP$26</c:f>
              <c:numCache>
                <c:formatCode>General</c:formatCode>
                <c:ptCount val="25"/>
                <c:pt idx="0">
                  <c:v>0</c:v>
                </c:pt>
                <c:pt idx="1">
                  <c:v>58</c:v>
                </c:pt>
                <c:pt idx="2">
                  <c:v>82</c:v>
                </c:pt>
                <c:pt idx="3">
                  <c:v>112</c:v>
                </c:pt>
                <c:pt idx="4">
                  <c:v>138</c:v>
                </c:pt>
                <c:pt idx="5">
                  <c:v>186</c:v>
                </c:pt>
                <c:pt idx="6">
                  <c:v>245</c:v>
                </c:pt>
                <c:pt idx="7">
                  <c:v>267</c:v>
                </c:pt>
                <c:pt idx="8">
                  <c:v>293</c:v>
                </c:pt>
                <c:pt idx="9">
                  <c:v>323</c:v>
                </c:pt>
                <c:pt idx="10">
                  <c:v>334</c:v>
                </c:pt>
                <c:pt idx="11">
                  <c:v>348</c:v>
                </c:pt>
                <c:pt idx="12">
                  <c:v>369</c:v>
                </c:pt>
                <c:pt idx="13">
                  <c:v>388</c:v>
                </c:pt>
                <c:pt idx="14">
                  <c:v>412</c:v>
                </c:pt>
                <c:pt idx="15">
                  <c:v>429</c:v>
                </c:pt>
                <c:pt idx="16">
                  <c:v>442</c:v>
                </c:pt>
                <c:pt idx="17">
                  <c:v>442</c:v>
                </c:pt>
                <c:pt idx="18">
                  <c:v>442</c:v>
                </c:pt>
                <c:pt idx="19">
                  <c:v>442</c:v>
                </c:pt>
                <c:pt idx="20">
                  <c:v>442</c:v>
                </c:pt>
                <c:pt idx="21">
                  <c:v>442</c:v>
                </c:pt>
                <c:pt idx="22">
                  <c:v>442</c:v>
                </c:pt>
                <c:pt idx="23">
                  <c:v>442</c:v>
                </c:pt>
                <c:pt idx="24">
                  <c:v>442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A13-4DE3-A59F-2D042A9EB5EE}"/>
            </c:ext>
          </c:extLst>
        </c:ser>
        <c:ser>
          <c:idx val="1"/>
          <c:order val="1"/>
          <c:tx>
            <c:strRef>
              <c:f>Blad1!$AV$1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Blad1!$AV$2:$AV$26</c:f>
              <c:numCache>
                <c:formatCode>General</c:formatCode>
                <c:ptCount val="25"/>
                <c:pt idx="0">
                  <c:v>0</c:v>
                </c:pt>
                <c:pt idx="1">
                  <c:v>28</c:v>
                </c:pt>
                <c:pt idx="2">
                  <c:v>62</c:v>
                </c:pt>
                <c:pt idx="3">
                  <c:v>98</c:v>
                </c:pt>
                <c:pt idx="4">
                  <c:v>123</c:v>
                </c:pt>
                <c:pt idx="5">
                  <c:v>151</c:v>
                </c:pt>
                <c:pt idx="6">
                  <c:v>214</c:v>
                </c:pt>
                <c:pt idx="7">
                  <c:v>262</c:v>
                </c:pt>
                <c:pt idx="8">
                  <c:v>300</c:v>
                </c:pt>
                <c:pt idx="9">
                  <c:v>324</c:v>
                </c:pt>
                <c:pt idx="10">
                  <c:v>338</c:v>
                </c:pt>
                <c:pt idx="11">
                  <c:v>358</c:v>
                </c:pt>
                <c:pt idx="12">
                  <c:v>382</c:v>
                </c:pt>
                <c:pt idx="13">
                  <c:v>402</c:v>
                </c:pt>
                <c:pt idx="14">
                  <c:v>415</c:v>
                </c:pt>
                <c:pt idx="15">
                  <c:v>427</c:v>
                </c:pt>
                <c:pt idx="16">
                  <c:v>421</c:v>
                </c:pt>
                <c:pt idx="17">
                  <c:v>421</c:v>
                </c:pt>
                <c:pt idx="18">
                  <c:v>421</c:v>
                </c:pt>
                <c:pt idx="19">
                  <c:v>421</c:v>
                </c:pt>
                <c:pt idx="20">
                  <c:v>421</c:v>
                </c:pt>
                <c:pt idx="21">
                  <c:v>421</c:v>
                </c:pt>
                <c:pt idx="22">
                  <c:v>421</c:v>
                </c:pt>
                <c:pt idx="23">
                  <c:v>421</c:v>
                </c:pt>
                <c:pt idx="24">
                  <c:v>421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A13-4DE3-A59F-2D042A9EB5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Blad1!$BB$1</c:f>
              <c:strCache>
                <c:ptCount val="1"/>
                <c:pt idx="0">
                  <c:v>Boardposition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Blad1!$BB$2:$BB$26</c:f>
              <c:numCache>
                <c:formatCode>General</c:formatCode>
                <c:ptCount val="25"/>
                <c:pt idx="0">
                  <c:v>0</c:v>
                </c:pt>
                <c:pt idx="1">
                  <c:v>9</c:v>
                </c:pt>
                <c:pt idx="2">
                  <c:v>18</c:v>
                </c:pt>
                <c:pt idx="3">
                  <c:v>34</c:v>
                </c:pt>
                <c:pt idx="4">
                  <c:v>118</c:v>
                </c:pt>
                <c:pt idx="5">
                  <c:v>154</c:v>
                </c:pt>
                <c:pt idx="6">
                  <c:v>179</c:v>
                </c:pt>
                <c:pt idx="7">
                  <c:v>207</c:v>
                </c:pt>
                <c:pt idx="8">
                  <c:v>244</c:v>
                </c:pt>
                <c:pt idx="9">
                  <c:v>274</c:v>
                </c:pt>
                <c:pt idx="10">
                  <c:v>294</c:v>
                </c:pt>
                <c:pt idx="11">
                  <c:v>362</c:v>
                </c:pt>
                <c:pt idx="12">
                  <c:v>399</c:v>
                </c:pt>
                <c:pt idx="13">
                  <c:v>421</c:v>
                </c:pt>
                <c:pt idx="14">
                  <c:v>418</c:v>
                </c:pt>
                <c:pt idx="15">
                  <c:v>418</c:v>
                </c:pt>
                <c:pt idx="16">
                  <c:v>418</c:v>
                </c:pt>
                <c:pt idx="17">
                  <c:v>418</c:v>
                </c:pt>
                <c:pt idx="18">
                  <c:v>418</c:v>
                </c:pt>
                <c:pt idx="19">
                  <c:v>418</c:v>
                </c:pt>
                <c:pt idx="20">
                  <c:v>418</c:v>
                </c:pt>
                <c:pt idx="21">
                  <c:v>418</c:v>
                </c:pt>
                <c:pt idx="22">
                  <c:v>418</c:v>
                </c:pt>
                <c:pt idx="23">
                  <c:v>418</c:v>
                </c:pt>
                <c:pt idx="24">
                  <c:v>418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78D-4CB1-9F4A-3C413A134230}"/>
            </c:ext>
          </c:extLst>
        </c:ser>
        <c:ser>
          <c:idx val="1"/>
          <c:order val="1"/>
          <c:tx>
            <c:strRef>
              <c:f>Blad1!$BH$1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Blad1!$BH$2:$BH$26</c:f>
              <c:numCache>
                <c:formatCode>General</c:formatCode>
                <c:ptCount val="25"/>
                <c:pt idx="0">
                  <c:v>0</c:v>
                </c:pt>
                <c:pt idx="1">
                  <c:v>28</c:v>
                </c:pt>
                <c:pt idx="2">
                  <c:v>61</c:v>
                </c:pt>
                <c:pt idx="3">
                  <c:v>101</c:v>
                </c:pt>
                <c:pt idx="4">
                  <c:v>134</c:v>
                </c:pt>
                <c:pt idx="5">
                  <c:v>206</c:v>
                </c:pt>
                <c:pt idx="6">
                  <c:v>236</c:v>
                </c:pt>
                <c:pt idx="7">
                  <c:v>282</c:v>
                </c:pt>
                <c:pt idx="8">
                  <c:v>320</c:v>
                </c:pt>
                <c:pt idx="9">
                  <c:v>371</c:v>
                </c:pt>
                <c:pt idx="10">
                  <c:v>423</c:v>
                </c:pt>
                <c:pt idx="11">
                  <c:v>470</c:v>
                </c:pt>
                <c:pt idx="12">
                  <c:v>507</c:v>
                </c:pt>
                <c:pt idx="13">
                  <c:v>521</c:v>
                </c:pt>
                <c:pt idx="14">
                  <c:v>524</c:v>
                </c:pt>
                <c:pt idx="15">
                  <c:v>524</c:v>
                </c:pt>
                <c:pt idx="16">
                  <c:v>524</c:v>
                </c:pt>
                <c:pt idx="17">
                  <c:v>524</c:v>
                </c:pt>
                <c:pt idx="18">
                  <c:v>524</c:v>
                </c:pt>
                <c:pt idx="19">
                  <c:v>524</c:v>
                </c:pt>
                <c:pt idx="20">
                  <c:v>524</c:v>
                </c:pt>
                <c:pt idx="21">
                  <c:v>524</c:v>
                </c:pt>
                <c:pt idx="22">
                  <c:v>524</c:v>
                </c:pt>
                <c:pt idx="23">
                  <c:v>524</c:v>
                </c:pt>
                <c:pt idx="24">
                  <c:v>524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78D-4CB1-9F4A-3C413A13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Blad1!$BN$1</c:f>
              <c:strCache>
                <c:ptCount val="1"/>
                <c:pt idx="0">
                  <c:v>Boardposition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Blad1!$BN$2:$BN$26</c:f>
              <c:numCache>
                <c:formatCode>General</c:formatCode>
                <c:ptCount val="25"/>
                <c:pt idx="0">
                  <c:v>0</c:v>
                </c:pt>
                <c:pt idx="1">
                  <c:v>11</c:v>
                </c:pt>
                <c:pt idx="2">
                  <c:v>48</c:v>
                </c:pt>
                <c:pt idx="3">
                  <c:v>92</c:v>
                </c:pt>
                <c:pt idx="4">
                  <c:v>227</c:v>
                </c:pt>
                <c:pt idx="5">
                  <c:v>278</c:v>
                </c:pt>
                <c:pt idx="6">
                  <c:v>298</c:v>
                </c:pt>
                <c:pt idx="7">
                  <c:v>346</c:v>
                </c:pt>
                <c:pt idx="8">
                  <c:v>379</c:v>
                </c:pt>
                <c:pt idx="9">
                  <c:v>405</c:v>
                </c:pt>
                <c:pt idx="10">
                  <c:v>427</c:v>
                </c:pt>
                <c:pt idx="11">
                  <c:v>462</c:v>
                </c:pt>
                <c:pt idx="12">
                  <c:v>482</c:v>
                </c:pt>
                <c:pt idx="13">
                  <c:v>506</c:v>
                </c:pt>
                <c:pt idx="14">
                  <c:v>513</c:v>
                </c:pt>
                <c:pt idx="15">
                  <c:v>513</c:v>
                </c:pt>
                <c:pt idx="16">
                  <c:v>513</c:v>
                </c:pt>
                <c:pt idx="17">
                  <c:v>513</c:v>
                </c:pt>
                <c:pt idx="18">
                  <c:v>503</c:v>
                </c:pt>
                <c:pt idx="19">
                  <c:v>503</c:v>
                </c:pt>
                <c:pt idx="20">
                  <c:v>503</c:v>
                </c:pt>
                <c:pt idx="21">
                  <c:v>503</c:v>
                </c:pt>
                <c:pt idx="22">
                  <c:v>503</c:v>
                </c:pt>
                <c:pt idx="23">
                  <c:v>503</c:v>
                </c:pt>
                <c:pt idx="24">
                  <c:v>503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02C-4ACB-9D1F-EDF4A01495DF}"/>
            </c:ext>
          </c:extLst>
        </c:ser>
        <c:ser>
          <c:idx val="1"/>
          <c:order val="1"/>
          <c:tx>
            <c:strRef>
              <c:f>Blad1!$BT$1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Blad1!$BT$2:$BT$26</c:f>
              <c:numCache>
                <c:formatCode>General</c:formatCode>
                <c:ptCount val="25"/>
                <c:pt idx="0">
                  <c:v>0</c:v>
                </c:pt>
                <c:pt idx="1">
                  <c:v>26</c:v>
                </c:pt>
                <c:pt idx="2">
                  <c:v>62</c:v>
                </c:pt>
                <c:pt idx="3">
                  <c:v>121</c:v>
                </c:pt>
                <c:pt idx="4">
                  <c:v>159</c:v>
                </c:pt>
                <c:pt idx="5">
                  <c:v>192</c:v>
                </c:pt>
                <c:pt idx="6">
                  <c:v>222</c:v>
                </c:pt>
                <c:pt idx="7">
                  <c:v>245</c:v>
                </c:pt>
                <c:pt idx="8">
                  <c:v>271</c:v>
                </c:pt>
                <c:pt idx="9">
                  <c:v>303</c:v>
                </c:pt>
                <c:pt idx="10">
                  <c:v>320</c:v>
                </c:pt>
                <c:pt idx="11">
                  <c:v>355</c:v>
                </c:pt>
                <c:pt idx="12">
                  <c:v>370</c:v>
                </c:pt>
                <c:pt idx="13">
                  <c:v>382</c:v>
                </c:pt>
                <c:pt idx="14">
                  <c:v>393</c:v>
                </c:pt>
                <c:pt idx="15">
                  <c:v>401</c:v>
                </c:pt>
                <c:pt idx="16">
                  <c:v>408</c:v>
                </c:pt>
                <c:pt idx="17">
                  <c:v>408</c:v>
                </c:pt>
                <c:pt idx="18">
                  <c:v>404</c:v>
                </c:pt>
                <c:pt idx="19">
                  <c:v>404</c:v>
                </c:pt>
                <c:pt idx="20">
                  <c:v>404</c:v>
                </c:pt>
                <c:pt idx="21">
                  <c:v>404</c:v>
                </c:pt>
                <c:pt idx="22">
                  <c:v>404</c:v>
                </c:pt>
                <c:pt idx="23">
                  <c:v>404</c:v>
                </c:pt>
                <c:pt idx="24">
                  <c:v>404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02C-4ACB-9D1F-EDF4A01495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Blad1!$BZ$1</c:f>
              <c:strCache>
                <c:ptCount val="1"/>
                <c:pt idx="0">
                  <c:v>Boardposition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Blad1!$BZ$2:$BZ$26</c:f>
              <c:numCache>
                <c:formatCode>General</c:formatCode>
                <c:ptCount val="25"/>
                <c:pt idx="0">
                  <c:v>0</c:v>
                </c:pt>
                <c:pt idx="1">
                  <c:v>64</c:v>
                </c:pt>
                <c:pt idx="2">
                  <c:v>136</c:v>
                </c:pt>
                <c:pt idx="3">
                  <c:v>184</c:v>
                </c:pt>
                <c:pt idx="4">
                  <c:v>216</c:v>
                </c:pt>
                <c:pt idx="5">
                  <c:v>284</c:v>
                </c:pt>
                <c:pt idx="6">
                  <c:v>316</c:v>
                </c:pt>
                <c:pt idx="7">
                  <c:v>347</c:v>
                </c:pt>
                <c:pt idx="8">
                  <c:v>372</c:v>
                </c:pt>
                <c:pt idx="9">
                  <c:v>394</c:v>
                </c:pt>
                <c:pt idx="10">
                  <c:v>411</c:v>
                </c:pt>
                <c:pt idx="11">
                  <c:v>462</c:v>
                </c:pt>
                <c:pt idx="12">
                  <c:v>503</c:v>
                </c:pt>
                <c:pt idx="13">
                  <c:v>525</c:v>
                </c:pt>
                <c:pt idx="14">
                  <c:v>537</c:v>
                </c:pt>
                <c:pt idx="15">
                  <c:v>537</c:v>
                </c:pt>
                <c:pt idx="16">
                  <c:v>537</c:v>
                </c:pt>
                <c:pt idx="17">
                  <c:v>529</c:v>
                </c:pt>
                <c:pt idx="18">
                  <c:v>529</c:v>
                </c:pt>
                <c:pt idx="19">
                  <c:v>529</c:v>
                </c:pt>
                <c:pt idx="20">
                  <c:v>529</c:v>
                </c:pt>
                <c:pt idx="21">
                  <c:v>529</c:v>
                </c:pt>
                <c:pt idx="22">
                  <c:v>529</c:v>
                </c:pt>
                <c:pt idx="23">
                  <c:v>529</c:v>
                </c:pt>
                <c:pt idx="24">
                  <c:v>529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C00-4DA7-B041-0EE18DBE67FF}"/>
            </c:ext>
          </c:extLst>
        </c:ser>
        <c:ser>
          <c:idx val="1"/>
          <c:order val="1"/>
          <c:tx>
            <c:strRef>
              <c:f>Blad1!$CF$1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Blad1!$CF$2:$CF$26</c:f>
              <c:numCache>
                <c:formatCode>General</c:formatCode>
                <c:ptCount val="25"/>
                <c:pt idx="0">
                  <c:v>0</c:v>
                </c:pt>
                <c:pt idx="1">
                  <c:v>37</c:v>
                </c:pt>
                <c:pt idx="2">
                  <c:v>66</c:v>
                </c:pt>
                <c:pt idx="3">
                  <c:v>94</c:v>
                </c:pt>
                <c:pt idx="4">
                  <c:v>128</c:v>
                </c:pt>
                <c:pt idx="5">
                  <c:v>155</c:v>
                </c:pt>
                <c:pt idx="6">
                  <c:v>191</c:v>
                </c:pt>
                <c:pt idx="7">
                  <c:v>230</c:v>
                </c:pt>
                <c:pt idx="8">
                  <c:v>250</c:v>
                </c:pt>
                <c:pt idx="9">
                  <c:v>280</c:v>
                </c:pt>
                <c:pt idx="10">
                  <c:v>310</c:v>
                </c:pt>
                <c:pt idx="11">
                  <c:v>336</c:v>
                </c:pt>
                <c:pt idx="12">
                  <c:v>360</c:v>
                </c:pt>
                <c:pt idx="13">
                  <c:v>382</c:v>
                </c:pt>
                <c:pt idx="14">
                  <c:v>399</c:v>
                </c:pt>
                <c:pt idx="15">
                  <c:v>405</c:v>
                </c:pt>
                <c:pt idx="16">
                  <c:v>405</c:v>
                </c:pt>
                <c:pt idx="17">
                  <c:v>404</c:v>
                </c:pt>
                <c:pt idx="18">
                  <c:v>404</c:v>
                </c:pt>
                <c:pt idx="19">
                  <c:v>404</c:v>
                </c:pt>
                <c:pt idx="20">
                  <c:v>404</c:v>
                </c:pt>
                <c:pt idx="21">
                  <c:v>404</c:v>
                </c:pt>
                <c:pt idx="22">
                  <c:v>404</c:v>
                </c:pt>
                <c:pt idx="23">
                  <c:v>404</c:v>
                </c:pt>
                <c:pt idx="24">
                  <c:v>404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C00-4DA7-B041-0EE18DBE67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Blad1!$CL$1</c:f>
              <c:strCache>
                <c:ptCount val="1"/>
                <c:pt idx="0">
                  <c:v>Boardposition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Blad1!$CL$2:$CL$26</c:f>
              <c:numCache>
                <c:formatCode>General</c:formatCode>
                <c:ptCount val="25"/>
                <c:pt idx="0">
                  <c:v>0</c:v>
                </c:pt>
                <c:pt idx="1">
                  <c:v>13</c:v>
                </c:pt>
                <c:pt idx="2">
                  <c:v>26</c:v>
                </c:pt>
                <c:pt idx="3">
                  <c:v>52</c:v>
                </c:pt>
                <c:pt idx="4">
                  <c:v>85</c:v>
                </c:pt>
                <c:pt idx="5">
                  <c:v>117</c:v>
                </c:pt>
                <c:pt idx="6">
                  <c:v>141</c:v>
                </c:pt>
                <c:pt idx="7">
                  <c:v>171</c:v>
                </c:pt>
                <c:pt idx="8">
                  <c:v>198</c:v>
                </c:pt>
                <c:pt idx="9">
                  <c:v>235</c:v>
                </c:pt>
                <c:pt idx="10">
                  <c:v>268</c:v>
                </c:pt>
                <c:pt idx="11">
                  <c:v>296</c:v>
                </c:pt>
                <c:pt idx="12">
                  <c:v>342</c:v>
                </c:pt>
                <c:pt idx="13">
                  <c:v>369</c:v>
                </c:pt>
                <c:pt idx="14">
                  <c:v>391</c:v>
                </c:pt>
                <c:pt idx="15">
                  <c:v>421</c:v>
                </c:pt>
                <c:pt idx="16">
                  <c:v>437</c:v>
                </c:pt>
                <c:pt idx="17">
                  <c:v>437</c:v>
                </c:pt>
                <c:pt idx="18">
                  <c:v>437</c:v>
                </c:pt>
                <c:pt idx="19">
                  <c:v>437</c:v>
                </c:pt>
                <c:pt idx="20">
                  <c:v>437</c:v>
                </c:pt>
                <c:pt idx="21">
                  <c:v>437</c:v>
                </c:pt>
                <c:pt idx="22">
                  <c:v>437</c:v>
                </c:pt>
                <c:pt idx="23">
                  <c:v>437</c:v>
                </c:pt>
                <c:pt idx="24">
                  <c:v>437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182-4B4C-A948-34CA961DE9CE}"/>
            </c:ext>
          </c:extLst>
        </c:ser>
        <c:ser>
          <c:idx val="1"/>
          <c:order val="1"/>
          <c:tx>
            <c:strRef>
              <c:f>Blad1!$CR$1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Blad1!$CR$2:$CR$26</c:f>
              <c:numCache>
                <c:formatCode>General</c:formatCode>
                <c:ptCount val="25"/>
                <c:pt idx="0">
                  <c:v>0</c:v>
                </c:pt>
                <c:pt idx="1">
                  <c:v>32</c:v>
                </c:pt>
                <c:pt idx="2">
                  <c:v>92</c:v>
                </c:pt>
                <c:pt idx="3">
                  <c:v>107</c:v>
                </c:pt>
                <c:pt idx="4">
                  <c:v>143</c:v>
                </c:pt>
                <c:pt idx="5">
                  <c:v>205</c:v>
                </c:pt>
                <c:pt idx="6">
                  <c:v>232</c:v>
                </c:pt>
                <c:pt idx="7">
                  <c:v>256</c:v>
                </c:pt>
                <c:pt idx="8">
                  <c:v>290</c:v>
                </c:pt>
                <c:pt idx="9">
                  <c:v>329</c:v>
                </c:pt>
                <c:pt idx="10">
                  <c:v>348</c:v>
                </c:pt>
                <c:pt idx="11">
                  <c:v>373</c:v>
                </c:pt>
                <c:pt idx="12">
                  <c:v>398</c:v>
                </c:pt>
                <c:pt idx="13">
                  <c:v>424</c:v>
                </c:pt>
                <c:pt idx="14">
                  <c:v>452</c:v>
                </c:pt>
                <c:pt idx="15">
                  <c:v>456</c:v>
                </c:pt>
                <c:pt idx="16">
                  <c:v>454</c:v>
                </c:pt>
                <c:pt idx="17">
                  <c:v>454</c:v>
                </c:pt>
                <c:pt idx="18">
                  <c:v>454</c:v>
                </c:pt>
                <c:pt idx="19">
                  <c:v>454</c:v>
                </c:pt>
                <c:pt idx="20">
                  <c:v>454</c:v>
                </c:pt>
                <c:pt idx="21">
                  <c:v>454</c:v>
                </c:pt>
                <c:pt idx="22">
                  <c:v>454</c:v>
                </c:pt>
                <c:pt idx="23">
                  <c:v>454</c:v>
                </c:pt>
                <c:pt idx="24">
                  <c:v>454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182-4B4C-A948-34CA961DE9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Blad1!$CX$1</c:f>
              <c:strCache>
                <c:ptCount val="1"/>
                <c:pt idx="0">
                  <c:v>Boardposition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Blad1!$CX$2:$CX$26</c:f>
              <c:numCache>
                <c:formatCode>General</c:formatCode>
                <c:ptCount val="25"/>
                <c:pt idx="0">
                  <c:v>0</c:v>
                </c:pt>
                <c:pt idx="1">
                  <c:v>5</c:v>
                </c:pt>
                <c:pt idx="2">
                  <c:v>51</c:v>
                </c:pt>
                <c:pt idx="3">
                  <c:v>99</c:v>
                </c:pt>
                <c:pt idx="4">
                  <c:v>114</c:v>
                </c:pt>
                <c:pt idx="5">
                  <c:v>130</c:v>
                </c:pt>
                <c:pt idx="6">
                  <c:v>248</c:v>
                </c:pt>
                <c:pt idx="7">
                  <c:v>285</c:v>
                </c:pt>
                <c:pt idx="8">
                  <c:v>315</c:v>
                </c:pt>
                <c:pt idx="9">
                  <c:v>360</c:v>
                </c:pt>
                <c:pt idx="10">
                  <c:v>404</c:v>
                </c:pt>
                <c:pt idx="11">
                  <c:v>429</c:v>
                </c:pt>
                <c:pt idx="12">
                  <c:v>450</c:v>
                </c:pt>
                <c:pt idx="13">
                  <c:v>470</c:v>
                </c:pt>
                <c:pt idx="14">
                  <c:v>479</c:v>
                </c:pt>
                <c:pt idx="15">
                  <c:v>496</c:v>
                </c:pt>
                <c:pt idx="16">
                  <c:v>496</c:v>
                </c:pt>
                <c:pt idx="17">
                  <c:v>496</c:v>
                </c:pt>
                <c:pt idx="18">
                  <c:v>496</c:v>
                </c:pt>
                <c:pt idx="19">
                  <c:v>496</c:v>
                </c:pt>
                <c:pt idx="20">
                  <c:v>496</c:v>
                </c:pt>
                <c:pt idx="21">
                  <c:v>496</c:v>
                </c:pt>
                <c:pt idx="22">
                  <c:v>496</c:v>
                </c:pt>
                <c:pt idx="23">
                  <c:v>496</c:v>
                </c:pt>
                <c:pt idx="24">
                  <c:v>496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A71-4408-80B8-42B817282D69}"/>
            </c:ext>
          </c:extLst>
        </c:ser>
        <c:ser>
          <c:idx val="1"/>
          <c:order val="1"/>
          <c:tx>
            <c:strRef>
              <c:f>Blad1!$DD$1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Blad1!$DD$2:$DD$26</c:f>
              <c:numCache>
                <c:formatCode>General</c:formatCode>
                <c:ptCount val="25"/>
                <c:pt idx="0">
                  <c:v>0</c:v>
                </c:pt>
                <c:pt idx="1">
                  <c:v>31</c:v>
                </c:pt>
                <c:pt idx="2">
                  <c:v>57</c:v>
                </c:pt>
                <c:pt idx="3">
                  <c:v>85</c:v>
                </c:pt>
                <c:pt idx="4">
                  <c:v>113</c:v>
                </c:pt>
                <c:pt idx="5">
                  <c:v>134</c:v>
                </c:pt>
                <c:pt idx="6">
                  <c:v>159</c:v>
                </c:pt>
                <c:pt idx="7">
                  <c:v>191</c:v>
                </c:pt>
                <c:pt idx="8">
                  <c:v>245</c:v>
                </c:pt>
                <c:pt idx="9">
                  <c:v>275</c:v>
                </c:pt>
                <c:pt idx="10">
                  <c:v>313</c:v>
                </c:pt>
                <c:pt idx="11">
                  <c:v>338</c:v>
                </c:pt>
                <c:pt idx="12">
                  <c:v>359</c:v>
                </c:pt>
                <c:pt idx="13">
                  <c:v>369</c:v>
                </c:pt>
                <c:pt idx="14">
                  <c:v>369</c:v>
                </c:pt>
                <c:pt idx="15">
                  <c:v>356</c:v>
                </c:pt>
                <c:pt idx="16">
                  <c:v>356</c:v>
                </c:pt>
                <c:pt idx="17">
                  <c:v>356</c:v>
                </c:pt>
                <c:pt idx="18">
                  <c:v>356</c:v>
                </c:pt>
                <c:pt idx="19">
                  <c:v>356</c:v>
                </c:pt>
                <c:pt idx="20">
                  <c:v>356</c:v>
                </c:pt>
                <c:pt idx="21">
                  <c:v>356</c:v>
                </c:pt>
                <c:pt idx="22">
                  <c:v>356</c:v>
                </c:pt>
                <c:pt idx="23">
                  <c:v>356</c:v>
                </c:pt>
                <c:pt idx="24">
                  <c:v>356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A71-4408-80B8-42B817282D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Blad1!$DJ$1</c:f>
              <c:strCache>
                <c:ptCount val="1"/>
                <c:pt idx="0">
                  <c:v>Boardposition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Blad1!$DJ$2:$DJ$26</c:f>
              <c:numCache>
                <c:formatCode>General</c:formatCode>
                <c:ptCount val="25"/>
                <c:pt idx="0">
                  <c:v>0</c:v>
                </c:pt>
                <c:pt idx="1">
                  <c:v>4</c:v>
                </c:pt>
                <c:pt idx="2">
                  <c:v>36</c:v>
                </c:pt>
                <c:pt idx="3">
                  <c:v>66</c:v>
                </c:pt>
                <c:pt idx="4">
                  <c:v>109</c:v>
                </c:pt>
                <c:pt idx="5">
                  <c:v>123</c:v>
                </c:pt>
                <c:pt idx="6">
                  <c:v>129</c:v>
                </c:pt>
                <c:pt idx="7">
                  <c:v>135</c:v>
                </c:pt>
                <c:pt idx="8">
                  <c:v>152</c:v>
                </c:pt>
                <c:pt idx="9">
                  <c:v>162</c:v>
                </c:pt>
                <c:pt idx="10">
                  <c:v>181</c:v>
                </c:pt>
                <c:pt idx="11">
                  <c:v>200</c:v>
                </c:pt>
                <c:pt idx="12">
                  <c:v>221</c:v>
                </c:pt>
                <c:pt idx="13">
                  <c:v>226</c:v>
                </c:pt>
                <c:pt idx="14">
                  <c:v>258</c:v>
                </c:pt>
                <c:pt idx="15">
                  <c:v>271</c:v>
                </c:pt>
                <c:pt idx="16">
                  <c:v>287</c:v>
                </c:pt>
                <c:pt idx="17">
                  <c:v>365</c:v>
                </c:pt>
                <c:pt idx="18">
                  <c:v>384</c:v>
                </c:pt>
                <c:pt idx="19">
                  <c:v>407</c:v>
                </c:pt>
                <c:pt idx="20">
                  <c:v>407</c:v>
                </c:pt>
                <c:pt idx="21">
                  <c:v>407</c:v>
                </c:pt>
                <c:pt idx="22">
                  <c:v>407</c:v>
                </c:pt>
                <c:pt idx="23">
                  <c:v>407</c:v>
                </c:pt>
                <c:pt idx="24">
                  <c:v>407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412-404A-8026-5E5E688261C7}"/>
            </c:ext>
          </c:extLst>
        </c:ser>
        <c:ser>
          <c:idx val="1"/>
          <c:order val="1"/>
          <c:tx>
            <c:strRef>
              <c:f>Blad1!$DP$1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Blad1!$DP$2:$DP$26</c:f>
              <c:numCache>
                <c:formatCode>General</c:formatCode>
                <c:ptCount val="25"/>
                <c:pt idx="0">
                  <c:v>0</c:v>
                </c:pt>
                <c:pt idx="1">
                  <c:v>16</c:v>
                </c:pt>
                <c:pt idx="2">
                  <c:v>50</c:v>
                </c:pt>
                <c:pt idx="3">
                  <c:v>65</c:v>
                </c:pt>
                <c:pt idx="4">
                  <c:v>110</c:v>
                </c:pt>
                <c:pt idx="5">
                  <c:v>137</c:v>
                </c:pt>
                <c:pt idx="6">
                  <c:v>176</c:v>
                </c:pt>
                <c:pt idx="7">
                  <c:v>189</c:v>
                </c:pt>
                <c:pt idx="8">
                  <c:v>206</c:v>
                </c:pt>
                <c:pt idx="9">
                  <c:v>212</c:v>
                </c:pt>
                <c:pt idx="10">
                  <c:v>252</c:v>
                </c:pt>
                <c:pt idx="11">
                  <c:v>270</c:v>
                </c:pt>
                <c:pt idx="12">
                  <c:v>282</c:v>
                </c:pt>
                <c:pt idx="13">
                  <c:v>306</c:v>
                </c:pt>
                <c:pt idx="14">
                  <c:v>336</c:v>
                </c:pt>
                <c:pt idx="15">
                  <c:v>355</c:v>
                </c:pt>
                <c:pt idx="16">
                  <c:v>379</c:v>
                </c:pt>
                <c:pt idx="17">
                  <c:v>399</c:v>
                </c:pt>
                <c:pt idx="18">
                  <c:v>411</c:v>
                </c:pt>
                <c:pt idx="19">
                  <c:v>407</c:v>
                </c:pt>
                <c:pt idx="20">
                  <c:v>407</c:v>
                </c:pt>
                <c:pt idx="21">
                  <c:v>407</c:v>
                </c:pt>
                <c:pt idx="22">
                  <c:v>407</c:v>
                </c:pt>
                <c:pt idx="23">
                  <c:v>407</c:v>
                </c:pt>
                <c:pt idx="24">
                  <c:v>407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412-404A-8026-5E5E688261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Blad1!$DV$1</c:f>
              <c:strCache>
                <c:ptCount val="1"/>
                <c:pt idx="0">
                  <c:v>Boardposition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Blad1!$DV$2:$DV$26</c:f>
              <c:numCache>
                <c:formatCode>General</c:formatCode>
                <c:ptCount val="25"/>
                <c:pt idx="0">
                  <c:v>0</c:v>
                </c:pt>
                <c:pt idx="1">
                  <c:v>11</c:v>
                </c:pt>
                <c:pt idx="2">
                  <c:v>59</c:v>
                </c:pt>
                <c:pt idx="3">
                  <c:v>91</c:v>
                </c:pt>
                <c:pt idx="4">
                  <c:v>117</c:v>
                </c:pt>
                <c:pt idx="5">
                  <c:v>146</c:v>
                </c:pt>
                <c:pt idx="6">
                  <c:v>217</c:v>
                </c:pt>
                <c:pt idx="7">
                  <c:v>278</c:v>
                </c:pt>
                <c:pt idx="8">
                  <c:v>336</c:v>
                </c:pt>
                <c:pt idx="9">
                  <c:v>398</c:v>
                </c:pt>
                <c:pt idx="10">
                  <c:v>435</c:v>
                </c:pt>
                <c:pt idx="11">
                  <c:v>456</c:v>
                </c:pt>
                <c:pt idx="12">
                  <c:v>478</c:v>
                </c:pt>
                <c:pt idx="13">
                  <c:v>500</c:v>
                </c:pt>
                <c:pt idx="14">
                  <c:v>530</c:v>
                </c:pt>
                <c:pt idx="15">
                  <c:v>539</c:v>
                </c:pt>
                <c:pt idx="16">
                  <c:v>539</c:v>
                </c:pt>
                <c:pt idx="17">
                  <c:v>539</c:v>
                </c:pt>
                <c:pt idx="18">
                  <c:v>538</c:v>
                </c:pt>
                <c:pt idx="19">
                  <c:v>538</c:v>
                </c:pt>
                <c:pt idx="20">
                  <c:v>538</c:v>
                </c:pt>
                <c:pt idx="21">
                  <c:v>538</c:v>
                </c:pt>
                <c:pt idx="22">
                  <c:v>538</c:v>
                </c:pt>
                <c:pt idx="23">
                  <c:v>538</c:v>
                </c:pt>
                <c:pt idx="24">
                  <c:v>538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1D7-4222-AA79-335CBA3B2E1C}"/>
            </c:ext>
          </c:extLst>
        </c:ser>
        <c:ser>
          <c:idx val="1"/>
          <c:order val="1"/>
          <c:tx>
            <c:strRef>
              <c:f>Blad1!$EB$1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Blad1!$EB$2:$EB$26</c:f>
              <c:numCache>
                <c:formatCode>General</c:formatCode>
                <c:ptCount val="25"/>
                <c:pt idx="0">
                  <c:v>0</c:v>
                </c:pt>
                <c:pt idx="1">
                  <c:v>22</c:v>
                </c:pt>
                <c:pt idx="2">
                  <c:v>57</c:v>
                </c:pt>
                <c:pt idx="3">
                  <c:v>95</c:v>
                </c:pt>
                <c:pt idx="4">
                  <c:v>134</c:v>
                </c:pt>
                <c:pt idx="5">
                  <c:v>185</c:v>
                </c:pt>
                <c:pt idx="6">
                  <c:v>218</c:v>
                </c:pt>
                <c:pt idx="7">
                  <c:v>235</c:v>
                </c:pt>
                <c:pt idx="8">
                  <c:v>262</c:v>
                </c:pt>
                <c:pt idx="9">
                  <c:v>280</c:v>
                </c:pt>
                <c:pt idx="10">
                  <c:v>305</c:v>
                </c:pt>
                <c:pt idx="11">
                  <c:v>315</c:v>
                </c:pt>
                <c:pt idx="12">
                  <c:v>327</c:v>
                </c:pt>
                <c:pt idx="13">
                  <c:v>339</c:v>
                </c:pt>
                <c:pt idx="14">
                  <c:v>348</c:v>
                </c:pt>
                <c:pt idx="15">
                  <c:v>355</c:v>
                </c:pt>
                <c:pt idx="16">
                  <c:v>361</c:v>
                </c:pt>
                <c:pt idx="17">
                  <c:v>361</c:v>
                </c:pt>
                <c:pt idx="18">
                  <c:v>360</c:v>
                </c:pt>
                <c:pt idx="19">
                  <c:v>360</c:v>
                </c:pt>
                <c:pt idx="20">
                  <c:v>360</c:v>
                </c:pt>
                <c:pt idx="21">
                  <c:v>360</c:v>
                </c:pt>
                <c:pt idx="22">
                  <c:v>360</c:v>
                </c:pt>
                <c:pt idx="23">
                  <c:v>360</c:v>
                </c:pt>
                <c:pt idx="24">
                  <c:v>360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1D7-4222-AA79-335CBA3B2E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Blad1!$EH$1</c:f>
              <c:strCache>
                <c:ptCount val="1"/>
                <c:pt idx="0">
                  <c:v>Boardposition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Blad1!$EH$2:$EH$26</c:f>
              <c:numCache>
                <c:formatCode>General</c:formatCode>
                <c:ptCount val="25"/>
                <c:pt idx="0">
                  <c:v>0</c:v>
                </c:pt>
                <c:pt idx="1">
                  <c:v>10</c:v>
                </c:pt>
                <c:pt idx="2">
                  <c:v>23</c:v>
                </c:pt>
                <c:pt idx="3">
                  <c:v>41</c:v>
                </c:pt>
                <c:pt idx="4">
                  <c:v>61</c:v>
                </c:pt>
                <c:pt idx="5">
                  <c:v>85</c:v>
                </c:pt>
                <c:pt idx="6">
                  <c:v>114</c:v>
                </c:pt>
                <c:pt idx="7">
                  <c:v>117</c:v>
                </c:pt>
                <c:pt idx="8">
                  <c:v>141</c:v>
                </c:pt>
                <c:pt idx="9">
                  <c:v>155</c:v>
                </c:pt>
                <c:pt idx="10">
                  <c:v>175</c:v>
                </c:pt>
                <c:pt idx="11">
                  <c:v>195</c:v>
                </c:pt>
                <c:pt idx="12">
                  <c:v>207</c:v>
                </c:pt>
                <c:pt idx="13">
                  <c:v>261</c:v>
                </c:pt>
                <c:pt idx="14">
                  <c:v>287</c:v>
                </c:pt>
                <c:pt idx="15">
                  <c:v>301</c:v>
                </c:pt>
                <c:pt idx="16">
                  <c:v>309</c:v>
                </c:pt>
                <c:pt idx="17">
                  <c:v>323</c:v>
                </c:pt>
                <c:pt idx="18">
                  <c:v>323</c:v>
                </c:pt>
                <c:pt idx="19">
                  <c:v>323</c:v>
                </c:pt>
                <c:pt idx="20">
                  <c:v>323</c:v>
                </c:pt>
                <c:pt idx="21">
                  <c:v>323</c:v>
                </c:pt>
                <c:pt idx="22">
                  <c:v>323</c:v>
                </c:pt>
                <c:pt idx="23">
                  <c:v>323</c:v>
                </c:pt>
                <c:pt idx="24">
                  <c:v>323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171-429D-B3BA-E83BC4832BD9}"/>
            </c:ext>
          </c:extLst>
        </c:ser>
        <c:ser>
          <c:idx val="1"/>
          <c:order val="1"/>
          <c:tx>
            <c:strRef>
              <c:f>Blad1!$EN$1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Blad1!$EN$2:$EN$26</c:f>
              <c:numCache>
                <c:formatCode>General</c:formatCode>
                <c:ptCount val="25"/>
                <c:pt idx="0">
                  <c:v>0</c:v>
                </c:pt>
                <c:pt idx="1">
                  <c:v>66</c:v>
                </c:pt>
                <c:pt idx="2">
                  <c:v>94</c:v>
                </c:pt>
                <c:pt idx="3">
                  <c:v>134</c:v>
                </c:pt>
                <c:pt idx="4">
                  <c:v>167</c:v>
                </c:pt>
                <c:pt idx="5">
                  <c:v>208</c:v>
                </c:pt>
                <c:pt idx="6">
                  <c:v>233</c:v>
                </c:pt>
                <c:pt idx="7">
                  <c:v>299</c:v>
                </c:pt>
                <c:pt idx="8">
                  <c:v>337</c:v>
                </c:pt>
                <c:pt idx="9">
                  <c:v>359</c:v>
                </c:pt>
                <c:pt idx="10">
                  <c:v>372</c:v>
                </c:pt>
                <c:pt idx="11">
                  <c:v>403</c:v>
                </c:pt>
                <c:pt idx="12">
                  <c:v>423</c:v>
                </c:pt>
                <c:pt idx="13">
                  <c:v>447</c:v>
                </c:pt>
                <c:pt idx="14">
                  <c:v>498</c:v>
                </c:pt>
                <c:pt idx="15">
                  <c:v>498</c:v>
                </c:pt>
                <c:pt idx="16">
                  <c:v>498</c:v>
                </c:pt>
                <c:pt idx="17">
                  <c:v>490</c:v>
                </c:pt>
                <c:pt idx="18">
                  <c:v>490</c:v>
                </c:pt>
                <c:pt idx="19">
                  <c:v>490</c:v>
                </c:pt>
                <c:pt idx="20">
                  <c:v>490</c:v>
                </c:pt>
                <c:pt idx="21">
                  <c:v>490</c:v>
                </c:pt>
                <c:pt idx="22">
                  <c:v>490</c:v>
                </c:pt>
                <c:pt idx="23">
                  <c:v>490</c:v>
                </c:pt>
                <c:pt idx="24">
                  <c:v>490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171-429D-B3BA-E83BC4832B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Blad1!$ET$1</c:f>
              <c:strCache>
                <c:ptCount val="1"/>
                <c:pt idx="0">
                  <c:v>Boardposition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Blad1!$ET$2:$ET$26</c:f>
              <c:numCache>
                <c:formatCode>General</c:formatCode>
                <c:ptCount val="25"/>
                <c:pt idx="0">
                  <c:v>0</c:v>
                </c:pt>
                <c:pt idx="1">
                  <c:v>11</c:v>
                </c:pt>
                <c:pt idx="2">
                  <c:v>53</c:v>
                </c:pt>
                <c:pt idx="3">
                  <c:v>91</c:v>
                </c:pt>
                <c:pt idx="4">
                  <c:v>118</c:v>
                </c:pt>
                <c:pt idx="5">
                  <c:v>145</c:v>
                </c:pt>
                <c:pt idx="6">
                  <c:v>171</c:v>
                </c:pt>
                <c:pt idx="7">
                  <c:v>192</c:v>
                </c:pt>
                <c:pt idx="8">
                  <c:v>225</c:v>
                </c:pt>
                <c:pt idx="9">
                  <c:v>237</c:v>
                </c:pt>
                <c:pt idx="10">
                  <c:v>276</c:v>
                </c:pt>
                <c:pt idx="11">
                  <c:v>291</c:v>
                </c:pt>
                <c:pt idx="12">
                  <c:v>313</c:v>
                </c:pt>
                <c:pt idx="13">
                  <c:v>345</c:v>
                </c:pt>
                <c:pt idx="14">
                  <c:v>377</c:v>
                </c:pt>
                <c:pt idx="15">
                  <c:v>404</c:v>
                </c:pt>
                <c:pt idx="16">
                  <c:v>404</c:v>
                </c:pt>
                <c:pt idx="17">
                  <c:v>404</c:v>
                </c:pt>
                <c:pt idx="18">
                  <c:v>396</c:v>
                </c:pt>
                <c:pt idx="19">
                  <c:v>396</c:v>
                </c:pt>
                <c:pt idx="20">
                  <c:v>396</c:v>
                </c:pt>
                <c:pt idx="21">
                  <c:v>396</c:v>
                </c:pt>
                <c:pt idx="22">
                  <c:v>396</c:v>
                </c:pt>
                <c:pt idx="23">
                  <c:v>396</c:v>
                </c:pt>
                <c:pt idx="24">
                  <c:v>396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E58-4C5A-8E5C-38E5CC3BFD86}"/>
            </c:ext>
          </c:extLst>
        </c:ser>
        <c:ser>
          <c:idx val="1"/>
          <c:order val="1"/>
          <c:tx>
            <c:strRef>
              <c:f>Blad1!$EZ$1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Blad1!$EZ$2:$EZ$26</c:f>
              <c:numCache>
                <c:formatCode>General</c:formatCode>
                <c:ptCount val="25"/>
                <c:pt idx="0">
                  <c:v>0</c:v>
                </c:pt>
                <c:pt idx="1">
                  <c:v>27</c:v>
                </c:pt>
                <c:pt idx="2">
                  <c:v>41</c:v>
                </c:pt>
                <c:pt idx="3">
                  <c:v>79</c:v>
                </c:pt>
                <c:pt idx="4">
                  <c:v>115</c:v>
                </c:pt>
                <c:pt idx="5">
                  <c:v>155</c:v>
                </c:pt>
                <c:pt idx="6">
                  <c:v>169</c:v>
                </c:pt>
                <c:pt idx="7">
                  <c:v>184</c:v>
                </c:pt>
                <c:pt idx="8">
                  <c:v>188</c:v>
                </c:pt>
                <c:pt idx="9">
                  <c:v>205</c:v>
                </c:pt>
                <c:pt idx="10">
                  <c:v>225</c:v>
                </c:pt>
                <c:pt idx="11">
                  <c:v>239</c:v>
                </c:pt>
                <c:pt idx="12">
                  <c:v>249</c:v>
                </c:pt>
                <c:pt idx="13">
                  <c:v>284</c:v>
                </c:pt>
                <c:pt idx="14">
                  <c:v>306</c:v>
                </c:pt>
                <c:pt idx="15">
                  <c:v>314</c:v>
                </c:pt>
                <c:pt idx="16">
                  <c:v>321</c:v>
                </c:pt>
                <c:pt idx="17">
                  <c:v>321</c:v>
                </c:pt>
                <c:pt idx="18">
                  <c:v>309</c:v>
                </c:pt>
                <c:pt idx="19">
                  <c:v>309</c:v>
                </c:pt>
                <c:pt idx="20">
                  <c:v>309</c:v>
                </c:pt>
                <c:pt idx="21">
                  <c:v>309</c:v>
                </c:pt>
                <c:pt idx="22">
                  <c:v>309</c:v>
                </c:pt>
                <c:pt idx="23">
                  <c:v>309</c:v>
                </c:pt>
                <c:pt idx="24">
                  <c:v>309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E58-4C5A-8E5C-38E5CC3BFD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Blad1!$FF$1</c:f>
              <c:strCache>
                <c:ptCount val="1"/>
                <c:pt idx="0">
                  <c:v>Boardposition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Blad1!$FF$2:$FF$26</c:f>
              <c:numCache>
                <c:formatCode>General</c:formatCode>
                <c:ptCount val="25"/>
                <c:pt idx="0">
                  <c:v>0</c:v>
                </c:pt>
                <c:pt idx="1">
                  <c:v>17</c:v>
                </c:pt>
                <c:pt idx="2">
                  <c:v>77</c:v>
                </c:pt>
                <c:pt idx="3">
                  <c:v>126</c:v>
                </c:pt>
                <c:pt idx="4">
                  <c:v>176</c:v>
                </c:pt>
                <c:pt idx="5">
                  <c:v>204</c:v>
                </c:pt>
                <c:pt idx="6">
                  <c:v>225</c:v>
                </c:pt>
                <c:pt idx="7">
                  <c:v>255</c:v>
                </c:pt>
                <c:pt idx="8">
                  <c:v>297</c:v>
                </c:pt>
                <c:pt idx="9">
                  <c:v>327</c:v>
                </c:pt>
                <c:pt idx="10">
                  <c:v>364</c:v>
                </c:pt>
                <c:pt idx="11">
                  <c:v>394</c:v>
                </c:pt>
                <c:pt idx="12">
                  <c:v>418</c:v>
                </c:pt>
                <c:pt idx="13">
                  <c:v>431</c:v>
                </c:pt>
                <c:pt idx="14">
                  <c:v>441</c:v>
                </c:pt>
                <c:pt idx="15">
                  <c:v>464</c:v>
                </c:pt>
                <c:pt idx="16">
                  <c:v>464</c:v>
                </c:pt>
                <c:pt idx="17">
                  <c:v>464</c:v>
                </c:pt>
                <c:pt idx="18">
                  <c:v>464</c:v>
                </c:pt>
                <c:pt idx="19">
                  <c:v>464</c:v>
                </c:pt>
                <c:pt idx="20">
                  <c:v>464</c:v>
                </c:pt>
                <c:pt idx="21">
                  <c:v>464</c:v>
                </c:pt>
                <c:pt idx="22">
                  <c:v>464</c:v>
                </c:pt>
                <c:pt idx="23">
                  <c:v>464</c:v>
                </c:pt>
                <c:pt idx="24">
                  <c:v>464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873-4975-9C6A-A2F8815AAF2D}"/>
            </c:ext>
          </c:extLst>
        </c:ser>
        <c:ser>
          <c:idx val="1"/>
          <c:order val="1"/>
          <c:tx>
            <c:strRef>
              <c:f>Blad1!$FL$1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Blad1!$FL$2:$FL$26</c:f>
              <c:numCache>
                <c:formatCode>General</c:formatCode>
                <c:ptCount val="25"/>
                <c:pt idx="0">
                  <c:v>0</c:v>
                </c:pt>
                <c:pt idx="1">
                  <c:v>24</c:v>
                </c:pt>
                <c:pt idx="2">
                  <c:v>52</c:v>
                </c:pt>
                <c:pt idx="3">
                  <c:v>82</c:v>
                </c:pt>
                <c:pt idx="4">
                  <c:v>142</c:v>
                </c:pt>
                <c:pt idx="5">
                  <c:v>175</c:v>
                </c:pt>
                <c:pt idx="6">
                  <c:v>209</c:v>
                </c:pt>
                <c:pt idx="7">
                  <c:v>303</c:v>
                </c:pt>
                <c:pt idx="8">
                  <c:v>328</c:v>
                </c:pt>
                <c:pt idx="9">
                  <c:v>358</c:v>
                </c:pt>
                <c:pt idx="10">
                  <c:v>378</c:v>
                </c:pt>
                <c:pt idx="11">
                  <c:v>402</c:v>
                </c:pt>
                <c:pt idx="12">
                  <c:v>462</c:v>
                </c:pt>
                <c:pt idx="13">
                  <c:v>462</c:v>
                </c:pt>
                <c:pt idx="14">
                  <c:v>462</c:v>
                </c:pt>
                <c:pt idx="15">
                  <c:v>449</c:v>
                </c:pt>
                <c:pt idx="16">
                  <c:v>449</c:v>
                </c:pt>
                <c:pt idx="17">
                  <c:v>449</c:v>
                </c:pt>
                <c:pt idx="18">
                  <c:v>449</c:v>
                </c:pt>
                <c:pt idx="19">
                  <c:v>449</c:v>
                </c:pt>
                <c:pt idx="20">
                  <c:v>449</c:v>
                </c:pt>
                <c:pt idx="21">
                  <c:v>449</c:v>
                </c:pt>
                <c:pt idx="22">
                  <c:v>449</c:v>
                </c:pt>
                <c:pt idx="23">
                  <c:v>449</c:v>
                </c:pt>
                <c:pt idx="24">
                  <c:v>449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873-4975-9C6A-A2F8815AAF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Blad1!$FR$1</c:f>
              <c:strCache>
                <c:ptCount val="1"/>
                <c:pt idx="0">
                  <c:v>Boardposition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Blad1!$FR$2:$FR$26</c:f>
              <c:numCache>
                <c:formatCode>General</c:formatCode>
                <c:ptCount val="25"/>
                <c:pt idx="0">
                  <c:v>0</c:v>
                </c:pt>
                <c:pt idx="1">
                  <c:v>72</c:v>
                </c:pt>
                <c:pt idx="2">
                  <c:v>118</c:v>
                </c:pt>
                <c:pt idx="3">
                  <c:v>180</c:v>
                </c:pt>
                <c:pt idx="4">
                  <c:v>198</c:v>
                </c:pt>
                <c:pt idx="5">
                  <c:v>246</c:v>
                </c:pt>
                <c:pt idx="6">
                  <c:v>272</c:v>
                </c:pt>
                <c:pt idx="7">
                  <c:v>308</c:v>
                </c:pt>
                <c:pt idx="8">
                  <c:v>350</c:v>
                </c:pt>
                <c:pt idx="9">
                  <c:v>387</c:v>
                </c:pt>
                <c:pt idx="10">
                  <c:v>437</c:v>
                </c:pt>
                <c:pt idx="11">
                  <c:v>456</c:v>
                </c:pt>
                <c:pt idx="12">
                  <c:v>476</c:v>
                </c:pt>
                <c:pt idx="13">
                  <c:v>458</c:v>
                </c:pt>
                <c:pt idx="14">
                  <c:v>458</c:v>
                </c:pt>
                <c:pt idx="15">
                  <c:v>458</c:v>
                </c:pt>
                <c:pt idx="16">
                  <c:v>458</c:v>
                </c:pt>
                <c:pt idx="17">
                  <c:v>458</c:v>
                </c:pt>
                <c:pt idx="18">
                  <c:v>458</c:v>
                </c:pt>
                <c:pt idx="19">
                  <c:v>458</c:v>
                </c:pt>
                <c:pt idx="20">
                  <c:v>458</c:v>
                </c:pt>
                <c:pt idx="21">
                  <c:v>458</c:v>
                </c:pt>
                <c:pt idx="22">
                  <c:v>458</c:v>
                </c:pt>
                <c:pt idx="23">
                  <c:v>458</c:v>
                </c:pt>
                <c:pt idx="24">
                  <c:v>458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41B-4CDA-A5FE-6C309FF93A55}"/>
            </c:ext>
          </c:extLst>
        </c:ser>
        <c:ser>
          <c:idx val="1"/>
          <c:order val="1"/>
          <c:tx>
            <c:strRef>
              <c:f>Blad1!$FX$1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Blad1!$FX$2:$FX$26</c:f>
              <c:numCache>
                <c:formatCode>General</c:formatCode>
                <c:ptCount val="25"/>
                <c:pt idx="0">
                  <c:v>0</c:v>
                </c:pt>
                <c:pt idx="1">
                  <c:v>59</c:v>
                </c:pt>
                <c:pt idx="2">
                  <c:v>101</c:v>
                </c:pt>
                <c:pt idx="3">
                  <c:v>168</c:v>
                </c:pt>
                <c:pt idx="4">
                  <c:v>200</c:v>
                </c:pt>
                <c:pt idx="5">
                  <c:v>225</c:v>
                </c:pt>
                <c:pt idx="6">
                  <c:v>251</c:v>
                </c:pt>
                <c:pt idx="7">
                  <c:v>291</c:v>
                </c:pt>
                <c:pt idx="8">
                  <c:v>326</c:v>
                </c:pt>
                <c:pt idx="9">
                  <c:v>369</c:v>
                </c:pt>
                <c:pt idx="10">
                  <c:v>403</c:v>
                </c:pt>
                <c:pt idx="11">
                  <c:v>428</c:v>
                </c:pt>
                <c:pt idx="12">
                  <c:v>484</c:v>
                </c:pt>
                <c:pt idx="13">
                  <c:v>502</c:v>
                </c:pt>
                <c:pt idx="14">
                  <c:v>502</c:v>
                </c:pt>
                <c:pt idx="15">
                  <c:v>502</c:v>
                </c:pt>
                <c:pt idx="16">
                  <c:v>502</c:v>
                </c:pt>
                <c:pt idx="17">
                  <c:v>502</c:v>
                </c:pt>
                <c:pt idx="18">
                  <c:v>502</c:v>
                </c:pt>
                <c:pt idx="19">
                  <c:v>502</c:v>
                </c:pt>
                <c:pt idx="20">
                  <c:v>502</c:v>
                </c:pt>
                <c:pt idx="21">
                  <c:v>502</c:v>
                </c:pt>
                <c:pt idx="22">
                  <c:v>502</c:v>
                </c:pt>
                <c:pt idx="23">
                  <c:v>502</c:v>
                </c:pt>
                <c:pt idx="24">
                  <c:v>502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41B-4CDA-A5FE-6C309FF93A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Blad1!$GD$1</c:f>
              <c:strCache>
                <c:ptCount val="1"/>
                <c:pt idx="0">
                  <c:v>Boardposition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Blad1!$GD$2:$GD$26</c:f>
              <c:numCache>
                <c:formatCode>General</c:formatCode>
                <c:ptCount val="25"/>
                <c:pt idx="0">
                  <c:v>0</c:v>
                </c:pt>
                <c:pt idx="1">
                  <c:v>16</c:v>
                </c:pt>
                <c:pt idx="2">
                  <c:v>52</c:v>
                </c:pt>
                <c:pt idx="3">
                  <c:v>77</c:v>
                </c:pt>
                <c:pt idx="4">
                  <c:v>95</c:v>
                </c:pt>
                <c:pt idx="5">
                  <c:v>124</c:v>
                </c:pt>
                <c:pt idx="6">
                  <c:v>172</c:v>
                </c:pt>
                <c:pt idx="7">
                  <c:v>204</c:v>
                </c:pt>
                <c:pt idx="8">
                  <c:v>222</c:v>
                </c:pt>
                <c:pt idx="9">
                  <c:v>292</c:v>
                </c:pt>
                <c:pt idx="10">
                  <c:v>317</c:v>
                </c:pt>
                <c:pt idx="11">
                  <c:v>383</c:v>
                </c:pt>
                <c:pt idx="12">
                  <c:v>401</c:v>
                </c:pt>
                <c:pt idx="13">
                  <c:v>413</c:v>
                </c:pt>
                <c:pt idx="14">
                  <c:v>424</c:v>
                </c:pt>
                <c:pt idx="15">
                  <c:v>429</c:v>
                </c:pt>
                <c:pt idx="16">
                  <c:v>429</c:v>
                </c:pt>
                <c:pt idx="17">
                  <c:v>421</c:v>
                </c:pt>
                <c:pt idx="18">
                  <c:v>421</c:v>
                </c:pt>
                <c:pt idx="19">
                  <c:v>421</c:v>
                </c:pt>
                <c:pt idx="20">
                  <c:v>421</c:v>
                </c:pt>
                <c:pt idx="21">
                  <c:v>421</c:v>
                </c:pt>
                <c:pt idx="22">
                  <c:v>421</c:v>
                </c:pt>
                <c:pt idx="23">
                  <c:v>421</c:v>
                </c:pt>
                <c:pt idx="24">
                  <c:v>421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335-444D-A423-B588FA084E71}"/>
            </c:ext>
          </c:extLst>
        </c:ser>
        <c:ser>
          <c:idx val="1"/>
          <c:order val="1"/>
          <c:tx>
            <c:strRef>
              <c:f>Blad1!$GJ$1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Blad1!$GJ$2:$GJ$26</c:f>
              <c:numCache>
                <c:formatCode>General</c:formatCode>
                <c:ptCount val="25"/>
                <c:pt idx="0">
                  <c:v>0</c:v>
                </c:pt>
                <c:pt idx="1">
                  <c:v>32</c:v>
                </c:pt>
                <c:pt idx="2">
                  <c:v>54</c:v>
                </c:pt>
                <c:pt idx="3">
                  <c:v>80</c:v>
                </c:pt>
                <c:pt idx="4">
                  <c:v>102</c:v>
                </c:pt>
                <c:pt idx="5">
                  <c:v>160</c:v>
                </c:pt>
                <c:pt idx="6">
                  <c:v>204</c:v>
                </c:pt>
                <c:pt idx="7">
                  <c:v>282</c:v>
                </c:pt>
                <c:pt idx="8">
                  <c:v>307</c:v>
                </c:pt>
                <c:pt idx="9">
                  <c:v>329</c:v>
                </c:pt>
                <c:pt idx="10">
                  <c:v>348</c:v>
                </c:pt>
                <c:pt idx="11">
                  <c:v>364</c:v>
                </c:pt>
                <c:pt idx="12">
                  <c:v>379</c:v>
                </c:pt>
                <c:pt idx="13">
                  <c:v>387</c:v>
                </c:pt>
                <c:pt idx="14">
                  <c:v>393</c:v>
                </c:pt>
                <c:pt idx="15">
                  <c:v>397</c:v>
                </c:pt>
                <c:pt idx="16">
                  <c:v>400</c:v>
                </c:pt>
                <c:pt idx="17">
                  <c:v>408</c:v>
                </c:pt>
                <c:pt idx="18">
                  <c:v>408</c:v>
                </c:pt>
                <c:pt idx="19">
                  <c:v>408</c:v>
                </c:pt>
                <c:pt idx="20">
                  <c:v>408</c:v>
                </c:pt>
                <c:pt idx="21">
                  <c:v>408</c:v>
                </c:pt>
                <c:pt idx="22">
                  <c:v>408</c:v>
                </c:pt>
                <c:pt idx="23">
                  <c:v>408</c:v>
                </c:pt>
                <c:pt idx="24">
                  <c:v>408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335-444D-A423-B588FA084E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Blad1!$GP$1</c:f>
              <c:strCache>
                <c:ptCount val="1"/>
                <c:pt idx="0">
                  <c:v>Boardposition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Blad1!$GP$2:$GP$26</c:f>
              <c:numCache>
                <c:formatCode>General</c:formatCode>
                <c:ptCount val="25"/>
                <c:pt idx="0">
                  <c:v>0</c:v>
                </c:pt>
                <c:pt idx="1">
                  <c:v>9</c:v>
                </c:pt>
                <c:pt idx="2">
                  <c:v>27</c:v>
                </c:pt>
                <c:pt idx="3">
                  <c:v>69</c:v>
                </c:pt>
                <c:pt idx="4">
                  <c:v>105</c:v>
                </c:pt>
                <c:pt idx="5">
                  <c:v>147</c:v>
                </c:pt>
                <c:pt idx="6">
                  <c:v>172</c:v>
                </c:pt>
                <c:pt idx="7">
                  <c:v>202</c:v>
                </c:pt>
                <c:pt idx="8">
                  <c:v>235</c:v>
                </c:pt>
                <c:pt idx="9">
                  <c:v>265</c:v>
                </c:pt>
                <c:pt idx="10">
                  <c:v>319</c:v>
                </c:pt>
                <c:pt idx="11">
                  <c:v>345</c:v>
                </c:pt>
                <c:pt idx="12">
                  <c:v>363</c:v>
                </c:pt>
                <c:pt idx="13">
                  <c:v>383</c:v>
                </c:pt>
                <c:pt idx="14">
                  <c:v>397</c:v>
                </c:pt>
                <c:pt idx="15">
                  <c:v>418</c:v>
                </c:pt>
                <c:pt idx="16">
                  <c:v>428</c:v>
                </c:pt>
                <c:pt idx="17">
                  <c:v>437</c:v>
                </c:pt>
                <c:pt idx="18">
                  <c:v>455</c:v>
                </c:pt>
                <c:pt idx="19">
                  <c:v>455</c:v>
                </c:pt>
                <c:pt idx="20">
                  <c:v>455</c:v>
                </c:pt>
                <c:pt idx="21">
                  <c:v>455</c:v>
                </c:pt>
                <c:pt idx="22">
                  <c:v>455</c:v>
                </c:pt>
                <c:pt idx="23">
                  <c:v>455</c:v>
                </c:pt>
                <c:pt idx="24">
                  <c:v>455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A75-4398-8842-E775F8FCB7D8}"/>
            </c:ext>
          </c:extLst>
        </c:ser>
        <c:ser>
          <c:idx val="1"/>
          <c:order val="1"/>
          <c:tx>
            <c:strRef>
              <c:f>Blad1!$GV$1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Blad1!$GV$2:$GV$26</c:f>
              <c:numCache>
                <c:formatCode>General</c:formatCode>
                <c:ptCount val="25"/>
                <c:pt idx="0">
                  <c:v>0</c:v>
                </c:pt>
                <c:pt idx="1">
                  <c:v>30</c:v>
                </c:pt>
                <c:pt idx="2">
                  <c:v>160</c:v>
                </c:pt>
                <c:pt idx="3">
                  <c:v>194</c:v>
                </c:pt>
                <c:pt idx="4">
                  <c:v>228</c:v>
                </c:pt>
                <c:pt idx="5">
                  <c:v>256</c:v>
                </c:pt>
                <c:pt idx="6">
                  <c:v>293</c:v>
                </c:pt>
                <c:pt idx="7">
                  <c:v>322</c:v>
                </c:pt>
                <c:pt idx="8">
                  <c:v>348</c:v>
                </c:pt>
                <c:pt idx="9">
                  <c:v>378</c:v>
                </c:pt>
                <c:pt idx="10">
                  <c:v>400</c:v>
                </c:pt>
                <c:pt idx="11">
                  <c:v>428</c:v>
                </c:pt>
                <c:pt idx="12">
                  <c:v>452</c:v>
                </c:pt>
                <c:pt idx="13">
                  <c:v>472</c:v>
                </c:pt>
                <c:pt idx="14">
                  <c:v>491</c:v>
                </c:pt>
                <c:pt idx="15">
                  <c:v>508</c:v>
                </c:pt>
                <c:pt idx="16">
                  <c:v>520</c:v>
                </c:pt>
                <c:pt idx="17">
                  <c:v>522</c:v>
                </c:pt>
                <c:pt idx="18">
                  <c:v>510</c:v>
                </c:pt>
                <c:pt idx="19">
                  <c:v>510</c:v>
                </c:pt>
                <c:pt idx="20">
                  <c:v>510</c:v>
                </c:pt>
                <c:pt idx="21">
                  <c:v>510</c:v>
                </c:pt>
                <c:pt idx="22">
                  <c:v>510</c:v>
                </c:pt>
                <c:pt idx="23">
                  <c:v>510</c:v>
                </c:pt>
                <c:pt idx="24">
                  <c:v>510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A75-4398-8842-E775F8FCB7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Blad1!$HB$1</c:f>
              <c:strCache>
                <c:ptCount val="1"/>
                <c:pt idx="0">
                  <c:v>Boardposition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Blad1!$HB$2:$HB$26</c:f>
              <c:numCache>
                <c:formatCode>General</c:formatCode>
                <c:ptCount val="25"/>
                <c:pt idx="0">
                  <c:v>0</c:v>
                </c:pt>
                <c:pt idx="1">
                  <c:v>11</c:v>
                </c:pt>
                <c:pt idx="2">
                  <c:v>45</c:v>
                </c:pt>
                <c:pt idx="3">
                  <c:v>82</c:v>
                </c:pt>
                <c:pt idx="4">
                  <c:v>98</c:v>
                </c:pt>
                <c:pt idx="5">
                  <c:v>120</c:v>
                </c:pt>
                <c:pt idx="6">
                  <c:v>149</c:v>
                </c:pt>
                <c:pt idx="7">
                  <c:v>173</c:v>
                </c:pt>
                <c:pt idx="8">
                  <c:v>187</c:v>
                </c:pt>
                <c:pt idx="9">
                  <c:v>281</c:v>
                </c:pt>
                <c:pt idx="10">
                  <c:v>315</c:v>
                </c:pt>
                <c:pt idx="11">
                  <c:v>347</c:v>
                </c:pt>
                <c:pt idx="12">
                  <c:v>360</c:v>
                </c:pt>
                <c:pt idx="13">
                  <c:v>373</c:v>
                </c:pt>
                <c:pt idx="14">
                  <c:v>417</c:v>
                </c:pt>
                <c:pt idx="15">
                  <c:v>517</c:v>
                </c:pt>
                <c:pt idx="16">
                  <c:v>517</c:v>
                </c:pt>
                <c:pt idx="17">
                  <c:v>517</c:v>
                </c:pt>
                <c:pt idx="18">
                  <c:v>517</c:v>
                </c:pt>
                <c:pt idx="19">
                  <c:v>517</c:v>
                </c:pt>
                <c:pt idx="20">
                  <c:v>517</c:v>
                </c:pt>
                <c:pt idx="21">
                  <c:v>517</c:v>
                </c:pt>
                <c:pt idx="22">
                  <c:v>517</c:v>
                </c:pt>
                <c:pt idx="23">
                  <c:v>517</c:v>
                </c:pt>
                <c:pt idx="24">
                  <c:v>517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BE7-452F-96D9-DFBFA8981C38}"/>
            </c:ext>
          </c:extLst>
        </c:ser>
        <c:ser>
          <c:idx val="1"/>
          <c:order val="1"/>
          <c:tx>
            <c:strRef>
              <c:f>Blad1!$HH$1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Blad1!$HH$2:$HH$26</c:f>
              <c:numCache>
                <c:formatCode>General</c:formatCode>
                <c:ptCount val="25"/>
                <c:pt idx="0">
                  <c:v>0</c:v>
                </c:pt>
                <c:pt idx="1">
                  <c:v>15</c:v>
                </c:pt>
                <c:pt idx="2">
                  <c:v>39</c:v>
                </c:pt>
                <c:pt idx="3">
                  <c:v>73</c:v>
                </c:pt>
                <c:pt idx="4">
                  <c:v>109</c:v>
                </c:pt>
                <c:pt idx="5">
                  <c:v>131</c:v>
                </c:pt>
                <c:pt idx="6">
                  <c:v>168</c:v>
                </c:pt>
                <c:pt idx="7">
                  <c:v>190</c:v>
                </c:pt>
                <c:pt idx="8">
                  <c:v>215</c:v>
                </c:pt>
                <c:pt idx="9">
                  <c:v>235</c:v>
                </c:pt>
                <c:pt idx="10">
                  <c:v>269</c:v>
                </c:pt>
                <c:pt idx="11">
                  <c:v>305</c:v>
                </c:pt>
                <c:pt idx="12">
                  <c:v>316</c:v>
                </c:pt>
                <c:pt idx="13">
                  <c:v>331</c:v>
                </c:pt>
                <c:pt idx="14">
                  <c:v>352</c:v>
                </c:pt>
                <c:pt idx="15">
                  <c:v>349</c:v>
                </c:pt>
                <c:pt idx="16">
                  <c:v>349</c:v>
                </c:pt>
                <c:pt idx="17">
                  <c:v>349</c:v>
                </c:pt>
                <c:pt idx="18">
                  <c:v>349</c:v>
                </c:pt>
                <c:pt idx="19">
                  <c:v>349</c:v>
                </c:pt>
                <c:pt idx="20">
                  <c:v>349</c:v>
                </c:pt>
                <c:pt idx="21">
                  <c:v>349</c:v>
                </c:pt>
                <c:pt idx="22">
                  <c:v>349</c:v>
                </c:pt>
                <c:pt idx="23">
                  <c:v>349</c:v>
                </c:pt>
                <c:pt idx="24">
                  <c:v>349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BE7-452F-96D9-DFBFA8981C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Blad1!$HN$1</c:f>
              <c:strCache>
                <c:ptCount val="1"/>
                <c:pt idx="0">
                  <c:v>Boardposition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Blad1!$HN$2:$HN$26</c:f>
              <c:numCache>
                <c:formatCode>General</c:formatCode>
                <c:ptCount val="25"/>
                <c:pt idx="0">
                  <c:v>0</c:v>
                </c:pt>
                <c:pt idx="1">
                  <c:v>11</c:v>
                </c:pt>
                <c:pt idx="2">
                  <c:v>48</c:v>
                </c:pt>
                <c:pt idx="3">
                  <c:v>75</c:v>
                </c:pt>
                <c:pt idx="4">
                  <c:v>111</c:v>
                </c:pt>
                <c:pt idx="5">
                  <c:v>133</c:v>
                </c:pt>
                <c:pt idx="6">
                  <c:v>169</c:v>
                </c:pt>
                <c:pt idx="7">
                  <c:v>199</c:v>
                </c:pt>
                <c:pt idx="8">
                  <c:v>246</c:v>
                </c:pt>
                <c:pt idx="9">
                  <c:v>270</c:v>
                </c:pt>
                <c:pt idx="10">
                  <c:v>300</c:v>
                </c:pt>
                <c:pt idx="11">
                  <c:v>323</c:v>
                </c:pt>
                <c:pt idx="12">
                  <c:v>383</c:v>
                </c:pt>
                <c:pt idx="13">
                  <c:v>404</c:v>
                </c:pt>
                <c:pt idx="14">
                  <c:v>430</c:v>
                </c:pt>
                <c:pt idx="15">
                  <c:v>430</c:v>
                </c:pt>
                <c:pt idx="16">
                  <c:v>430</c:v>
                </c:pt>
                <c:pt idx="17">
                  <c:v>430</c:v>
                </c:pt>
                <c:pt idx="18">
                  <c:v>430</c:v>
                </c:pt>
                <c:pt idx="19">
                  <c:v>430</c:v>
                </c:pt>
                <c:pt idx="20">
                  <c:v>430</c:v>
                </c:pt>
                <c:pt idx="21">
                  <c:v>430</c:v>
                </c:pt>
                <c:pt idx="22">
                  <c:v>430</c:v>
                </c:pt>
                <c:pt idx="23">
                  <c:v>430</c:v>
                </c:pt>
                <c:pt idx="24">
                  <c:v>430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ABC-44F1-95B9-B07D50C309FD}"/>
            </c:ext>
          </c:extLst>
        </c:ser>
        <c:ser>
          <c:idx val="1"/>
          <c:order val="1"/>
          <c:tx>
            <c:strRef>
              <c:f>Blad1!$HT$1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Blad1!$HT$2:$HT$26</c:f>
              <c:numCache>
                <c:formatCode>General</c:formatCode>
                <c:ptCount val="25"/>
                <c:pt idx="0">
                  <c:v>0</c:v>
                </c:pt>
                <c:pt idx="1">
                  <c:v>66</c:v>
                </c:pt>
                <c:pt idx="2">
                  <c:v>93</c:v>
                </c:pt>
                <c:pt idx="3">
                  <c:v>131</c:v>
                </c:pt>
                <c:pt idx="4">
                  <c:v>179</c:v>
                </c:pt>
                <c:pt idx="5">
                  <c:v>222</c:v>
                </c:pt>
                <c:pt idx="6">
                  <c:v>249</c:v>
                </c:pt>
                <c:pt idx="7">
                  <c:v>267</c:v>
                </c:pt>
                <c:pt idx="8">
                  <c:v>290</c:v>
                </c:pt>
                <c:pt idx="9">
                  <c:v>313</c:v>
                </c:pt>
                <c:pt idx="10">
                  <c:v>335</c:v>
                </c:pt>
                <c:pt idx="11">
                  <c:v>352</c:v>
                </c:pt>
                <c:pt idx="12">
                  <c:v>367</c:v>
                </c:pt>
                <c:pt idx="13">
                  <c:v>373</c:v>
                </c:pt>
                <c:pt idx="14">
                  <c:v>358</c:v>
                </c:pt>
                <c:pt idx="15">
                  <c:v>358</c:v>
                </c:pt>
                <c:pt idx="16">
                  <c:v>358</c:v>
                </c:pt>
                <c:pt idx="17">
                  <c:v>358</c:v>
                </c:pt>
                <c:pt idx="18">
                  <c:v>358</c:v>
                </c:pt>
                <c:pt idx="19">
                  <c:v>358</c:v>
                </c:pt>
                <c:pt idx="20">
                  <c:v>358</c:v>
                </c:pt>
                <c:pt idx="21">
                  <c:v>358</c:v>
                </c:pt>
                <c:pt idx="22">
                  <c:v>358</c:v>
                </c:pt>
                <c:pt idx="23">
                  <c:v>358</c:v>
                </c:pt>
                <c:pt idx="24">
                  <c:v>358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ABC-44F1-95B9-B07D50C309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Blad1!$HZ$1</c:f>
              <c:strCache>
                <c:ptCount val="1"/>
                <c:pt idx="0">
                  <c:v>Boardposition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Blad1!$HZ$2:$HZ$26</c:f>
              <c:numCache>
                <c:formatCode>General</c:formatCode>
                <c:ptCount val="25"/>
                <c:pt idx="0">
                  <c:v>0</c:v>
                </c:pt>
                <c:pt idx="1">
                  <c:v>9</c:v>
                </c:pt>
                <c:pt idx="2">
                  <c:v>32</c:v>
                </c:pt>
                <c:pt idx="3">
                  <c:v>69</c:v>
                </c:pt>
                <c:pt idx="4">
                  <c:v>146</c:v>
                </c:pt>
                <c:pt idx="5">
                  <c:v>185</c:v>
                </c:pt>
                <c:pt idx="6">
                  <c:v>213</c:v>
                </c:pt>
                <c:pt idx="7">
                  <c:v>236</c:v>
                </c:pt>
                <c:pt idx="8">
                  <c:v>301</c:v>
                </c:pt>
                <c:pt idx="9">
                  <c:v>329</c:v>
                </c:pt>
                <c:pt idx="10">
                  <c:v>358</c:v>
                </c:pt>
                <c:pt idx="11">
                  <c:v>375</c:v>
                </c:pt>
                <c:pt idx="12">
                  <c:v>398</c:v>
                </c:pt>
                <c:pt idx="13">
                  <c:v>418</c:v>
                </c:pt>
                <c:pt idx="14">
                  <c:v>435</c:v>
                </c:pt>
                <c:pt idx="15">
                  <c:v>441</c:v>
                </c:pt>
                <c:pt idx="16">
                  <c:v>441</c:v>
                </c:pt>
                <c:pt idx="17">
                  <c:v>431</c:v>
                </c:pt>
                <c:pt idx="18">
                  <c:v>431</c:v>
                </c:pt>
                <c:pt idx="19">
                  <c:v>431</c:v>
                </c:pt>
                <c:pt idx="20">
                  <c:v>431</c:v>
                </c:pt>
                <c:pt idx="21">
                  <c:v>431</c:v>
                </c:pt>
                <c:pt idx="22">
                  <c:v>431</c:v>
                </c:pt>
                <c:pt idx="23">
                  <c:v>431</c:v>
                </c:pt>
                <c:pt idx="24">
                  <c:v>431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60B-4010-A4C7-F9418B220FB8}"/>
            </c:ext>
          </c:extLst>
        </c:ser>
        <c:ser>
          <c:idx val="1"/>
          <c:order val="1"/>
          <c:tx>
            <c:strRef>
              <c:f>Blad1!$IF$1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Blad1!$IF$2:$IF$26</c:f>
              <c:numCache>
                <c:formatCode>General</c:formatCode>
                <c:ptCount val="25"/>
                <c:pt idx="0">
                  <c:v>0</c:v>
                </c:pt>
                <c:pt idx="1">
                  <c:v>24</c:v>
                </c:pt>
                <c:pt idx="2">
                  <c:v>98</c:v>
                </c:pt>
                <c:pt idx="3">
                  <c:v>125</c:v>
                </c:pt>
                <c:pt idx="4">
                  <c:v>160</c:v>
                </c:pt>
                <c:pt idx="5">
                  <c:v>200</c:v>
                </c:pt>
                <c:pt idx="6">
                  <c:v>226</c:v>
                </c:pt>
                <c:pt idx="7">
                  <c:v>252</c:v>
                </c:pt>
                <c:pt idx="8">
                  <c:v>280</c:v>
                </c:pt>
                <c:pt idx="9">
                  <c:v>304</c:v>
                </c:pt>
                <c:pt idx="10">
                  <c:v>344</c:v>
                </c:pt>
                <c:pt idx="11">
                  <c:v>376</c:v>
                </c:pt>
                <c:pt idx="12">
                  <c:v>423</c:v>
                </c:pt>
                <c:pt idx="13">
                  <c:v>435</c:v>
                </c:pt>
                <c:pt idx="14">
                  <c:v>445</c:v>
                </c:pt>
                <c:pt idx="15">
                  <c:v>452</c:v>
                </c:pt>
                <c:pt idx="16">
                  <c:v>457</c:v>
                </c:pt>
                <c:pt idx="17">
                  <c:v>467</c:v>
                </c:pt>
                <c:pt idx="18">
                  <c:v>467</c:v>
                </c:pt>
                <c:pt idx="19">
                  <c:v>467</c:v>
                </c:pt>
                <c:pt idx="20">
                  <c:v>467</c:v>
                </c:pt>
                <c:pt idx="21">
                  <c:v>467</c:v>
                </c:pt>
                <c:pt idx="22">
                  <c:v>467</c:v>
                </c:pt>
                <c:pt idx="23">
                  <c:v>467</c:v>
                </c:pt>
                <c:pt idx="24">
                  <c:v>467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60B-4010-A4C7-F9418B220F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Blad1!$IL$1</c:f>
              <c:strCache>
                <c:ptCount val="1"/>
                <c:pt idx="0">
                  <c:v>Boardposition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Blad1!$IL$2:$IL$26</c:f>
              <c:numCache>
                <c:formatCode>General</c:formatCode>
                <c:ptCount val="25"/>
                <c:pt idx="0">
                  <c:v>0</c:v>
                </c:pt>
                <c:pt idx="1">
                  <c:v>5</c:v>
                </c:pt>
                <c:pt idx="2">
                  <c:v>59</c:v>
                </c:pt>
                <c:pt idx="3">
                  <c:v>136</c:v>
                </c:pt>
                <c:pt idx="4">
                  <c:v>162</c:v>
                </c:pt>
                <c:pt idx="5">
                  <c:v>188</c:v>
                </c:pt>
                <c:pt idx="6">
                  <c:v>228</c:v>
                </c:pt>
                <c:pt idx="7">
                  <c:v>269</c:v>
                </c:pt>
                <c:pt idx="8">
                  <c:v>301</c:v>
                </c:pt>
                <c:pt idx="9">
                  <c:v>377</c:v>
                </c:pt>
                <c:pt idx="10">
                  <c:v>411</c:v>
                </c:pt>
                <c:pt idx="11">
                  <c:v>450</c:v>
                </c:pt>
                <c:pt idx="12">
                  <c:v>484</c:v>
                </c:pt>
                <c:pt idx="13">
                  <c:v>514</c:v>
                </c:pt>
                <c:pt idx="14">
                  <c:v>533</c:v>
                </c:pt>
                <c:pt idx="15">
                  <c:v>555</c:v>
                </c:pt>
                <c:pt idx="16">
                  <c:v>555</c:v>
                </c:pt>
                <c:pt idx="17">
                  <c:v>555</c:v>
                </c:pt>
                <c:pt idx="18">
                  <c:v>555</c:v>
                </c:pt>
                <c:pt idx="19">
                  <c:v>555</c:v>
                </c:pt>
                <c:pt idx="20">
                  <c:v>555</c:v>
                </c:pt>
                <c:pt idx="21">
                  <c:v>555</c:v>
                </c:pt>
                <c:pt idx="22">
                  <c:v>555</c:v>
                </c:pt>
                <c:pt idx="23">
                  <c:v>555</c:v>
                </c:pt>
                <c:pt idx="24">
                  <c:v>555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5F8-471F-B431-F063CB97A8AE}"/>
            </c:ext>
          </c:extLst>
        </c:ser>
        <c:ser>
          <c:idx val="1"/>
          <c:order val="1"/>
          <c:tx>
            <c:strRef>
              <c:f>Blad1!$IR$1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Blad1!$IR$2:$IR$26</c:f>
              <c:numCache>
                <c:formatCode>General</c:formatCode>
                <c:ptCount val="25"/>
                <c:pt idx="0">
                  <c:v>0</c:v>
                </c:pt>
                <c:pt idx="1">
                  <c:v>30</c:v>
                </c:pt>
                <c:pt idx="2">
                  <c:v>66</c:v>
                </c:pt>
                <c:pt idx="3">
                  <c:v>98</c:v>
                </c:pt>
                <c:pt idx="4">
                  <c:v>136</c:v>
                </c:pt>
                <c:pt idx="5">
                  <c:v>197</c:v>
                </c:pt>
                <c:pt idx="6">
                  <c:v>232</c:v>
                </c:pt>
                <c:pt idx="7">
                  <c:v>269</c:v>
                </c:pt>
                <c:pt idx="8">
                  <c:v>291</c:v>
                </c:pt>
                <c:pt idx="9">
                  <c:v>316</c:v>
                </c:pt>
                <c:pt idx="10">
                  <c:v>332</c:v>
                </c:pt>
                <c:pt idx="11">
                  <c:v>361</c:v>
                </c:pt>
                <c:pt idx="12">
                  <c:v>379</c:v>
                </c:pt>
                <c:pt idx="13">
                  <c:v>395</c:v>
                </c:pt>
                <c:pt idx="14">
                  <c:v>395</c:v>
                </c:pt>
                <c:pt idx="15">
                  <c:v>380</c:v>
                </c:pt>
                <c:pt idx="16">
                  <c:v>380</c:v>
                </c:pt>
                <c:pt idx="17">
                  <c:v>380</c:v>
                </c:pt>
                <c:pt idx="18">
                  <c:v>380</c:v>
                </c:pt>
                <c:pt idx="19">
                  <c:v>380</c:v>
                </c:pt>
                <c:pt idx="20">
                  <c:v>380</c:v>
                </c:pt>
                <c:pt idx="21">
                  <c:v>380</c:v>
                </c:pt>
                <c:pt idx="22">
                  <c:v>380</c:v>
                </c:pt>
                <c:pt idx="23">
                  <c:v>380</c:v>
                </c:pt>
                <c:pt idx="24">
                  <c:v>380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5F8-471F-B431-F063CB97A8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Blad1!$IX$1</c:f>
              <c:strCache>
                <c:ptCount val="1"/>
                <c:pt idx="0">
                  <c:v>Boardposition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Blad1!$IX$2:$IX$26</c:f>
              <c:numCache>
                <c:formatCode>General</c:formatCode>
                <c:ptCount val="25"/>
                <c:pt idx="0">
                  <c:v>0</c:v>
                </c:pt>
                <c:pt idx="1">
                  <c:v>11</c:v>
                </c:pt>
                <c:pt idx="2">
                  <c:v>34</c:v>
                </c:pt>
                <c:pt idx="3">
                  <c:v>56</c:v>
                </c:pt>
                <c:pt idx="4">
                  <c:v>84</c:v>
                </c:pt>
                <c:pt idx="5">
                  <c:v>105</c:v>
                </c:pt>
                <c:pt idx="6">
                  <c:v>158</c:v>
                </c:pt>
                <c:pt idx="7">
                  <c:v>187</c:v>
                </c:pt>
                <c:pt idx="8">
                  <c:v>213</c:v>
                </c:pt>
                <c:pt idx="9">
                  <c:v>244</c:v>
                </c:pt>
                <c:pt idx="10">
                  <c:v>269</c:v>
                </c:pt>
                <c:pt idx="11">
                  <c:v>295</c:v>
                </c:pt>
                <c:pt idx="12">
                  <c:v>326</c:v>
                </c:pt>
                <c:pt idx="13">
                  <c:v>341</c:v>
                </c:pt>
                <c:pt idx="14">
                  <c:v>358</c:v>
                </c:pt>
                <c:pt idx="15">
                  <c:v>371</c:v>
                </c:pt>
                <c:pt idx="16">
                  <c:v>378</c:v>
                </c:pt>
                <c:pt idx="17">
                  <c:v>376</c:v>
                </c:pt>
                <c:pt idx="18">
                  <c:v>376</c:v>
                </c:pt>
                <c:pt idx="19">
                  <c:v>376</c:v>
                </c:pt>
                <c:pt idx="20">
                  <c:v>376</c:v>
                </c:pt>
                <c:pt idx="21">
                  <c:v>376</c:v>
                </c:pt>
                <c:pt idx="22">
                  <c:v>376</c:v>
                </c:pt>
                <c:pt idx="23">
                  <c:v>376</c:v>
                </c:pt>
                <c:pt idx="24">
                  <c:v>376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32A-4781-AFF7-42A68270B41E}"/>
            </c:ext>
          </c:extLst>
        </c:ser>
        <c:ser>
          <c:idx val="1"/>
          <c:order val="1"/>
          <c:tx>
            <c:strRef>
              <c:f>Blad1!$JD$1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Blad1!$JD$2:$JD$26</c:f>
              <c:numCache>
                <c:formatCode>General</c:formatCode>
                <c:ptCount val="25"/>
                <c:pt idx="0">
                  <c:v>0</c:v>
                </c:pt>
                <c:pt idx="1">
                  <c:v>28</c:v>
                </c:pt>
                <c:pt idx="2">
                  <c:v>43</c:v>
                </c:pt>
                <c:pt idx="3">
                  <c:v>73</c:v>
                </c:pt>
                <c:pt idx="4">
                  <c:v>89</c:v>
                </c:pt>
                <c:pt idx="5">
                  <c:v>107</c:v>
                </c:pt>
                <c:pt idx="6">
                  <c:v>160</c:v>
                </c:pt>
                <c:pt idx="7">
                  <c:v>202</c:v>
                </c:pt>
                <c:pt idx="8">
                  <c:v>235</c:v>
                </c:pt>
                <c:pt idx="9">
                  <c:v>266</c:v>
                </c:pt>
                <c:pt idx="10">
                  <c:v>294</c:v>
                </c:pt>
                <c:pt idx="11">
                  <c:v>327</c:v>
                </c:pt>
                <c:pt idx="12">
                  <c:v>354</c:v>
                </c:pt>
                <c:pt idx="13">
                  <c:v>387</c:v>
                </c:pt>
                <c:pt idx="14">
                  <c:v>412</c:v>
                </c:pt>
                <c:pt idx="15">
                  <c:v>423</c:v>
                </c:pt>
                <c:pt idx="16">
                  <c:v>430</c:v>
                </c:pt>
                <c:pt idx="17">
                  <c:v>432</c:v>
                </c:pt>
                <c:pt idx="18">
                  <c:v>432</c:v>
                </c:pt>
                <c:pt idx="19">
                  <c:v>432</c:v>
                </c:pt>
                <c:pt idx="20">
                  <c:v>432</c:v>
                </c:pt>
                <c:pt idx="21">
                  <c:v>432</c:v>
                </c:pt>
                <c:pt idx="22">
                  <c:v>432</c:v>
                </c:pt>
                <c:pt idx="23">
                  <c:v>432</c:v>
                </c:pt>
                <c:pt idx="24">
                  <c:v>432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32A-4781-AFF7-42A68270B4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Blad1!$JJ$1</c:f>
              <c:strCache>
                <c:ptCount val="1"/>
                <c:pt idx="0">
                  <c:v>Boardposition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Blad1!$JJ$2:$JJ$26</c:f>
              <c:numCache>
                <c:formatCode>General</c:formatCode>
                <c:ptCount val="25"/>
                <c:pt idx="0">
                  <c:v>0</c:v>
                </c:pt>
                <c:pt idx="1">
                  <c:v>16</c:v>
                </c:pt>
                <c:pt idx="2">
                  <c:v>50</c:v>
                </c:pt>
                <c:pt idx="3">
                  <c:v>76</c:v>
                </c:pt>
                <c:pt idx="4">
                  <c:v>89</c:v>
                </c:pt>
                <c:pt idx="5">
                  <c:v>119</c:v>
                </c:pt>
                <c:pt idx="6">
                  <c:v>164</c:v>
                </c:pt>
                <c:pt idx="7">
                  <c:v>189</c:v>
                </c:pt>
                <c:pt idx="8">
                  <c:v>203</c:v>
                </c:pt>
                <c:pt idx="9">
                  <c:v>224</c:v>
                </c:pt>
                <c:pt idx="10">
                  <c:v>239</c:v>
                </c:pt>
                <c:pt idx="11">
                  <c:v>259</c:v>
                </c:pt>
                <c:pt idx="12">
                  <c:v>264</c:v>
                </c:pt>
                <c:pt idx="13">
                  <c:v>268</c:v>
                </c:pt>
                <c:pt idx="14">
                  <c:v>286</c:v>
                </c:pt>
                <c:pt idx="15">
                  <c:v>298</c:v>
                </c:pt>
                <c:pt idx="16">
                  <c:v>309</c:v>
                </c:pt>
                <c:pt idx="17">
                  <c:v>322</c:v>
                </c:pt>
                <c:pt idx="18">
                  <c:v>360</c:v>
                </c:pt>
                <c:pt idx="19">
                  <c:v>370</c:v>
                </c:pt>
                <c:pt idx="20">
                  <c:v>380</c:v>
                </c:pt>
                <c:pt idx="21">
                  <c:v>384</c:v>
                </c:pt>
                <c:pt idx="22">
                  <c:v>384</c:v>
                </c:pt>
                <c:pt idx="23">
                  <c:v>380</c:v>
                </c:pt>
                <c:pt idx="24">
                  <c:v>380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FDD-45FF-B41C-E8794039629B}"/>
            </c:ext>
          </c:extLst>
        </c:ser>
        <c:ser>
          <c:idx val="1"/>
          <c:order val="1"/>
          <c:tx>
            <c:strRef>
              <c:f>Blad1!$JP$1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Blad1!$JP$2:$JP$26</c:f>
              <c:numCache>
                <c:formatCode>General</c:formatCode>
                <c:ptCount val="25"/>
                <c:pt idx="0">
                  <c:v>0</c:v>
                </c:pt>
                <c:pt idx="1">
                  <c:v>22</c:v>
                </c:pt>
                <c:pt idx="2">
                  <c:v>47</c:v>
                </c:pt>
                <c:pt idx="3">
                  <c:v>70</c:v>
                </c:pt>
                <c:pt idx="4">
                  <c:v>90</c:v>
                </c:pt>
                <c:pt idx="5">
                  <c:v>109</c:v>
                </c:pt>
                <c:pt idx="6">
                  <c:v>151</c:v>
                </c:pt>
                <c:pt idx="7">
                  <c:v>195</c:v>
                </c:pt>
                <c:pt idx="8">
                  <c:v>211</c:v>
                </c:pt>
                <c:pt idx="9">
                  <c:v>230</c:v>
                </c:pt>
                <c:pt idx="10">
                  <c:v>248</c:v>
                </c:pt>
                <c:pt idx="11">
                  <c:v>271</c:v>
                </c:pt>
                <c:pt idx="12">
                  <c:v>277</c:v>
                </c:pt>
                <c:pt idx="13">
                  <c:v>277</c:v>
                </c:pt>
                <c:pt idx="14">
                  <c:v>277</c:v>
                </c:pt>
                <c:pt idx="15">
                  <c:v>284</c:v>
                </c:pt>
                <c:pt idx="16">
                  <c:v>299</c:v>
                </c:pt>
                <c:pt idx="17">
                  <c:v>313</c:v>
                </c:pt>
                <c:pt idx="18">
                  <c:v>321</c:v>
                </c:pt>
                <c:pt idx="19">
                  <c:v>343</c:v>
                </c:pt>
                <c:pt idx="20">
                  <c:v>361</c:v>
                </c:pt>
                <c:pt idx="21">
                  <c:v>364</c:v>
                </c:pt>
                <c:pt idx="22">
                  <c:v>364</c:v>
                </c:pt>
                <c:pt idx="23">
                  <c:v>362</c:v>
                </c:pt>
                <c:pt idx="24">
                  <c:v>362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FDD-45FF-B41C-E879403962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Blad1!$JV$1</c:f>
              <c:strCache>
                <c:ptCount val="1"/>
                <c:pt idx="0">
                  <c:v>Boardposition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Blad1!$JV$2:$JV$26</c:f>
              <c:numCache>
                <c:formatCode>General</c:formatCode>
                <c:ptCount val="25"/>
                <c:pt idx="0">
                  <c:v>0</c:v>
                </c:pt>
                <c:pt idx="1">
                  <c:v>11</c:v>
                </c:pt>
                <c:pt idx="2">
                  <c:v>41</c:v>
                </c:pt>
                <c:pt idx="3">
                  <c:v>75</c:v>
                </c:pt>
                <c:pt idx="4">
                  <c:v>87</c:v>
                </c:pt>
                <c:pt idx="5">
                  <c:v>103</c:v>
                </c:pt>
                <c:pt idx="6">
                  <c:v>133</c:v>
                </c:pt>
                <c:pt idx="7">
                  <c:v>149</c:v>
                </c:pt>
                <c:pt idx="8">
                  <c:v>167</c:v>
                </c:pt>
                <c:pt idx="9">
                  <c:v>196</c:v>
                </c:pt>
                <c:pt idx="10">
                  <c:v>223</c:v>
                </c:pt>
                <c:pt idx="11">
                  <c:v>241</c:v>
                </c:pt>
                <c:pt idx="12">
                  <c:v>286</c:v>
                </c:pt>
                <c:pt idx="13">
                  <c:v>295</c:v>
                </c:pt>
                <c:pt idx="14">
                  <c:v>309</c:v>
                </c:pt>
                <c:pt idx="15">
                  <c:v>333</c:v>
                </c:pt>
                <c:pt idx="16">
                  <c:v>366</c:v>
                </c:pt>
                <c:pt idx="17">
                  <c:v>384</c:v>
                </c:pt>
                <c:pt idx="18">
                  <c:v>390</c:v>
                </c:pt>
                <c:pt idx="19">
                  <c:v>407</c:v>
                </c:pt>
                <c:pt idx="20">
                  <c:v>407</c:v>
                </c:pt>
                <c:pt idx="21">
                  <c:v>407</c:v>
                </c:pt>
                <c:pt idx="22">
                  <c:v>407</c:v>
                </c:pt>
                <c:pt idx="23">
                  <c:v>407</c:v>
                </c:pt>
                <c:pt idx="24">
                  <c:v>407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2FE-4F65-A8DA-47C7C5DC6501}"/>
            </c:ext>
          </c:extLst>
        </c:ser>
        <c:ser>
          <c:idx val="1"/>
          <c:order val="1"/>
          <c:tx>
            <c:strRef>
              <c:f>Blad1!$KB$1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Blad1!$KB$2:$KB$26</c:f>
              <c:numCache>
                <c:formatCode>General</c:formatCode>
                <c:ptCount val="25"/>
                <c:pt idx="0">
                  <c:v>0</c:v>
                </c:pt>
                <c:pt idx="1">
                  <c:v>34</c:v>
                </c:pt>
                <c:pt idx="2">
                  <c:v>91</c:v>
                </c:pt>
                <c:pt idx="3">
                  <c:v>129</c:v>
                </c:pt>
                <c:pt idx="4">
                  <c:v>155</c:v>
                </c:pt>
                <c:pt idx="5">
                  <c:v>179</c:v>
                </c:pt>
                <c:pt idx="6">
                  <c:v>213</c:v>
                </c:pt>
                <c:pt idx="7">
                  <c:v>253</c:v>
                </c:pt>
                <c:pt idx="8">
                  <c:v>285</c:v>
                </c:pt>
                <c:pt idx="9">
                  <c:v>318</c:v>
                </c:pt>
                <c:pt idx="10">
                  <c:v>350</c:v>
                </c:pt>
                <c:pt idx="11">
                  <c:v>358</c:v>
                </c:pt>
                <c:pt idx="12">
                  <c:v>368</c:v>
                </c:pt>
                <c:pt idx="13">
                  <c:v>378</c:v>
                </c:pt>
                <c:pt idx="14">
                  <c:v>389</c:v>
                </c:pt>
                <c:pt idx="15">
                  <c:v>403</c:v>
                </c:pt>
                <c:pt idx="16">
                  <c:v>414</c:v>
                </c:pt>
                <c:pt idx="17">
                  <c:v>421</c:v>
                </c:pt>
                <c:pt idx="18">
                  <c:v>426</c:v>
                </c:pt>
                <c:pt idx="19">
                  <c:v>413</c:v>
                </c:pt>
                <c:pt idx="20">
                  <c:v>413</c:v>
                </c:pt>
                <c:pt idx="21">
                  <c:v>413</c:v>
                </c:pt>
                <c:pt idx="22">
                  <c:v>413</c:v>
                </c:pt>
                <c:pt idx="23">
                  <c:v>413</c:v>
                </c:pt>
                <c:pt idx="24">
                  <c:v>413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2FE-4F65-A8DA-47C7C5DC65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Blad1!$KH$1</c:f>
              <c:strCache>
                <c:ptCount val="1"/>
                <c:pt idx="0">
                  <c:v>Boardposition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Blad1!$KH$2:$KH$26</c:f>
              <c:numCache>
                <c:formatCode>General</c:formatCode>
                <c:ptCount val="25"/>
                <c:pt idx="0">
                  <c:v>0</c:v>
                </c:pt>
                <c:pt idx="1">
                  <c:v>9</c:v>
                </c:pt>
                <c:pt idx="2">
                  <c:v>14</c:v>
                </c:pt>
                <c:pt idx="3">
                  <c:v>26</c:v>
                </c:pt>
                <c:pt idx="4">
                  <c:v>38</c:v>
                </c:pt>
                <c:pt idx="5">
                  <c:v>92</c:v>
                </c:pt>
                <c:pt idx="6">
                  <c:v>110</c:v>
                </c:pt>
                <c:pt idx="7">
                  <c:v>122</c:v>
                </c:pt>
                <c:pt idx="8">
                  <c:v>132</c:v>
                </c:pt>
                <c:pt idx="9">
                  <c:v>143</c:v>
                </c:pt>
                <c:pt idx="10">
                  <c:v>167</c:v>
                </c:pt>
                <c:pt idx="11">
                  <c:v>190</c:v>
                </c:pt>
                <c:pt idx="12">
                  <c:v>216</c:v>
                </c:pt>
                <c:pt idx="13">
                  <c:v>237</c:v>
                </c:pt>
                <c:pt idx="14">
                  <c:v>259</c:v>
                </c:pt>
                <c:pt idx="15">
                  <c:v>285</c:v>
                </c:pt>
                <c:pt idx="16">
                  <c:v>300</c:v>
                </c:pt>
                <c:pt idx="17">
                  <c:v>325</c:v>
                </c:pt>
                <c:pt idx="18">
                  <c:v>343</c:v>
                </c:pt>
                <c:pt idx="19">
                  <c:v>340</c:v>
                </c:pt>
                <c:pt idx="20">
                  <c:v>340</c:v>
                </c:pt>
                <c:pt idx="21">
                  <c:v>340</c:v>
                </c:pt>
                <c:pt idx="22">
                  <c:v>340</c:v>
                </c:pt>
                <c:pt idx="23">
                  <c:v>340</c:v>
                </c:pt>
                <c:pt idx="24">
                  <c:v>340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953-40E0-A036-E3793911A3AC}"/>
            </c:ext>
          </c:extLst>
        </c:ser>
        <c:ser>
          <c:idx val="1"/>
          <c:order val="1"/>
          <c:tx>
            <c:strRef>
              <c:f>Blad1!$KN$1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Blad1!$KN$2:$KN$26</c:f>
              <c:numCache>
                <c:formatCode>General</c:formatCode>
                <c:ptCount val="25"/>
                <c:pt idx="0">
                  <c:v>0</c:v>
                </c:pt>
                <c:pt idx="1">
                  <c:v>29</c:v>
                </c:pt>
                <c:pt idx="2">
                  <c:v>53</c:v>
                </c:pt>
                <c:pt idx="3">
                  <c:v>93</c:v>
                </c:pt>
                <c:pt idx="4">
                  <c:v>131</c:v>
                </c:pt>
                <c:pt idx="5">
                  <c:v>175</c:v>
                </c:pt>
                <c:pt idx="6">
                  <c:v>203</c:v>
                </c:pt>
                <c:pt idx="7">
                  <c:v>239</c:v>
                </c:pt>
                <c:pt idx="8">
                  <c:v>283</c:v>
                </c:pt>
                <c:pt idx="9">
                  <c:v>307</c:v>
                </c:pt>
                <c:pt idx="10">
                  <c:v>335</c:v>
                </c:pt>
                <c:pt idx="11">
                  <c:v>356</c:v>
                </c:pt>
                <c:pt idx="12">
                  <c:v>408</c:v>
                </c:pt>
                <c:pt idx="13">
                  <c:v>430</c:v>
                </c:pt>
                <c:pt idx="14">
                  <c:v>463</c:v>
                </c:pt>
                <c:pt idx="15">
                  <c:v>483</c:v>
                </c:pt>
                <c:pt idx="16">
                  <c:v>519</c:v>
                </c:pt>
                <c:pt idx="17">
                  <c:v>537</c:v>
                </c:pt>
                <c:pt idx="18">
                  <c:v>561</c:v>
                </c:pt>
                <c:pt idx="19">
                  <c:v>564</c:v>
                </c:pt>
                <c:pt idx="20">
                  <c:v>564</c:v>
                </c:pt>
                <c:pt idx="21">
                  <c:v>564</c:v>
                </c:pt>
                <c:pt idx="22">
                  <c:v>564</c:v>
                </c:pt>
                <c:pt idx="23">
                  <c:v>564</c:v>
                </c:pt>
                <c:pt idx="24">
                  <c:v>564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953-40E0-A036-E3793911A3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Blad1!$KT$1</c:f>
              <c:strCache>
                <c:ptCount val="1"/>
                <c:pt idx="0">
                  <c:v>Boardposition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Blad1!$KT$2:$KT$26</c:f>
              <c:numCache>
                <c:formatCode>General</c:formatCode>
                <c:ptCount val="25"/>
                <c:pt idx="0">
                  <c:v>0</c:v>
                </c:pt>
                <c:pt idx="1">
                  <c:v>66</c:v>
                </c:pt>
                <c:pt idx="2">
                  <c:v>99</c:v>
                </c:pt>
                <c:pt idx="3">
                  <c:v>117</c:v>
                </c:pt>
                <c:pt idx="4">
                  <c:v>213</c:v>
                </c:pt>
                <c:pt idx="5">
                  <c:v>271</c:v>
                </c:pt>
                <c:pt idx="6">
                  <c:v>322</c:v>
                </c:pt>
                <c:pt idx="7">
                  <c:v>360</c:v>
                </c:pt>
                <c:pt idx="8">
                  <c:v>386</c:v>
                </c:pt>
                <c:pt idx="9">
                  <c:v>407</c:v>
                </c:pt>
                <c:pt idx="10">
                  <c:v>431</c:v>
                </c:pt>
                <c:pt idx="11">
                  <c:v>456</c:v>
                </c:pt>
                <c:pt idx="12">
                  <c:v>476</c:v>
                </c:pt>
                <c:pt idx="13">
                  <c:v>499</c:v>
                </c:pt>
                <c:pt idx="14">
                  <c:v>521</c:v>
                </c:pt>
                <c:pt idx="15">
                  <c:v>521</c:v>
                </c:pt>
                <c:pt idx="16">
                  <c:v>521</c:v>
                </c:pt>
                <c:pt idx="17">
                  <c:v>521</c:v>
                </c:pt>
                <c:pt idx="18">
                  <c:v>521</c:v>
                </c:pt>
                <c:pt idx="19">
                  <c:v>521</c:v>
                </c:pt>
                <c:pt idx="20">
                  <c:v>521</c:v>
                </c:pt>
                <c:pt idx="21">
                  <c:v>521</c:v>
                </c:pt>
                <c:pt idx="22">
                  <c:v>521</c:v>
                </c:pt>
                <c:pt idx="23">
                  <c:v>521</c:v>
                </c:pt>
                <c:pt idx="24">
                  <c:v>521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C18-466C-AEA3-8F0641871AC2}"/>
            </c:ext>
          </c:extLst>
        </c:ser>
        <c:ser>
          <c:idx val="1"/>
          <c:order val="1"/>
          <c:tx>
            <c:strRef>
              <c:f>Blad1!$KZ$1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Blad1!$KZ$2:$KZ$26</c:f>
              <c:numCache>
                <c:formatCode>General</c:formatCode>
                <c:ptCount val="25"/>
                <c:pt idx="0">
                  <c:v>0</c:v>
                </c:pt>
                <c:pt idx="1">
                  <c:v>36</c:v>
                </c:pt>
                <c:pt idx="2">
                  <c:v>65</c:v>
                </c:pt>
                <c:pt idx="3">
                  <c:v>115</c:v>
                </c:pt>
                <c:pt idx="4">
                  <c:v>143</c:v>
                </c:pt>
                <c:pt idx="5">
                  <c:v>201</c:v>
                </c:pt>
                <c:pt idx="6">
                  <c:v>236</c:v>
                </c:pt>
                <c:pt idx="7">
                  <c:v>256</c:v>
                </c:pt>
                <c:pt idx="8">
                  <c:v>277</c:v>
                </c:pt>
                <c:pt idx="9">
                  <c:v>300</c:v>
                </c:pt>
                <c:pt idx="10">
                  <c:v>316</c:v>
                </c:pt>
                <c:pt idx="11">
                  <c:v>382</c:v>
                </c:pt>
                <c:pt idx="12">
                  <c:v>389</c:v>
                </c:pt>
                <c:pt idx="13">
                  <c:v>389</c:v>
                </c:pt>
                <c:pt idx="14">
                  <c:v>379</c:v>
                </c:pt>
                <c:pt idx="15">
                  <c:v>379</c:v>
                </c:pt>
                <c:pt idx="16">
                  <c:v>379</c:v>
                </c:pt>
                <c:pt idx="17">
                  <c:v>379</c:v>
                </c:pt>
                <c:pt idx="18">
                  <c:v>379</c:v>
                </c:pt>
                <c:pt idx="19">
                  <c:v>379</c:v>
                </c:pt>
                <c:pt idx="20">
                  <c:v>379</c:v>
                </c:pt>
                <c:pt idx="21">
                  <c:v>379</c:v>
                </c:pt>
                <c:pt idx="22">
                  <c:v>379</c:v>
                </c:pt>
                <c:pt idx="23">
                  <c:v>379</c:v>
                </c:pt>
                <c:pt idx="24">
                  <c:v>379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C18-466C-AEA3-8F0641871A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Blad1!$LF$1</c:f>
              <c:strCache>
                <c:ptCount val="1"/>
                <c:pt idx="0">
                  <c:v>Boardposition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Blad1!$LF$2:$LF$26</c:f>
              <c:numCache>
                <c:formatCode>General</c:formatCode>
                <c:ptCount val="25"/>
                <c:pt idx="0">
                  <c:v>0</c:v>
                </c:pt>
                <c:pt idx="1">
                  <c:v>19</c:v>
                </c:pt>
                <c:pt idx="2">
                  <c:v>91</c:v>
                </c:pt>
                <c:pt idx="3">
                  <c:v>110</c:v>
                </c:pt>
                <c:pt idx="4">
                  <c:v>132</c:v>
                </c:pt>
                <c:pt idx="5">
                  <c:v>158</c:v>
                </c:pt>
                <c:pt idx="6">
                  <c:v>174</c:v>
                </c:pt>
                <c:pt idx="7">
                  <c:v>198</c:v>
                </c:pt>
                <c:pt idx="8">
                  <c:v>220</c:v>
                </c:pt>
                <c:pt idx="9">
                  <c:v>297</c:v>
                </c:pt>
                <c:pt idx="10">
                  <c:v>327</c:v>
                </c:pt>
                <c:pt idx="11">
                  <c:v>344</c:v>
                </c:pt>
                <c:pt idx="12">
                  <c:v>376</c:v>
                </c:pt>
                <c:pt idx="13">
                  <c:v>393</c:v>
                </c:pt>
                <c:pt idx="14">
                  <c:v>418</c:v>
                </c:pt>
                <c:pt idx="15">
                  <c:v>423</c:v>
                </c:pt>
                <c:pt idx="16">
                  <c:v>412</c:v>
                </c:pt>
                <c:pt idx="17">
                  <c:v>412</c:v>
                </c:pt>
                <c:pt idx="18">
                  <c:v>412</c:v>
                </c:pt>
                <c:pt idx="19">
                  <c:v>412</c:v>
                </c:pt>
                <c:pt idx="20">
                  <c:v>412</c:v>
                </c:pt>
                <c:pt idx="21">
                  <c:v>412</c:v>
                </c:pt>
                <c:pt idx="22">
                  <c:v>412</c:v>
                </c:pt>
                <c:pt idx="23">
                  <c:v>412</c:v>
                </c:pt>
                <c:pt idx="24">
                  <c:v>412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27E-4412-9AF6-D9EF88822250}"/>
            </c:ext>
          </c:extLst>
        </c:ser>
        <c:ser>
          <c:idx val="1"/>
          <c:order val="1"/>
          <c:tx>
            <c:strRef>
              <c:f>Blad1!$LL$1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Blad1!$LL$2:$LL$26</c:f>
              <c:numCache>
                <c:formatCode>General</c:formatCode>
                <c:ptCount val="25"/>
                <c:pt idx="0">
                  <c:v>0</c:v>
                </c:pt>
                <c:pt idx="1">
                  <c:v>21</c:v>
                </c:pt>
                <c:pt idx="2">
                  <c:v>49</c:v>
                </c:pt>
                <c:pt idx="3">
                  <c:v>119</c:v>
                </c:pt>
                <c:pt idx="4">
                  <c:v>165</c:v>
                </c:pt>
                <c:pt idx="5">
                  <c:v>247</c:v>
                </c:pt>
                <c:pt idx="6">
                  <c:v>272</c:v>
                </c:pt>
                <c:pt idx="7">
                  <c:v>292</c:v>
                </c:pt>
                <c:pt idx="8">
                  <c:v>322</c:v>
                </c:pt>
                <c:pt idx="9">
                  <c:v>350</c:v>
                </c:pt>
                <c:pt idx="10">
                  <c:v>372</c:v>
                </c:pt>
                <c:pt idx="11">
                  <c:v>392</c:v>
                </c:pt>
                <c:pt idx="12">
                  <c:v>432</c:v>
                </c:pt>
                <c:pt idx="13">
                  <c:v>466</c:v>
                </c:pt>
                <c:pt idx="14">
                  <c:v>496</c:v>
                </c:pt>
                <c:pt idx="15">
                  <c:v>505</c:v>
                </c:pt>
                <c:pt idx="16">
                  <c:v>516</c:v>
                </c:pt>
                <c:pt idx="17">
                  <c:v>516</c:v>
                </c:pt>
                <c:pt idx="18">
                  <c:v>516</c:v>
                </c:pt>
                <c:pt idx="19">
                  <c:v>516</c:v>
                </c:pt>
                <c:pt idx="20">
                  <c:v>516</c:v>
                </c:pt>
                <c:pt idx="21">
                  <c:v>516</c:v>
                </c:pt>
                <c:pt idx="22">
                  <c:v>516</c:v>
                </c:pt>
                <c:pt idx="23">
                  <c:v>516</c:v>
                </c:pt>
                <c:pt idx="24">
                  <c:v>516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27E-4412-9AF6-D9EF888222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Blad1!$LR$1</c:f>
              <c:strCache>
                <c:ptCount val="1"/>
                <c:pt idx="0">
                  <c:v>Boardposition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Blad1!$LR$2:$LR$26</c:f>
              <c:numCache>
                <c:formatCode>General</c:formatCode>
                <c:ptCount val="25"/>
                <c:pt idx="0">
                  <c:v>0</c:v>
                </c:pt>
                <c:pt idx="1">
                  <c:v>11</c:v>
                </c:pt>
                <c:pt idx="2">
                  <c:v>51</c:v>
                </c:pt>
                <c:pt idx="3">
                  <c:v>76</c:v>
                </c:pt>
                <c:pt idx="4">
                  <c:v>99</c:v>
                </c:pt>
                <c:pt idx="5">
                  <c:v>147</c:v>
                </c:pt>
                <c:pt idx="6">
                  <c:v>193</c:v>
                </c:pt>
                <c:pt idx="7">
                  <c:v>222</c:v>
                </c:pt>
                <c:pt idx="8">
                  <c:v>268</c:v>
                </c:pt>
                <c:pt idx="9">
                  <c:v>299</c:v>
                </c:pt>
                <c:pt idx="10">
                  <c:v>365</c:v>
                </c:pt>
                <c:pt idx="11">
                  <c:v>391</c:v>
                </c:pt>
                <c:pt idx="12">
                  <c:v>416</c:v>
                </c:pt>
                <c:pt idx="13">
                  <c:v>431</c:v>
                </c:pt>
                <c:pt idx="14">
                  <c:v>444</c:v>
                </c:pt>
                <c:pt idx="15">
                  <c:v>455</c:v>
                </c:pt>
                <c:pt idx="16">
                  <c:v>466</c:v>
                </c:pt>
                <c:pt idx="17">
                  <c:v>485</c:v>
                </c:pt>
                <c:pt idx="18">
                  <c:v>485</c:v>
                </c:pt>
                <c:pt idx="19">
                  <c:v>485</c:v>
                </c:pt>
                <c:pt idx="20">
                  <c:v>485</c:v>
                </c:pt>
                <c:pt idx="21">
                  <c:v>485</c:v>
                </c:pt>
                <c:pt idx="22">
                  <c:v>485</c:v>
                </c:pt>
                <c:pt idx="23">
                  <c:v>485</c:v>
                </c:pt>
                <c:pt idx="24">
                  <c:v>485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D44-4D5E-948E-50C5924475FC}"/>
            </c:ext>
          </c:extLst>
        </c:ser>
        <c:ser>
          <c:idx val="1"/>
          <c:order val="1"/>
          <c:tx>
            <c:strRef>
              <c:f>Blad1!$LX$1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Blad1!$LX$2:$LX$26</c:f>
              <c:numCache>
                <c:formatCode>General</c:formatCode>
                <c:ptCount val="25"/>
                <c:pt idx="0">
                  <c:v>0</c:v>
                </c:pt>
                <c:pt idx="1">
                  <c:v>22</c:v>
                </c:pt>
                <c:pt idx="2">
                  <c:v>100</c:v>
                </c:pt>
                <c:pt idx="3">
                  <c:v>133</c:v>
                </c:pt>
                <c:pt idx="4">
                  <c:v>197</c:v>
                </c:pt>
                <c:pt idx="5">
                  <c:v>234</c:v>
                </c:pt>
                <c:pt idx="6">
                  <c:v>264</c:v>
                </c:pt>
                <c:pt idx="7">
                  <c:v>300</c:v>
                </c:pt>
                <c:pt idx="8">
                  <c:v>321</c:v>
                </c:pt>
                <c:pt idx="9">
                  <c:v>334</c:v>
                </c:pt>
                <c:pt idx="10">
                  <c:v>352</c:v>
                </c:pt>
                <c:pt idx="11">
                  <c:v>377</c:v>
                </c:pt>
                <c:pt idx="12">
                  <c:v>410</c:v>
                </c:pt>
                <c:pt idx="13">
                  <c:v>427</c:v>
                </c:pt>
                <c:pt idx="14">
                  <c:v>440</c:v>
                </c:pt>
                <c:pt idx="15">
                  <c:v>446</c:v>
                </c:pt>
                <c:pt idx="16">
                  <c:v>450</c:v>
                </c:pt>
                <c:pt idx="17">
                  <c:v>439</c:v>
                </c:pt>
                <c:pt idx="18">
                  <c:v>439</c:v>
                </c:pt>
                <c:pt idx="19">
                  <c:v>439</c:v>
                </c:pt>
                <c:pt idx="20">
                  <c:v>439</c:v>
                </c:pt>
                <c:pt idx="21">
                  <c:v>439</c:v>
                </c:pt>
                <c:pt idx="22">
                  <c:v>439</c:v>
                </c:pt>
                <c:pt idx="23">
                  <c:v>439</c:v>
                </c:pt>
                <c:pt idx="24">
                  <c:v>439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D44-4D5E-948E-50C5924475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Blad1!$MD$1</c:f>
              <c:strCache>
                <c:ptCount val="1"/>
                <c:pt idx="0">
                  <c:v>Boardposition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Blad1!$MD$2:$MD$26</c:f>
              <c:numCache>
                <c:formatCode>General</c:formatCode>
                <c:ptCount val="25"/>
                <c:pt idx="0">
                  <c:v>0</c:v>
                </c:pt>
                <c:pt idx="1">
                  <c:v>14</c:v>
                </c:pt>
                <c:pt idx="2">
                  <c:v>90</c:v>
                </c:pt>
                <c:pt idx="3">
                  <c:v>124</c:v>
                </c:pt>
                <c:pt idx="4">
                  <c:v>151</c:v>
                </c:pt>
                <c:pt idx="5">
                  <c:v>199</c:v>
                </c:pt>
                <c:pt idx="6">
                  <c:v>231</c:v>
                </c:pt>
                <c:pt idx="7">
                  <c:v>247</c:v>
                </c:pt>
                <c:pt idx="8">
                  <c:v>288</c:v>
                </c:pt>
                <c:pt idx="9">
                  <c:v>317</c:v>
                </c:pt>
                <c:pt idx="10">
                  <c:v>367</c:v>
                </c:pt>
                <c:pt idx="11">
                  <c:v>396</c:v>
                </c:pt>
                <c:pt idx="12">
                  <c:v>419</c:v>
                </c:pt>
                <c:pt idx="13">
                  <c:v>437</c:v>
                </c:pt>
                <c:pt idx="14">
                  <c:v>437</c:v>
                </c:pt>
                <c:pt idx="15">
                  <c:v>437</c:v>
                </c:pt>
                <c:pt idx="16">
                  <c:v>437</c:v>
                </c:pt>
                <c:pt idx="17">
                  <c:v>437</c:v>
                </c:pt>
                <c:pt idx="18">
                  <c:v>437</c:v>
                </c:pt>
                <c:pt idx="19">
                  <c:v>437</c:v>
                </c:pt>
                <c:pt idx="20">
                  <c:v>437</c:v>
                </c:pt>
                <c:pt idx="21">
                  <c:v>437</c:v>
                </c:pt>
                <c:pt idx="22">
                  <c:v>437</c:v>
                </c:pt>
                <c:pt idx="23">
                  <c:v>437</c:v>
                </c:pt>
                <c:pt idx="24">
                  <c:v>437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281-4143-AF81-036FF2F301D9}"/>
            </c:ext>
          </c:extLst>
        </c:ser>
        <c:ser>
          <c:idx val="1"/>
          <c:order val="1"/>
          <c:tx>
            <c:strRef>
              <c:f>Blad1!$MJ$1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Blad1!$MJ$2:$MJ$26</c:f>
              <c:numCache>
                <c:formatCode>General</c:formatCode>
                <c:ptCount val="25"/>
                <c:pt idx="0">
                  <c:v>0</c:v>
                </c:pt>
                <c:pt idx="1">
                  <c:v>56</c:v>
                </c:pt>
                <c:pt idx="2">
                  <c:v>100</c:v>
                </c:pt>
                <c:pt idx="3">
                  <c:v>187</c:v>
                </c:pt>
                <c:pt idx="4">
                  <c:v>258</c:v>
                </c:pt>
                <c:pt idx="5">
                  <c:v>292</c:v>
                </c:pt>
                <c:pt idx="6">
                  <c:v>316</c:v>
                </c:pt>
                <c:pt idx="7">
                  <c:v>348</c:v>
                </c:pt>
                <c:pt idx="8">
                  <c:v>384</c:v>
                </c:pt>
                <c:pt idx="9">
                  <c:v>411</c:v>
                </c:pt>
                <c:pt idx="10">
                  <c:v>436</c:v>
                </c:pt>
                <c:pt idx="11">
                  <c:v>472</c:v>
                </c:pt>
                <c:pt idx="12">
                  <c:v>483</c:v>
                </c:pt>
                <c:pt idx="13">
                  <c:v>473</c:v>
                </c:pt>
                <c:pt idx="14">
                  <c:v>473</c:v>
                </c:pt>
                <c:pt idx="15">
                  <c:v>473</c:v>
                </c:pt>
                <c:pt idx="16">
                  <c:v>473</c:v>
                </c:pt>
                <c:pt idx="17">
                  <c:v>473</c:v>
                </c:pt>
                <c:pt idx="18">
                  <c:v>473</c:v>
                </c:pt>
                <c:pt idx="19">
                  <c:v>473</c:v>
                </c:pt>
                <c:pt idx="20">
                  <c:v>473</c:v>
                </c:pt>
                <c:pt idx="21">
                  <c:v>473</c:v>
                </c:pt>
                <c:pt idx="22">
                  <c:v>473</c:v>
                </c:pt>
                <c:pt idx="23">
                  <c:v>473</c:v>
                </c:pt>
                <c:pt idx="24">
                  <c:v>473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281-4143-AF81-036FF2F301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Blad1!$MP$1</c:f>
              <c:strCache>
                <c:ptCount val="1"/>
                <c:pt idx="0">
                  <c:v>Boardposition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Blad1!$MP$2:$MP$26</c:f>
              <c:numCache>
                <c:formatCode>General</c:formatCode>
                <c:ptCount val="25"/>
                <c:pt idx="0">
                  <c:v>0</c:v>
                </c:pt>
                <c:pt idx="1">
                  <c:v>10</c:v>
                </c:pt>
                <c:pt idx="2">
                  <c:v>38</c:v>
                </c:pt>
                <c:pt idx="3">
                  <c:v>56</c:v>
                </c:pt>
                <c:pt idx="4">
                  <c:v>93</c:v>
                </c:pt>
                <c:pt idx="5">
                  <c:v>124</c:v>
                </c:pt>
                <c:pt idx="6">
                  <c:v>142</c:v>
                </c:pt>
                <c:pt idx="7">
                  <c:v>160</c:v>
                </c:pt>
                <c:pt idx="8">
                  <c:v>198</c:v>
                </c:pt>
                <c:pt idx="9">
                  <c:v>228</c:v>
                </c:pt>
                <c:pt idx="10">
                  <c:v>250</c:v>
                </c:pt>
                <c:pt idx="11">
                  <c:v>283</c:v>
                </c:pt>
                <c:pt idx="12">
                  <c:v>303</c:v>
                </c:pt>
                <c:pt idx="13">
                  <c:v>345</c:v>
                </c:pt>
                <c:pt idx="14">
                  <c:v>375</c:v>
                </c:pt>
                <c:pt idx="15">
                  <c:v>375</c:v>
                </c:pt>
                <c:pt idx="16">
                  <c:v>375</c:v>
                </c:pt>
                <c:pt idx="17">
                  <c:v>375</c:v>
                </c:pt>
                <c:pt idx="18">
                  <c:v>375</c:v>
                </c:pt>
                <c:pt idx="19">
                  <c:v>375</c:v>
                </c:pt>
                <c:pt idx="20">
                  <c:v>375</c:v>
                </c:pt>
                <c:pt idx="21">
                  <c:v>375</c:v>
                </c:pt>
                <c:pt idx="22">
                  <c:v>375</c:v>
                </c:pt>
                <c:pt idx="23">
                  <c:v>375</c:v>
                </c:pt>
                <c:pt idx="24">
                  <c:v>375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2D6-4DE9-B91F-8F84DB250B23}"/>
            </c:ext>
          </c:extLst>
        </c:ser>
        <c:ser>
          <c:idx val="1"/>
          <c:order val="1"/>
          <c:tx>
            <c:strRef>
              <c:f>Blad1!$MV$1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Blad1!$MV$2:$MV$26</c:f>
              <c:numCache>
                <c:formatCode>General</c:formatCode>
                <c:ptCount val="25"/>
                <c:pt idx="0">
                  <c:v>0</c:v>
                </c:pt>
                <c:pt idx="1">
                  <c:v>20</c:v>
                </c:pt>
                <c:pt idx="2">
                  <c:v>103</c:v>
                </c:pt>
                <c:pt idx="3">
                  <c:v>147</c:v>
                </c:pt>
                <c:pt idx="4">
                  <c:v>180</c:v>
                </c:pt>
                <c:pt idx="5">
                  <c:v>210</c:v>
                </c:pt>
                <c:pt idx="6">
                  <c:v>266</c:v>
                </c:pt>
                <c:pt idx="7">
                  <c:v>291</c:v>
                </c:pt>
                <c:pt idx="8">
                  <c:v>321</c:v>
                </c:pt>
                <c:pt idx="9">
                  <c:v>349</c:v>
                </c:pt>
                <c:pt idx="10">
                  <c:v>367</c:v>
                </c:pt>
                <c:pt idx="11">
                  <c:v>405</c:v>
                </c:pt>
                <c:pt idx="12">
                  <c:v>433</c:v>
                </c:pt>
                <c:pt idx="13">
                  <c:v>488</c:v>
                </c:pt>
                <c:pt idx="14">
                  <c:v>477</c:v>
                </c:pt>
                <c:pt idx="15">
                  <c:v>477</c:v>
                </c:pt>
                <c:pt idx="16">
                  <c:v>477</c:v>
                </c:pt>
                <c:pt idx="17">
                  <c:v>477</c:v>
                </c:pt>
                <c:pt idx="18">
                  <c:v>477</c:v>
                </c:pt>
                <c:pt idx="19">
                  <c:v>477</c:v>
                </c:pt>
                <c:pt idx="20">
                  <c:v>477</c:v>
                </c:pt>
                <c:pt idx="21">
                  <c:v>477</c:v>
                </c:pt>
                <c:pt idx="22">
                  <c:v>477</c:v>
                </c:pt>
                <c:pt idx="23">
                  <c:v>477</c:v>
                </c:pt>
                <c:pt idx="24">
                  <c:v>477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2D6-4DE9-B91F-8F84DB250B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Blad1!$NB$1</c:f>
              <c:strCache>
                <c:ptCount val="1"/>
                <c:pt idx="0">
                  <c:v>Boardposition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Blad1!$NB$2:$NB$26</c:f>
              <c:numCache>
                <c:formatCode>General</c:formatCode>
                <c:ptCount val="25"/>
                <c:pt idx="0">
                  <c:v>0</c:v>
                </c:pt>
                <c:pt idx="1">
                  <c:v>12</c:v>
                </c:pt>
                <c:pt idx="2">
                  <c:v>100</c:v>
                </c:pt>
                <c:pt idx="3">
                  <c:v>118</c:v>
                </c:pt>
                <c:pt idx="4">
                  <c:v>154</c:v>
                </c:pt>
                <c:pt idx="5">
                  <c:v>175</c:v>
                </c:pt>
                <c:pt idx="6">
                  <c:v>203</c:v>
                </c:pt>
                <c:pt idx="7">
                  <c:v>227</c:v>
                </c:pt>
                <c:pt idx="8">
                  <c:v>244</c:v>
                </c:pt>
                <c:pt idx="9">
                  <c:v>282</c:v>
                </c:pt>
                <c:pt idx="10">
                  <c:v>316</c:v>
                </c:pt>
                <c:pt idx="11">
                  <c:v>351</c:v>
                </c:pt>
                <c:pt idx="12">
                  <c:v>396</c:v>
                </c:pt>
                <c:pt idx="13">
                  <c:v>430</c:v>
                </c:pt>
                <c:pt idx="14">
                  <c:v>450</c:v>
                </c:pt>
                <c:pt idx="15">
                  <c:v>455</c:v>
                </c:pt>
                <c:pt idx="16">
                  <c:v>445</c:v>
                </c:pt>
                <c:pt idx="17">
                  <c:v>445</c:v>
                </c:pt>
                <c:pt idx="18">
                  <c:v>445</c:v>
                </c:pt>
                <c:pt idx="19">
                  <c:v>445</c:v>
                </c:pt>
                <c:pt idx="20">
                  <c:v>445</c:v>
                </c:pt>
                <c:pt idx="21">
                  <c:v>445</c:v>
                </c:pt>
                <c:pt idx="22">
                  <c:v>445</c:v>
                </c:pt>
                <c:pt idx="23">
                  <c:v>445</c:v>
                </c:pt>
                <c:pt idx="24">
                  <c:v>445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0D0-45B9-A8EA-274043ECFDA8}"/>
            </c:ext>
          </c:extLst>
        </c:ser>
        <c:ser>
          <c:idx val="1"/>
          <c:order val="1"/>
          <c:tx>
            <c:strRef>
              <c:f>Blad1!$NH$1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Blad1!$NH$2:$NH$26</c:f>
              <c:numCache>
                <c:formatCode>General</c:formatCode>
                <c:ptCount val="25"/>
                <c:pt idx="0">
                  <c:v>0</c:v>
                </c:pt>
                <c:pt idx="1">
                  <c:v>57</c:v>
                </c:pt>
                <c:pt idx="2">
                  <c:v>84</c:v>
                </c:pt>
                <c:pt idx="3">
                  <c:v>108</c:v>
                </c:pt>
                <c:pt idx="4">
                  <c:v>145</c:v>
                </c:pt>
                <c:pt idx="5">
                  <c:v>190</c:v>
                </c:pt>
                <c:pt idx="6">
                  <c:v>219</c:v>
                </c:pt>
                <c:pt idx="7">
                  <c:v>239</c:v>
                </c:pt>
                <c:pt idx="8">
                  <c:v>263</c:v>
                </c:pt>
                <c:pt idx="9">
                  <c:v>297</c:v>
                </c:pt>
                <c:pt idx="10">
                  <c:v>337</c:v>
                </c:pt>
                <c:pt idx="11">
                  <c:v>427</c:v>
                </c:pt>
                <c:pt idx="12">
                  <c:v>460</c:v>
                </c:pt>
                <c:pt idx="13">
                  <c:v>484</c:v>
                </c:pt>
                <c:pt idx="14">
                  <c:v>495</c:v>
                </c:pt>
                <c:pt idx="15">
                  <c:v>506</c:v>
                </c:pt>
                <c:pt idx="16">
                  <c:v>516</c:v>
                </c:pt>
                <c:pt idx="17">
                  <c:v>516</c:v>
                </c:pt>
                <c:pt idx="18">
                  <c:v>516</c:v>
                </c:pt>
                <c:pt idx="19">
                  <c:v>516</c:v>
                </c:pt>
                <c:pt idx="20">
                  <c:v>516</c:v>
                </c:pt>
                <c:pt idx="21">
                  <c:v>516</c:v>
                </c:pt>
                <c:pt idx="22">
                  <c:v>516</c:v>
                </c:pt>
                <c:pt idx="23">
                  <c:v>516</c:v>
                </c:pt>
                <c:pt idx="24">
                  <c:v>516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0D0-45B9-A8EA-274043ECFD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Blad1!$NN$1</c:f>
              <c:strCache>
                <c:ptCount val="1"/>
                <c:pt idx="0">
                  <c:v>Boardposition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Blad1!$NN$2:$NN$26</c:f>
              <c:numCache>
                <c:formatCode>General</c:formatCode>
                <c:ptCount val="25"/>
                <c:pt idx="0">
                  <c:v>0</c:v>
                </c:pt>
                <c:pt idx="1">
                  <c:v>10</c:v>
                </c:pt>
                <c:pt idx="2">
                  <c:v>74</c:v>
                </c:pt>
                <c:pt idx="3">
                  <c:v>109</c:v>
                </c:pt>
                <c:pt idx="4">
                  <c:v>133</c:v>
                </c:pt>
                <c:pt idx="5">
                  <c:v>147</c:v>
                </c:pt>
                <c:pt idx="6">
                  <c:v>169</c:v>
                </c:pt>
                <c:pt idx="7">
                  <c:v>191</c:v>
                </c:pt>
                <c:pt idx="8">
                  <c:v>204</c:v>
                </c:pt>
                <c:pt idx="9">
                  <c:v>232</c:v>
                </c:pt>
                <c:pt idx="10">
                  <c:v>245</c:v>
                </c:pt>
                <c:pt idx="11">
                  <c:v>272</c:v>
                </c:pt>
                <c:pt idx="12">
                  <c:v>288</c:v>
                </c:pt>
                <c:pt idx="13">
                  <c:v>311</c:v>
                </c:pt>
                <c:pt idx="14">
                  <c:v>327</c:v>
                </c:pt>
                <c:pt idx="15">
                  <c:v>350</c:v>
                </c:pt>
                <c:pt idx="16">
                  <c:v>378</c:v>
                </c:pt>
                <c:pt idx="17">
                  <c:v>394</c:v>
                </c:pt>
                <c:pt idx="18">
                  <c:v>406</c:v>
                </c:pt>
                <c:pt idx="19">
                  <c:v>406</c:v>
                </c:pt>
                <c:pt idx="20">
                  <c:v>406</c:v>
                </c:pt>
                <c:pt idx="21">
                  <c:v>388</c:v>
                </c:pt>
                <c:pt idx="22">
                  <c:v>388</c:v>
                </c:pt>
                <c:pt idx="23">
                  <c:v>388</c:v>
                </c:pt>
                <c:pt idx="24">
                  <c:v>388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C08-4A39-8348-C523A27DC971}"/>
            </c:ext>
          </c:extLst>
        </c:ser>
        <c:ser>
          <c:idx val="1"/>
          <c:order val="1"/>
          <c:tx>
            <c:strRef>
              <c:f>Blad1!$NT$1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Blad1!$NT$2:$NT$26</c:f>
              <c:numCache>
                <c:formatCode>General</c:formatCode>
                <c:ptCount val="25"/>
                <c:pt idx="0">
                  <c:v>0</c:v>
                </c:pt>
                <c:pt idx="1">
                  <c:v>24</c:v>
                </c:pt>
                <c:pt idx="2">
                  <c:v>63</c:v>
                </c:pt>
                <c:pt idx="3">
                  <c:v>86</c:v>
                </c:pt>
                <c:pt idx="4">
                  <c:v>104</c:v>
                </c:pt>
                <c:pt idx="5">
                  <c:v>129</c:v>
                </c:pt>
                <c:pt idx="6">
                  <c:v>141</c:v>
                </c:pt>
                <c:pt idx="7">
                  <c:v>150</c:v>
                </c:pt>
                <c:pt idx="8">
                  <c:v>180</c:v>
                </c:pt>
                <c:pt idx="9">
                  <c:v>194</c:v>
                </c:pt>
                <c:pt idx="10">
                  <c:v>225</c:v>
                </c:pt>
                <c:pt idx="11">
                  <c:v>262</c:v>
                </c:pt>
                <c:pt idx="12">
                  <c:v>290</c:v>
                </c:pt>
                <c:pt idx="13">
                  <c:v>314</c:v>
                </c:pt>
                <c:pt idx="14">
                  <c:v>332</c:v>
                </c:pt>
                <c:pt idx="15">
                  <c:v>358</c:v>
                </c:pt>
                <c:pt idx="16">
                  <c:v>408</c:v>
                </c:pt>
                <c:pt idx="17">
                  <c:v>423</c:v>
                </c:pt>
                <c:pt idx="18">
                  <c:v>437</c:v>
                </c:pt>
                <c:pt idx="19">
                  <c:v>442</c:v>
                </c:pt>
                <c:pt idx="20">
                  <c:v>442</c:v>
                </c:pt>
                <c:pt idx="21">
                  <c:v>439</c:v>
                </c:pt>
                <c:pt idx="22">
                  <c:v>439</c:v>
                </c:pt>
                <c:pt idx="23">
                  <c:v>439</c:v>
                </c:pt>
                <c:pt idx="24">
                  <c:v>439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C08-4A39-8348-C523A27DC9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Blad1!$NZ$1</c:f>
              <c:strCache>
                <c:ptCount val="1"/>
                <c:pt idx="0">
                  <c:v>Boardposition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Blad1!$NZ$2:$NZ$26</c:f>
              <c:numCache>
                <c:formatCode>General</c:formatCode>
                <c:ptCount val="25"/>
                <c:pt idx="0">
                  <c:v>0</c:v>
                </c:pt>
                <c:pt idx="1">
                  <c:v>16</c:v>
                </c:pt>
                <c:pt idx="2">
                  <c:v>51</c:v>
                </c:pt>
                <c:pt idx="3">
                  <c:v>82</c:v>
                </c:pt>
                <c:pt idx="4">
                  <c:v>105</c:v>
                </c:pt>
                <c:pt idx="5">
                  <c:v>122</c:v>
                </c:pt>
                <c:pt idx="6">
                  <c:v>152</c:v>
                </c:pt>
                <c:pt idx="7">
                  <c:v>172</c:v>
                </c:pt>
                <c:pt idx="8">
                  <c:v>207</c:v>
                </c:pt>
                <c:pt idx="9">
                  <c:v>221</c:v>
                </c:pt>
                <c:pt idx="10">
                  <c:v>235</c:v>
                </c:pt>
                <c:pt idx="11">
                  <c:v>257</c:v>
                </c:pt>
                <c:pt idx="12">
                  <c:v>285</c:v>
                </c:pt>
                <c:pt idx="13">
                  <c:v>323</c:v>
                </c:pt>
                <c:pt idx="14">
                  <c:v>349</c:v>
                </c:pt>
                <c:pt idx="15">
                  <c:v>353</c:v>
                </c:pt>
                <c:pt idx="16">
                  <c:v>353</c:v>
                </c:pt>
                <c:pt idx="17">
                  <c:v>348</c:v>
                </c:pt>
                <c:pt idx="18">
                  <c:v>348</c:v>
                </c:pt>
                <c:pt idx="19">
                  <c:v>348</c:v>
                </c:pt>
                <c:pt idx="20">
                  <c:v>348</c:v>
                </c:pt>
                <c:pt idx="21">
                  <c:v>348</c:v>
                </c:pt>
                <c:pt idx="22">
                  <c:v>348</c:v>
                </c:pt>
                <c:pt idx="23">
                  <c:v>348</c:v>
                </c:pt>
                <c:pt idx="24">
                  <c:v>348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BE2-4EDF-8A99-2F27BDFC683C}"/>
            </c:ext>
          </c:extLst>
        </c:ser>
        <c:ser>
          <c:idx val="1"/>
          <c:order val="1"/>
          <c:tx>
            <c:strRef>
              <c:f>Blad1!$OF$1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Blad1!$OF$2:$OF$26</c:f>
              <c:numCache>
                <c:formatCode>General</c:formatCode>
                <c:ptCount val="25"/>
                <c:pt idx="0">
                  <c:v>0</c:v>
                </c:pt>
                <c:pt idx="1">
                  <c:v>23</c:v>
                </c:pt>
                <c:pt idx="2">
                  <c:v>65</c:v>
                </c:pt>
                <c:pt idx="3">
                  <c:v>139</c:v>
                </c:pt>
                <c:pt idx="4">
                  <c:v>168</c:v>
                </c:pt>
                <c:pt idx="5">
                  <c:v>211</c:v>
                </c:pt>
                <c:pt idx="6">
                  <c:v>235</c:v>
                </c:pt>
                <c:pt idx="7">
                  <c:v>257</c:v>
                </c:pt>
                <c:pt idx="8">
                  <c:v>285</c:v>
                </c:pt>
                <c:pt idx="9">
                  <c:v>300</c:v>
                </c:pt>
                <c:pt idx="10">
                  <c:v>336</c:v>
                </c:pt>
                <c:pt idx="11">
                  <c:v>351</c:v>
                </c:pt>
                <c:pt idx="12">
                  <c:v>423</c:v>
                </c:pt>
                <c:pt idx="13">
                  <c:v>442</c:v>
                </c:pt>
                <c:pt idx="14">
                  <c:v>463</c:v>
                </c:pt>
                <c:pt idx="15">
                  <c:v>465</c:v>
                </c:pt>
                <c:pt idx="16">
                  <c:v>467</c:v>
                </c:pt>
                <c:pt idx="17">
                  <c:v>472</c:v>
                </c:pt>
                <c:pt idx="18">
                  <c:v>472</c:v>
                </c:pt>
                <c:pt idx="19">
                  <c:v>472</c:v>
                </c:pt>
                <c:pt idx="20">
                  <c:v>472</c:v>
                </c:pt>
                <c:pt idx="21">
                  <c:v>472</c:v>
                </c:pt>
                <c:pt idx="22">
                  <c:v>472</c:v>
                </c:pt>
                <c:pt idx="23">
                  <c:v>472</c:v>
                </c:pt>
                <c:pt idx="24">
                  <c:v>472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BE2-4EDF-8A99-2F27BDFC68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Blad1!$OL$1</c:f>
              <c:strCache>
                <c:ptCount val="1"/>
                <c:pt idx="0">
                  <c:v>Boardposition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Blad1!$OL$2:$OL$26</c:f>
              <c:numCache>
                <c:formatCode>General</c:formatCode>
                <c:ptCount val="25"/>
                <c:pt idx="0">
                  <c:v>0</c:v>
                </c:pt>
                <c:pt idx="1">
                  <c:v>7</c:v>
                </c:pt>
                <c:pt idx="2">
                  <c:v>59</c:v>
                </c:pt>
                <c:pt idx="3">
                  <c:v>100</c:v>
                </c:pt>
                <c:pt idx="4">
                  <c:v>120</c:v>
                </c:pt>
                <c:pt idx="5">
                  <c:v>143</c:v>
                </c:pt>
                <c:pt idx="6">
                  <c:v>169</c:v>
                </c:pt>
                <c:pt idx="7">
                  <c:v>199</c:v>
                </c:pt>
                <c:pt idx="8">
                  <c:v>219</c:v>
                </c:pt>
                <c:pt idx="9">
                  <c:v>235</c:v>
                </c:pt>
                <c:pt idx="10">
                  <c:v>254</c:v>
                </c:pt>
                <c:pt idx="11">
                  <c:v>291</c:v>
                </c:pt>
                <c:pt idx="12">
                  <c:v>317</c:v>
                </c:pt>
                <c:pt idx="13">
                  <c:v>355</c:v>
                </c:pt>
                <c:pt idx="14">
                  <c:v>380</c:v>
                </c:pt>
                <c:pt idx="15">
                  <c:v>378</c:v>
                </c:pt>
                <c:pt idx="16">
                  <c:v>378</c:v>
                </c:pt>
                <c:pt idx="17">
                  <c:v>378</c:v>
                </c:pt>
                <c:pt idx="18">
                  <c:v>378</c:v>
                </c:pt>
                <c:pt idx="19">
                  <c:v>378</c:v>
                </c:pt>
                <c:pt idx="20">
                  <c:v>378</c:v>
                </c:pt>
                <c:pt idx="21">
                  <c:v>378</c:v>
                </c:pt>
                <c:pt idx="22">
                  <c:v>378</c:v>
                </c:pt>
                <c:pt idx="23">
                  <c:v>378</c:v>
                </c:pt>
                <c:pt idx="24">
                  <c:v>378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83F-4401-84B3-D1373C458489}"/>
            </c:ext>
          </c:extLst>
        </c:ser>
        <c:ser>
          <c:idx val="1"/>
          <c:order val="1"/>
          <c:tx>
            <c:strRef>
              <c:f>Blad1!$OR$1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Blad1!$OR$2:$OR$26</c:f>
              <c:numCache>
                <c:formatCode>General</c:formatCode>
                <c:ptCount val="25"/>
                <c:pt idx="0">
                  <c:v>0</c:v>
                </c:pt>
                <c:pt idx="1">
                  <c:v>26</c:v>
                </c:pt>
                <c:pt idx="2">
                  <c:v>111</c:v>
                </c:pt>
                <c:pt idx="3">
                  <c:v>152</c:v>
                </c:pt>
                <c:pt idx="4">
                  <c:v>180</c:v>
                </c:pt>
                <c:pt idx="5">
                  <c:v>242</c:v>
                </c:pt>
                <c:pt idx="6">
                  <c:v>267</c:v>
                </c:pt>
                <c:pt idx="7">
                  <c:v>307</c:v>
                </c:pt>
                <c:pt idx="8">
                  <c:v>335</c:v>
                </c:pt>
                <c:pt idx="9">
                  <c:v>365</c:v>
                </c:pt>
                <c:pt idx="10">
                  <c:v>404</c:v>
                </c:pt>
                <c:pt idx="11">
                  <c:v>440</c:v>
                </c:pt>
                <c:pt idx="12">
                  <c:v>470</c:v>
                </c:pt>
                <c:pt idx="13">
                  <c:v>501</c:v>
                </c:pt>
                <c:pt idx="14">
                  <c:v>513</c:v>
                </c:pt>
                <c:pt idx="15">
                  <c:v>515</c:v>
                </c:pt>
                <c:pt idx="16">
                  <c:v>515</c:v>
                </c:pt>
                <c:pt idx="17">
                  <c:v>515</c:v>
                </c:pt>
                <c:pt idx="18">
                  <c:v>515</c:v>
                </c:pt>
                <c:pt idx="19">
                  <c:v>515</c:v>
                </c:pt>
                <c:pt idx="20">
                  <c:v>515</c:v>
                </c:pt>
                <c:pt idx="21">
                  <c:v>515</c:v>
                </c:pt>
                <c:pt idx="22">
                  <c:v>515</c:v>
                </c:pt>
                <c:pt idx="23">
                  <c:v>515</c:v>
                </c:pt>
                <c:pt idx="24">
                  <c:v>515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83F-4401-84B3-D1373C4584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Blad1!$OX$1</c:f>
              <c:strCache>
                <c:ptCount val="1"/>
                <c:pt idx="0">
                  <c:v>Boardposition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Blad1!$OX$2:$OX$26</c:f>
              <c:numCache>
                <c:formatCode>General</c:formatCode>
                <c:ptCount val="25"/>
                <c:pt idx="0">
                  <c:v>0</c:v>
                </c:pt>
                <c:pt idx="1">
                  <c:v>16</c:v>
                </c:pt>
                <c:pt idx="2">
                  <c:v>84</c:v>
                </c:pt>
                <c:pt idx="3">
                  <c:v>118</c:v>
                </c:pt>
                <c:pt idx="4">
                  <c:v>147</c:v>
                </c:pt>
                <c:pt idx="5">
                  <c:v>167</c:v>
                </c:pt>
                <c:pt idx="6">
                  <c:v>221</c:v>
                </c:pt>
                <c:pt idx="7">
                  <c:v>249</c:v>
                </c:pt>
                <c:pt idx="8">
                  <c:v>267</c:v>
                </c:pt>
                <c:pt idx="9">
                  <c:v>287</c:v>
                </c:pt>
                <c:pt idx="10">
                  <c:v>327</c:v>
                </c:pt>
                <c:pt idx="11">
                  <c:v>357</c:v>
                </c:pt>
                <c:pt idx="12">
                  <c:v>376</c:v>
                </c:pt>
                <c:pt idx="13">
                  <c:v>405</c:v>
                </c:pt>
                <c:pt idx="14">
                  <c:v>419</c:v>
                </c:pt>
                <c:pt idx="15">
                  <c:v>430</c:v>
                </c:pt>
                <c:pt idx="16">
                  <c:v>415</c:v>
                </c:pt>
                <c:pt idx="17">
                  <c:v>415</c:v>
                </c:pt>
                <c:pt idx="18">
                  <c:v>415</c:v>
                </c:pt>
                <c:pt idx="19">
                  <c:v>415</c:v>
                </c:pt>
                <c:pt idx="20">
                  <c:v>415</c:v>
                </c:pt>
                <c:pt idx="21">
                  <c:v>415</c:v>
                </c:pt>
                <c:pt idx="22">
                  <c:v>415</c:v>
                </c:pt>
                <c:pt idx="23">
                  <c:v>415</c:v>
                </c:pt>
                <c:pt idx="24">
                  <c:v>415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40A-4305-9194-0ABA02637DF6}"/>
            </c:ext>
          </c:extLst>
        </c:ser>
        <c:ser>
          <c:idx val="1"/>
          <c:order val="1"/>
          <c:tx>
            <c:strRef>
              <c:f>Blad1!$PD$1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Blad1!$PD$2:$PD$26</c:f>
              <c:numCache>
                <c:formatCode>General</c:formatCode>
                <c:ptCount val="25"/>
                <c:pt idx="0">
                  <c:v>0</c:v>
                </c:pt>
                <c:pt idx="1">
                  <c:v>42</c:v>
                </c:pt>
                <c:pt idx="2">
                  <c:v>66</c:v>
                </c:pt>
                <c:pt idx="3">
                  <c:v>113</c:v>
                </c:pt>
                <c:pt idx="4">
                  <c:v>147</c:v>
                </c:pt>
                <c:pt idx="5">
                  <c:v>221</c:v>
                </c:pt>
                <c:pt idx="6">
                  <c:v>250</c:v>
                </c:pt>
                <c:pt idx="7">
                  <c:v>276</c:v>
                </c:pt>
                <c:pt idx="8">
                  <c:v>324</c:v>
                </c:pt>
                <c:pt idx="9">
                  <c:v>381</c:v>
                </c:pt>
                <c:pt idx="10">
                  <c:v>417</c:v>
                </c:pt>
                <c:pt idx="11">
                  <c:v>446</c:v>
                </c:pt>
                <c:pt idx="12">
                  <c:v>471</c:v>
                </c:pt>
                <c:pt idx="13">
                  <c:v>482</c:v>
                </c:pt>
                <c:pt idx="14">
                  <c:v>488</c:v>
                </c:pt>
                <c:pt idx="15">
                  <c:v>494</c:v>
                </c:pt>
                <c:pt idx="16">
                  <c:v>509</c:v>
                </c:pt>
                <c:pt idx="17">
                  <c:v>509</c:v>
                </c:pt>
                <c:pt idx="18">
                  <c:v>509</c:v>
                </c:pt>
                <c:pt idx="19">
                  <c:v>509</c:v>
                </c:pt>
                <c:pt idx="20">
                  <c:v>509</c:v>
                </c:pt>
                <c:pt idx="21">
                  <c:v>509</c:v>
                </c:pt>
                <c:pt idx="22">
                  <c:v>509</c:v>
                </c:pt>
                <c:pt idx="23">
                  <c:v>509</c:v>
                </c:pt>
                <c:pt idx="24">
                  <c:v>509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40A-4305-9194-0ABA02637D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Blad1!$PJ$1</c:f>
              <c:strCache>
                <c:ptCount val="1"/>
                <c:pt idx="0">
                  <c:v>Boardposition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Blad1!$PJ$2:$PJ$26</c:f>
              <c:numCache>
                <c:formatCode>General</c:formatCode>
                <c:ptCount val="25"/>
                <c:pt idx="0">
                  <c:v>0</c:v>
                </c:pt>
                <c:pt idx="1">
                  <c:v>12</c:v>
                </c:pt>
                <c:pt idx="2">
                  <c:v>37</c:v>
                </c:pt>
                <c:pt idx="3">
                  <c:v>109</c:v>
                </c:pt>
                <c:pt idx="4">
                  <c:v>131</c:v>
                </c:pt>
                <c:pt idx="5">
                  <c:v>158</c:v>
                </c:pt>
                <c:pt idx="6">
                  <c:v>186</c:v>
                </c:pt>
                <c:pt idx="7">
                  <c:v>211</c:v>
                </c:pt>
                <c:pt idx="8">
                  <c:v>222</c:v>
                </c:pt>
                <c:pt idx="9">
                  <c:v>244</c:v>
                </c:pt>
                <c:pt idx="10">
                  <c:v>265</c:v>
                </c:pt>
                <c:pt idx="11">
                  <c:v>302</c:v>
                </c:pt>
                <c:pt idx="12">
                  <c:v>358</c:v>
                </c:pt>
                <c:pt idx="13">
                  <c:v>378</c:v>
                </c:pt>
                <c:pt idx="14">
                  <c:v>395</c:v>
                </c:pt>
                <c:pt idx="15">
                  <c:v>395</c:v>
                </c:pt>
                <c:pt idx="16">
                  <c:v>395</c:v>
                </c:pt>
                <c:pt idx="17">
                  <c:v>395</c:v>
                </c:pt>
                <c:pt idx="18">
                  <c:v>395</c:v>
                </c:pt>
                <c:pt idx="19">
                  <c:v>395</c:v>
                </c:pt>
                <c:pt idx="20">
                  <c:v>395</c:v>
                </c:pt>
                <c:pt idx="21">
                  <c:v>395</c:v>
                </c:pt>
                <c:pt idx="22">
                  <c:v>395</c:v>
                </c:pt>
                <c:pt idx="23">
                  <c:v>395</c:v>
                </c:pt>
                <c:pt idx="24">
                  <c:v>395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655-4308-B1CD-368DBE80BDE7}"/>
            </c:ext>
          </c:extLst>
        </c:ser>
        <c:ser>
          <c:idx val="1"/>
          <c:order val="1"/>
          <c:tx>
            <c:strRef>
              <c:f>Blad1!$PP$1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Blad1!$PP$2:$PP$26</c:f>
              <c:numCache>
                <c:formatCode>General</c:formatCode>
                <c:ptCount val="25"/>
                <c:pt idx="0">
                  <c:v>0</c:v>
                </c:pt>
                <c:pt idx="1">
                  <c:v>30</c:v>
                </c:pt>
                <c:pt idx="2">
                  <c:v>68</c:v>
                </c:pt>
                <c:pt idx="3">
                  <c:v>114</c:v>
                </c:pt>
                <c:pt idx="4">
                  <c:v>146</c:v>
                </c:pt>
                <c:pt idx="5">
                  <c:v>231</c:v>
                </c:pt>
                <c:pt idx="6">
                  <c:v>293</c:v>
                </c:pt>
                <c:pt idx="7">
                  <c:v>342</c:v>
                </c:pt>
                <c:pt idx="8">
                  <c:v>377</c:v>
                </c:pt>
                <c:pt idx="9">
                  <c:v>414</c:v>
                </c:pt>
                <c:pt idx="10">
                  <c:v>445</c:v>
                </c:pt>
                <c:pt idx="11">
                  <c:v>472</c:v>
                </c:pt>
                <c:pt idx="12">
                  <c:v>485</c:v>
                </c:pt>
                <c:pt idx="13">
                  <c:v>492</c:v>
                </c:pt>
                <c:pt idx="14">
                  <c:v>489</c:v>
                </c:pt>
                <c:pt idx="15">
                  <c:v>489</c:v>
                </c:pt>
                <c:pt idx="16">
                  <c:v>489</c:v>
                </c:pt>
                <c:pt idx="17">
                  <c:v>489</c:v>
                </c:pt>
                <c:pt idx="18">
                  <c:v>489</c:v>
                </c:pt>
                <c:pt idx="19">
                  <c:v>489</c:v>
                </c:pt>
                <c:pt idx="20">
                  <c:v>489</c:v>
                </c:pt>
                <c:pt idx="21">
                  <c:v>489</c:v>
                </c:pt>
                <c:pt idx="22">
                  <c:v>489</c:v>
                </c:pt>
                <c:pt idx="23">
                  <c:v>489</c:v>
                </c:pt>
                <c:pt idx="24">
                  <c:v>489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655-4308-B1CD-368DBE80BD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Blad1!$PV$1</c:f>
              <c:strCache>
                <c:ptCount val="1"/>
                <c:pt idx="0">
                  <c:v>Boardposition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Blad1!$PV$2:$PV$26</c:f>
              <c:numCache>
                <c:formatCode>General</c:formatCode>
                <c:ptCount val="25"/>
                <c:pt idx="0">
                  <c:v>0</c:v>
                </c:pt>
                <c:pt idx="1">
                  <c:v>8</c:v>
                </c:pt>
                <c:pt idx="2">
                  <c:v>19</c:v>
                </c:pt>
                <c:pt idx="3">
                  <c:v>44</c:v>
                </c:pt>
                <c:pt idx="4">
                  <c:v>63</c:v>
                </c:pt>
                <c:pt idx="5">
                  <c:v>116</c:v>
                </c:pt>
                <c:pt idx="6">
                  <c:v>156</c:v>
                </c:pt>
                <c:pt idx="7">
                  <c:v>191</c:v>
                </c:pt>
                <c:pt idx="8">
                  <c:v>242</c:v>
                </c:pt>
                <c:pt idx="9">
                  <c:v>270</c:v>
                </c:pt>
                <c:pt idx="10">
                  <c:v>284</c:v>
                </c:pt>
                <c:pt idx="11">
                  <c:v>310</c:v>
                </c:pt>
                <c:pt idx="12">
                  <c:v>342</c:v>
                </c:pt>
                <c:pt idx="13">
                  <c:v>365</c:v>
                </c:pt>
                <c:pt idx="14">
                  <c:v>371</c:v>
                </c:pt>
                <c:pt idx="15">
                  <c:v>375</c:v>
                </c:pt>
                <c:pt idx="16">
                  <c:v>375</c:v>
                </c:pt>
                <c:pt idx="17">
                  <c:v>374</c:v>
                </c:pt>
                <c:pt idx="18">
                  <c:v>374</c:v>
                </c:pt>
                <c:pt idx="19">
                  <c:v>374</c:v>
                </c:pt>
                <c:pt idx="20">
                  <c:v>374</c:v>
                </c:pt>
                <c:pt idx="21">
                  <c:v>374</c:v>
                </c:pt>
                <c:pt idx="22">
                  <c:v>374</c:v>
                </c:pt>
                <c:pt idx="23">
                  <c:v>374</c:v>
                </c:pt>
                <c:pt idx="24">
                  <c:v>374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FC5-4988-948B-7C3AD89078E3}"/>
            </c:ext>
          </c:extLst>
        </c:ser>
        <c:ser>
          <c:idx val="1"/>
          <c:order val="1"/>
          <c:tx>
            <c:strRef>
              <c:f>Blad1!$QB$1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Blad1!$QB$2:$QB$26</c:f>
              <c:numCache>
                <c:formatCode>General</c:formatCode>
                <c:ptCount val="25"/>
                <c:pt idx="0">
                  <c:v>0</c:v>
                </c:pt>
                <c:pt idx="1">
                  <c:v>56</c:v>
                </c:pt>
                <c:pt idx="2">
                  <c:v>96</c:v>
                </c:pt>
                <c:pt idx="3">
                  <c:v>126</c:v>
                </c:pt>
                <c:pt idx="4">
                  <c:v>163</c:v>
                </c:pt>
                <c:pt idx="5">
                  <c:v>202</c:v>
                </c:pt>
                <c:pt idx="6">
                  <c:v>249</c:v>
                </c:pt>
                <c:pt idx="7">
                  <c:v>284</c:v>
                </c:pt>
                <c:pt idx="8">
                  <c:v>309</c:v>
                </c:pt>
                <c:pt idx="9">
                  <c:v>342</c:v>
                </c:pt>
                <c:pt idx="10">
                  <c:v>381</c:v>
                </c:pt>
                <c:pt idx="11">
                  <c:v>407</c:v>
                </c:pt>
                <c:pt idx="12">
                  <c:v>441</c:v>
                </c:pt>
                <c:pt idx="13">
                  <c:v>455</c:v>
                </c:pt>
                <c:pt idx="14">
                  <c:v>467</c:v>
                </c:pt>
                <c:pt idx="15">
                  <c:v>467</c:v>
                </c:pt>
                <c:pt idx="16">
                  <c:v>467</c:v>
                </c:pt>
                <c:pt idx="17">
                  <c:v>462</c:v>
                </c:pt>
                <c:pt idx="18">
                  <c:v>462</c:v>
                </c:pt>
                <c:pt idx="19">
                  <c:v>462</c:v>
                </c:pt>
                <c:pt idx="20">
                  <c:v>462</c:v>
                </c:pt>
                <c:pt idx="21">
                  <c:v>462</c:v>
                </c:pt>
                <c:pt idx="22">
                  <c:v>462</c:v>
                </c:pt>
                <c:pt idx="23">
                  <c:v>462</c:v>
                </c:pt>
                <c:pt idx="24">
                  <c:v>462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FC5-4988-948B-7C3AD89078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Blad1!$QH$1</c:f>
              <c:strCache>
                <c:ptCount val="1"/>
                <c:pt idx="0">
                  <c:v>Boardposition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Blad1!$QH$2:$QH$26</c:f>
              <c:numCache>
                <c:formatCode>General</c:formatCode>
                <c:ptCount val="25"/>
                <c:pt idx="0">
                  <c:v>0</c:v>
                </c:pt>
                <c:pt idx="1">
                  <c:v>10</c:v>
                </c:pt>
                <c:pt idx="2">
                  <c:v>23</c:v>
                </c:pt>
                <c:pt idx="3">
                  <c:v>45</c:v>
                </c:pt>
                <c:pt idx="4">
                  <c:v>71</c:v>
                </c:pt>
                <c:pt idx="5">
                  <c:v>90</c:v>
                </c:pt>
                <c:pt idx="6">
                  <c:v>119</c:v>
                </c:pt>
                <c:pt idx="7">
                  <c:v>136</c:v>
                </c:pt>
                <c:pt idx="8">
                  <c:v>151</c:v>
                </c:pt>
                <c:pt idx="9">
                  <c:v>198</c:v>
                </c:pt>
                <c:pt idx="10">
                  <c:v>236</c:v>
                </c:pt>
                <c:pt idx="11">
                  <c:v>263</c:v>
                </c:pt>
                <c:pt idx="12">
                  <c:v>286</c:v>
                </c:pt>
                <c:pt idx="13">
                  <c:v>305</c:v>
                </c:pt>
                <c:pt idx="14">
                  <c:v>343</c:v>
                </c:pt>
                <c:pt idx="15">
                  <c:v>355</c:v>
                </c:pt>
                <c:pt idx="16">
                  <c:v>371</c:v>
                </c:pt>
                <c:pt idx="17">
                  <c:v>371</c:v>
                </c:pt>
                <c:pt idx="18">
                  <c:v>371</c:v>
                </c:pt>
                <c:pt idx="19">
                  <c:v>371</c:v>
                </c:pt>
                <c:pt idx="20">
                  <c:v>371</c:v>
                </c:pt>
                <c:pt idx="21">
                  <c:v>371</c:v>
                </c:pt>
                <c:pt idx="22">
                  <c:v>371</c:v>
                </c:pt>
                <c:pt idx="23">
                  <c:v>371</c:v>
                </c:pt>
                <c:pt idx="24">
                  <c:v>371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3F3-4723-96BF-6A8C1CCD0EA1}"/>
            </c:ext>
          </c:extLst>
        </c:ser>
        <c:ser>
          <c:idx val="1"/>
          <c:order val="1"/>
          <c:tx>
            <c:strRef>
              <c:f>Blad1!$QN$1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Blad1!$QN$2:$QN$26</c:f>
              <c:numCache>
                <c:formatCode>General</c:formatCode>
                <c:ptCount val="25"/>
                <c:pt idx="0">
                  <c:v>0</c:v>
                </c:pt>
                <c:pt idx="1">
                  <c:v>23</c:v>
                </c:pt>
                <c:pt idx="2">
                  <c:v>55</c:v>
                </c:pt>
                <c:pt idx="3">
                  <c:v>83</c:v>
                </c:pt>
                <c:pt idx="4">
                  <c:v>117</c:v>
                </c:pt>
                <c:pt idx="5">
                  <c:v>143</c:v>
                </c:pt>
                <c:pt idx="6">
                  <c:v>170</c:v>
                </c:pt>
                <c:pt idx="7">
                  <c:v>276</c:v>
                </c:pt>
                <c:pt idx="8">
                  <c:v>303</c:v>
                </c:pt>
                <c:pt idx="9">
                  <c:v>328</c:v>
                </c:pt>
                <c:pt idx="10">
                  <c:v>346</c:v>
                </c:pt>
                <c:pt idx="11">
                  <c:v>364</c:v>
                </c:pt>
                <c:pt idx="12">
                  <c:v>394</c:v>
                </c:pt>
                <c:pt idx="13">
                  <c:v>420</c:v>
                </c:pt>
                <c:pt idx="14">
                  <c:v>434</c:v>
                </c:pt>
                <c:pt idx="15">
                  <c:v>451</c:v>
                </c:pt>
                <c:pt idx="16">
                  <c:v>441</c:v>
                </c:pt>
                <c:pt idx="17">
                  <c:v>441</c:v>
                </c:pt>
                <c:pt idx="18">
                  <c:v>441</c:v>
                </c:pt>
                <c:pt idx="19">
                  <c:v>441</c:v>
                </c:pt>
                <c:pt idx="20">
                  <c:v>441</c:v>
                </c:pt>
                <c:pt idx="21">
                  <c:v>441</c:v>
                </c:pt>
                <c:pt idx="22">
                  <c:v>441</c:v>
                </c:pt>
                <c:pt idx="23">
                  <c:v>441</c:v>
                </c:pt>
                <c:pt idx="24">
                  <c:v>441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3F3-4723-96BF-6A8C1CCD0E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Blad1!$QT$1</c:f>
              <c:strCache>
                <c:ptCount val="1"/>
                <c:pt idx="0">
                  <c:v>Boardposition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Blad1!$QT$2:$QT$26</c:f>
              <c:numCache>
                <c:formatCode>General</c:formatCode>
                <c:ptCount val="25"/>
                <c:pt idx="0">
                  <c:v>0</c:v>
                </c:pt>
                <c:pt idx="1">
                  <c:v>13</c:v>
                </c:pt>
                <c:pt idx="2">
                  <c:v>25</c:v>
                </c:pt>
                <c:pt idx="3">
                  <c:v>33</c:v>
                </c:pt>
                <c:pt idx="4">
                  <c:v>38</c:v>
                </c:pt>
                <c:pt idx="5">
                  <c:v>41</c:v>
                </c:pt>
                <c:pt idx="6">
                  <c:v>50</c:v>
                </c:pt>
                <c:pt idx="7">
                  <c:v>95</c:v>
                </c:pt>
                <c:pt idx="8">
                  <c:v>131</c:v>
                </c:pt>
                <c:pt idx="9">
                  <c:v>156</c:v>
                </c:pt>
                <c:pt idx="10">
                  <c:v>182</c:v>
                </c:pt>
                <c:pt idx="11">
                  <c:v>195</c:v>
                </c:pt>
                <c:pt idx="12">
                  <c:v>221</c:v>
                </c:pt>
                <c:pt idx="13">
                  <c:v>263</c:v>
                </c:pt>
                <c:pt idx="14">
                  <c:v>311</c:v>
                </c:pt>
                <c:pt idx="15">
                  <c:v>341</c:v>
                </c:pt>
                <c:pt idx="16">
                  <c:v>353</c:v>
                </c:pt>
                <c:pt idx="17">
                  <c:v>362</c:v>
                </c:pt>
                <c:pt idx="18">
                  <c:v>370</c:v>
                </c:pt>
                <c:pt idx="19">
                  <c:v>373</c:v>
                </c:pt>
                <c:pt idx="20">
                  <c:v>373</c:v>
                </c:pt>
                <c:pt idx="21">
                  <c:v>369</c:v>
                </c:pt>
                <c:pt idx="22">
                  <c:v>369</c:v>
                </c:pt>
                <c:pt idx="23">
                  <c:v>369</c:v>
                </c:pt>
                <c:pt idx="24">
                  <c:v>369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52D-4B03-8853-4E088C3B8F44}"/>
            </c:ext>
          </c:extLst>
        </c:ser>
        <c:ser>
          <c:idx val="1"/>
          <c:order val="1"/>
          <c:tx>
            <c:strRef>
              <c:f>Blad1!$QZ$1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Blad1!$QZ$2:$QZ$26</c:f>
              <c:numCache>
                <c:formatCode>General</c:formatCode>
                <c:ptCount val="25"/>
                <c:pt idx="0">
                  <c:v>0</c:v>
                </c:pt>
                <c:pt idx="1">
                  <c:v>9</c:v>
                </c:pt>
                <c:pt idx="2">
                  <c:v>26</c:v>
                </c:pt>
                <c:pt idx="3">
                  <c:v>46</c:v>
                </c:pt>
                <c:pt idx="4">
                  <c:v>56</c:v>
                </c:pt>
                <c:pt idx="5">
                  <c:v>68</c:v>
                </c:pt>
                <c:pt idx="6">
                  <c:v>99</c:v>
                </c:pt>
                <c:pt idx="7">
                  <c:v>135</c:v>
                </c:pt>
                <c:pt idx="8">
                  <c:v>159</c:v>
                </c:pt>
                <c:pt idx="9">
                  <c:v>179</c:v>
                </c:pt>
                <c:pt idx="10">
                  <c:v>209</c:v>
                </c:pt>
                <c:pt idx="11">
                  <c:v>243</c:v>
                </c:pt>
                <c:pt idx="12">
                  <c:v>267</c:v>
                </c:pt>
                <c:pt idx="13">
                  <c:v>284</c:v>
                </c:pt>
                <c:pt idx="14">
                  <c:v>315</c:v>
                </c:pt>
                <c:pt idx="15">
                  <c:v>334</c:v>
                </c:pt>
                <c:pt idx="16">
                  <c:v>349</c:v>
                </c:pt>
                <c:pt idx="17">
                  <c:v>363</c:v>
                </c:pt>
                <c:pt idx="18">
                  <c:v>372</c:v>
                </c:pt>
                <c:pt idx="19">
                  <c:v>372</c:v>
                </c:pt>
                <c:pt idx="20">
                  <c:v>372</c:v>
                </c:pt>
                <c:pt idx="21">
                  <c:v>358</c:v>
                </c:pt>
                <c:pt idx="22">
                  <c:v>358</c:v>
                </c:pt>
                <c:pt idx="23">
                  <c:v>358</c:v>
                </c:pt>
                <c:pt idx="24">
                  <c:v>358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52D-4B03-8853-4E088C3B8F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Blad1!$RF$1</c:f>
              <c:strCache>
                <c:ptCount val="1"/>
                <c:pt idx="0">
                  <c:v>Boardposition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Blad1!$RF$2:$RF$26</c:f>
              <c:numCache>
                <c:formatCode>General</c:formatCode>
                <c:ptCount val="25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47</c:v>
                </c:pt>
                <c:pt idx="4">
                  <c:v>80</c:v>
                </c:pt>
                <c:pt idx="5">
                  <c:v>133</c:v>
                </c:pt>
                <c:pt idx="6">
                  <c:v>158</c:v>
                </c:pt>
                <c:pt idx="7">
                  <c:v>171</c:v>
                </c:pt>
                <c:pt idx="8">
                  <c:v>203</c:v>
                </c:pt>
                <c:pt idx="9">
                  <c:v>229</c:v>
                </c:pt>
                <c:pt idx="10">
                  <c:v>250</c:v>
                </c:pt>
                <c:pt idx="11">
                  <c:v>294</c:v>
                </c:pt>
                <c:pt idx="12">
                  <c:v>317</c:v>
                </c:pt>
                <c:pt idx="13">
                  <c:v>349</c:v>
                </c:pt>
                <c:pt idx="14">
                  <c:v>406</c:v>
                </c:pt>
                <c:pt idx="15">
                  <c:v>436</c:v>
                </c:pt>
                <c:pt idx="16">
                  <c:v>447</c:v>
                </c:pt>
                <c:pt idx="17">
                  <c:v>445</c:v>
                </c:pt>
                <c:pt idx="18">
                  <c:v>445</c:v>
                </c:pt>
                <c:pt idx="19">
                  <c:v>445</c:v>
                </c:pt>
                <c:pt idx="20">
                  <c:v>445</c:v>
                </c:pt>
                <c:pt idx="21">
                  <c:v>445</c:v>
                </c:pt>
                <c:pt idx="22">
                  <c:v>445</c:v>
                </c:pt>
                <c:pt idx="23">
                  <c:v>445</c:v>
                </c:pt>
                <c:pt idx="24">
                  <c:v>445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3EA-42CE-8D38-68F62A5050B7}"/>
            </c:ext>
          </c:extLst>
        </c:ser>
        <c:ser>
          <c:idx val="1"/>
          <c:order val="1"/>
          <c:tx>
            <c:strRef>
              <c:f>Blad1!$RL$1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Blad1!$RL$2:$RL$26</c:f>
              <c:numCache>
                <c:formatCode>General</c:formatCode>
                <c:ptCount val="25"/>
                <c:pt idx="0">
                  <c:v>0</c:v>
                </c:pt>
                <c:pt idx="1">
                  <c:v>7</c:v>
                </c:pt>
                <c:pt idx="2">
                  <c:v>22</c:v>
                </c:pt>
                <c:pt idx="3">
                  <c:v>45</c:v>
                </c:pt>
                <c:pt idx="4">
                  <c:v>68</c:v>
                </c:pt>
                <c:pt idx="5">
                  <c:v>90</c:v>
                </c:pt>
                <c:pt idx="6">
                  <c:v>111</c:v>
                </c:pt>
                <c:pt idx="7">
                  <c:v>129</c:v>
                </c:pt>
                <c:pt idx="8">
                  <c:v>157</c:v>
                </c:pt>
                <c:pt idx="9">
                  <c:v>187</c:v>
                </c:pt>
                <c:pt idx="10">
                  <c:v>233</c:v>
                </c:pt>
                <c:pt idx="11">
                  <c:v>268</c:v>
                </c:pt>
                <c:pt idx="12">
                  <c:v>305</c:v>
                </c:pt>
                <c:pt idx="13">
                  <c:v>363</c:v>
                </c:pt>
                <c:pt idx="14">
                  <c:v>405</c:v>
                </c:pt>
                <c:pt idx="15">
                  <c:v>416</c:v>
                </c:pt>
                <c:pt idx="16">
                  <c:v>424</c:v>
                </c:pt>
                <c:pt idx="17">
                  <c:v>426</c:v>
                </c:pt>
                <c:pt idx="18">
                  <c:v>426</c:v>
                </c:pt>
                <c:pt idx="19">
                  <c:v>426</c:v>
                </c:pt>
                <c:pt idx="20">
                  <c:v>426</c:v>
                </c:pt>
                <c:pt idx="21">
                  <c:v>426</c:v>
                </c:pt>
                <c:pt idx="22">
                  <c:v>426</c:v>
                </c:pt>
                <c:pt idx="23">
                  <c:v>426</c:v>
                </c:pt>
                <c:pt idx="24">
                  <c:v>426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3EA-42CE-8D38-68F62A5050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Blad1!$RR$1</c:f>
              <c:strCache>
                <c:ptCount val="1"/>
                <c:pt idx="0">
                  <c:v>Boardposition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Blad1!$RR$2:$RR$26</c:f>
              <c:numCache>
                <c:formatCode>General</c:formatCode>
                <c:ptCount val="25"/>
                <c:pt idx="0">
                  <c:v>0</c:v>
                </c:pt>
                <c:pt idx="1">
                  <c:v>14</c:v>
                </c:pt>
                <c:pt idx="2">
                  <c:v>34</c:v>
                </c:pt>
                <c:pt idx="3">
                  <c:v>106</c:v>
                </c:pt>
                <c:pt idx="4">
                  <c:v>145</c:v>
                </c:pt>
                <c:pt idx="5">
                  <c:v>168</c:v>
                </c:pt>
                <c:pt idx="6">
                  <c:v>192</c:v>
                </c:pt>
                <c:pt idx="7">
                  <c:v>210</c:v>
                </c:pt>
                <c:pt idx="8">
                  <c:v>224</c:v>
                </c:pt>
                <c:pt idx="9">
                  <c:v>250</c:v>
                </c:pt>
                <c:pt idx="10">
                  <c:v>289</c:v>
                </c:pt>
                <c:pt idx="11">
                  <c:v>320</c:v>
                </c:pt>
                <c:pt idx="12">
                  <c:v>334</c:v>
                </c:pt>
                <c:pt idx="13">
                  <c:v>349</c:v>
                </c:pt>
                <c:pt idx="14">
                  <c:v>362</c:v>
                </c:pt>
                <c:pt idx="15">
                  <c:v>371</c:v>
                </c:pt>
                <c:pt idx="16">
                  <c:v>377</c:v>
                </c:pt>
                <c:pt idx="17">
                  <c:v>380</c:v>
                </c:pt>
                <c:pt idx="18">
                  <c:v>382</c:v>
                </c:pt>
                <c:pt idx="19">
                  <c:v>382</c:v>
                </c:pt>
                <c:pt idx="20">
                  <c:v>381</c:v>
                </c:pt>
                <c:pt idx="21">
                  <c:v>381</c:v>
                </c:pt>
                <c:pt idx="22">
                  <c:v>381</c:v>
                </c:pt>
                <c:pt idx="23">
                  <c:v>381</c:v>
                </c:pt>
                <c:pt idx="24">
                  <c:v>381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45E-4CA7-99E9-7ABB1C95BA70}"/>
            </c:ext>
          </c:extLst>
        </c:ser>
        <c:ser>
          <c:idx val="1"/>
          <c:order val="1"/>
          <c:tx>
            <c:strRef>
              <c:f>Blad1!$RX$1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Blad1!$RX$2:$RX$26</c:f>
              <c:numCache>
                <c:formatCode>General</c:formatCode>
                <c:ptCount val="25"/>
                <c:pt idx="0">
                  <c:v>0</c:v>
                </c:pt>
                <c:pt idx="1">
                  <c:v>25</c:v>
                </c:pt>
                <c:pt idx="2">
                  <c:v>92</c:v>
                </c:pt>
                <c:pt idx="3">
                  <c:v>126</c:v>
                </c:pt>
                <c:pt idx="4">
                  <c:v>160</c:v>
                </c:pt>
                <c:pt idx="5">
                  <c:v>192</c:v>
                </c:pt>
                <c:pt idx="6">
                  <c:v>226</c:v>
                </c:pt>
                <c:pt idx="7">
                  <c:v>257</c:v>
                </c:pt>
                <c:pt idx="8">
                  <c:v>284</c:v>
                </c:pt>
                <c:pt idx="9">
                  <c:v>330</c:v>
                </c:pt>
                <c:pt idx="10">
                  <c:v>371</c:v>
                </c:pt>
                <c:pt idx="11">
                  <c:v>392</c:v>
                </c:pt>
                <c:pt idx="12">
                  <c:v>428</c:v>
                </c:pt>
                <c:pt idx="13">
                  <c:v>454</c:v>
                </c:pt>
                <c:pt idx="14">
                  <c:v>469</c:v>
                </c:pt>
                <c:pt idx="15">
                  <c:v>476</c:v>
                </c:pt>
                <c:pt idx="16">
                  <c:v>476</c:v>
                </c:pt>
                <c:pt idx="17">
                  <c:v>476</c:v>
                </c:pt>
                <c:pt idx="18">
                  <c:v>476</c:v>
                </c:pt>
                <c:pt idx="19">
                  <c:v>476</c:v>
                </c:pt>
                <c:pt idx="20">
                  <c:v>462</c:v>
                </c:pt>
                <c:pt idx="21">
                  <c:v>462</c:v>
                </c:pt>
                <c:pt idx="22">
                  <c:v>462</c:v>
                </c:pt>
                <c:pt idx="23">
                  <c:v>462</c:v>
                </c:pt>
                <c:pt idx="24">
                  <c:v>462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45E-4CA7-99E9-7ABB1C95BA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Blad1!$SD$1</c:f>
              <c:strCache>
                <c:ptCount val="1"/>
                <c:pt idx="0">
                  <c:v>Boardposition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Blad1!$SD$2:$SD$26</c:f>
              <c:numCache>
                <c:formatCode>General</c:formatCode>
                <c:ptCount val="25"/>
                <c:pt idx="0">
                  <c:v>0</c:v>
                </c:pt>
                <c:pt idx="1">
                  <c:v>12</c:v>
                </c:pt>
                <c:pt idx="2">
                  <c:v>42</c:v>
                </c:pt>
                <c:pt idx="3">
                  <c:v>62</c:v>
                </c:pt>
                <c:pt idx="4">
                  <c:v>85</c:v>
                </c:pt>
                <c:pt idx="5">
                  <c:v>104</c:v>
                </c:pt>
                <c:pt idx="6">
                  <c:v>119</c:v>
                </c:pt>
                <c:pt idx="7">
                  <c:v>140</c:v>
                </c:pt>
                <c:pt idx="8">
                  <c:v>162</c:v>
                </c:pt>
                <c:pt idx="9">
                  <c:v>174</c:v>
                </c:pt>
                <c:pt idx="10">
                  <c:v>199</c:v>
                </c:pt>
                <c:pt idx="11">
                  <c:v>227</c:v>
                </c:pt>
                <c:pt idx="12">
                  <c:v>244</c:v>
                </c:pt>
                <c:pt idx="13">
                  <c:v>278</c:v>
                </c:pt>
                <c:pt idx="14">
                  <c:v>293</c:v>
                </c:pt>
                <c:pt idx="15">
                  <c:v>301</c:v>
                </c:pt>
                <c:pt idx="16">
                  <c:v>322</c:v>
                </c:pt>
                <c:pt idx="17">
                  <c:v>328</c:v>
                </c:pt>
                <c:pt idx="18">
                  <c:v>336</c:v>
                </c:pt>
                <c:pt idx="19">
                  <c:v>350</c:v>
                </c:pt>
                <c:pt idx="20">
                  <c:v>350</c:v>
                </c:pt>
                <c:pt idx="21">
                  <c:v>350</c:v>
                </c:pt>
                <c:pt idx="22">
                  <c:v>350</c:v>
                </c:pt>
                <c:pt idx="23">
                  <c:v>350</c:v>
                </c:pt>
                <c:pt idx="24">
                  <c:v>350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AEF-4B65-8885-B6E3D0D34BEE}"/>
            </c:ext>
          </c:extLst>
        </c:ser>
        <c:ser>
          <c:idx val="1"/>
          <c:order val="1"/>
          <c:tx>
            <c:strRef>
              <c:f>Blad1!$SJ$1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Blad1!$SJ$2:$SJ$26</c:f>
              <c:numCache>
                <c:formatCode>General</c:formatCode>
                <c:ptCount val="25"/>
                <c:pt idx="0">
                  <c:v>0</c:v>
                </c:pt>
                <c:pt idx="1">
                  <c:v>62</c:v>
                </c:pt>
                <c:pt idx="2">
                  <c:v>90</c:v>
                </c:pt>
                <c:pt idx="3">
                  <c:v>106</c:v>
                </c:pt>
                <c:pt idx="4">
                  <c:v>138</c:v>
                </c:pt>
                <c:pt idx="5">
                  <c:v>176</c:v>
                </c:pt>
                <c:pt idx="6">
                  <c:v>205</c:v>
                </c:pt>
                <c:pt idx="7">
                  <c:v>233</c:v>
                </c:pt>
                <c:pt idx="8">
                  <c:v>253</c:v>
                </c:pt>
                <c:pt idx="9">
                  <c:v>273</c:v>
                </c:pt>
                <c:pt idx="10">
                  <c:v>295</c:v>
                </c:pt>
                <c:pt idx="11">
                  <c:v>329</c:v>
                </c:pt>
                <c:pt idx="12">
                  <c:v>355</c:v>
                </c:pt>
                <c:pt idx="13">
                  <c:v>376</c:v>
                </c:pt>
                <c:pt idx="14">
                  <c:v>406</c:v>
                </c:pt>
                <c:pt idx="15">
                  <c:v>439</c:v>
                </c:pt>
                <c:pt idx="16">
                  <c:v>447</c:v>
                </c:pt>
                <c:pt idx="17">
                  <c:v>458</c:v>
                </c:pt>
                <c:pt idx="18">
                  <c:v>460</c:v>
                </c:pt>
                <c:pt idx="19">
                  <c:v>450</c:v>
                </c:pt>
                <c:pt idx="20">
                  <c:v>450</c:v>
                </c:pt>
                <c:pt idx="21">
                  <c:v>450</c:v>
                </c:pt>
                <c:pt idx="22">
                  <c:v>450</c:v>
                </c:pt>
                <c:pt idx="23">
                  <c:v>450</c:v>
                </c:pt>
                <c:pt idx="24">
                  <c:v>450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AEF-4B65-8885-B6E3D0D34B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Blad1!$SP$1</c:f>
              <c:strCache>
                <c:ptCount val="1"/>
                <c:pt idx="0">
                  <c:v>Boardposition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Blad1!$SP$2:$SP$26</c:f>
              <c:numCache>
                <c:formatCode>General</c:formatCode>
                <c:ptCount val="25"/>
                <c:pt idx="0">
                  <c:v>0</c:v>
                </c:pt>
                <c:pt idx="1">
                  <c:v>8</c:v>
                </c:pt>
                <c:pt idx="2">
                  <c:v>126</c:v>
                </c:pt>
                <c:pt idx="3">
                  <c:v>150</c:v>
                </c:pt>
                <c:pt idx="4">
                  <c:v>168</c:v>
                </c:pt>
                <c:pt idx="5">
                  <c:v>212</c:v>
                </c:pt>
                <c:pt idx="6">
                  <c:v>229</c:v>
                </c:pt>
                <c:pt idx="7">
                  <c:v>247</c:v>
                </c:pt>
                <c:pt idx="8">
                  <c:v>269</c:v>
                </c:pt>
                <c:pt idx="9">
                  <c:v>285</c:v>
                </c:pt>
                <c:pt idx="10">
                  <c:v>317</c:v>
                </c:pt>
                <c:pt idx="11">
                  <c:v>335</c:v>
                </c:pt>
                <c:pt idx="12">
                  <c:v>345</c:v>
                </c:pt>
                <c:pt idx="13">
                  <c:v>356</c:v>
                </c:pt>
                <c:pt idx="14">
                  <c:v>363</c:v>
                </c:pt>
                <c:pt idx="15">
                  <c:v>370</c:v>
                </c:pt>
                <c:pt idx="16">
                  <c:v>350</c:v>
                </c:pt>
                <c:pt idx="17">
                  <c:v>350</c:v>
                </c:pt>
                <c:pt idx="18">
                  <c:v>350</c:v>
                </c:pt>
                <c:pt idx="19">
                  <c:v>350</c:v>
                </c:pt>
                <c:pt idx="20">
                  <c:v>350</c:v>
                </c:pt>
                <c:pt idx="21">
                  <c:v>350</c:v>
                </c:pt>
                <c:pt idx="22">
                  <c:v>350</c:v>
                </c:pt>
                <c:pt idx="23">
                  <c:v>350</c:v>
                </c:pt>
                <c:pt idx="24">
                  <c:v>350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96B-4F10-8F40-BD7FC5CA03D4}"/>
            </c:ext>
          </c:extLst>
        </c:ser>
        <c:ser>
          <c:idx val="1"/>
          <c:order val="1"/>
          <c:tx>
            <c:strRef>
              <c:f>Blad1!$SV$1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Blad1!$SV$2:$SV$26</c:f>
              <c:numCache>
                <c:formatCode>General</c:formatCode>
                <c:ptCount val="25"/>
                <c:pt idx="0">
                  <c:v>0</c:v>
                </c:pt>
                <c:pt idx="1">
                  <c:v>22</c:v>
                </c:pt>
                <c:pt idx="2">
                  <c:v>84</c:v>
                </c:pt>
                <c:pt idx="3">
                  <c:v>120</c:v>
                </c:pt>
                <c:pt idx="4">
                  <c:v>149</c:v>
                </c:pt>
                <c:pt idx="5">
                  <c:v>173</c:v>
                </c:pt>
                <c:pt idx="6">
                  <c:v>200</c:v>
                </c:pt>
                <c:pt idx="7">
                  <c:v>228</c:v>
                </c:pt>
                <c:pt idx="8">
                  <c:v>278</c:v>
                </c:pt>
                <c:pt idx="9">
                  <c:v>303</c:v>
                </c:pt>
                <c:pt idx="10">
                  <c:v>319</c:v>
                </c:pt>
                <c:pt idx="11">
                  <c:v>334</c:v>
                </c:pt>
                <c:pt idx="12">
                  <c:v>369</c:v>
                </c:pt>
                <c:pt idx="13">
                  <c:v>385</c:v>
                </c:pt>
                <c:pt idx="14">
                  <c:v>418</c:v>
                </c:pt>
                <c:pt idx="15">
                  <c:v>437</c:v>
                </c:pt>
                <c:pt idx="16">
                  <c:v>457</c:v>
                </c:pt>
                <c:pt idx="17">
                  <c:v>457</c:v>
                </c:pt>
                <c:pt idx="18">
                  <c:v>457</c:v>
                </c:pt>
                <c:pt idx="19">
                  <c:v>457</c:v>
                </c:pt>
                <c:pt idx="20">
                  <c:v>457</c:v>
                </c:pt>
                <c:pt idx="21">
                  <c:v>457</c:v>
                </c:pt>
                <c:pt idx="22">
                  <c:v>457</c:v>
                </c:pt>
                <c:pt idx="23">
                  <c:v>457</c:v>
                </c:pt>
                <c:pt idx="24">
                  <c:v>457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96B-4F10-8F40-BD7FC5CA0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Blad1!$TB$1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Blad1!$TB$2:$TB$26</c:f>
              <c:numCache>
                <c:formatCode>General</c:formatCode>
                <c:ptCount val="25"/>
                <c:pt idx="0">
                  <c:v>0</c:v>
                </c:pt>
                <c:pt idx="1">
                  <c:v>58</c:v>
                </c:pt>
                <c:pt idx="2">
                  <c:v>92</c:v>
                </c:pt>
                <c:pt idx="3">
                  <c:v>131</c:v>
                </c:pt>
                <c:pt idx="4">
                  <c:v>166</c:v>
                </c:pt>
                <c:pt idx="5">
                  <c:v>200</c:v>
                </c:pt>
                <c:pt idx="6">
                  <c:v>212</c:v>
                </c:pt>
                <c:pt idx="7">
                  <c:v>284</c:v>
                </c:pt>
                <c:pt idx="8">
                  <c:v>311</c:v>
                </c:pt>
                <c:pt idx="9">
                  <c:v>343</c:v>
                </c:pt>
                <c:pt idx="10">
                  <c:v>374</c:v>
                </c:pt>
                <c:pt idx="11">
                  <c:v>397</c:v>
                </c:pt>
                <c:pt idx="12">
                  <c:v>423</c:v>
                </c:pt>
                <c:pt idx="13">
                  <c:v>450</c:v>
                </c:pt>
                <c:pt idx="14">
                  <c:v>462</c:v>
                </c:pt>
                <c:pt idx="15">
                  <c:v>477</c:v>
                </c:pt>
                <c:pt idx="16">
                  <c:v>477</c:v>
                </c:pt>
                <c:pt idx="17">
                  <c:v>477</c:v>
                </c:pt>
                <c:pt idx="18">
                  <c:v>477</c:v>
                </c:pt>
                <c:pt idx="19">
                  <c:v>477</c:v>
                </c:pt>
                <c:pt idx="20">
                  <c:v>477</c:v>
                </c:pt>
                <c:pt idx="21">
                  <c:v>477</c:v>
                </c:pt>
                <c:pt idx="22">
                  <c:v>477</c:v>
                </c:pt>
                <c:pt idx="23">
                  <c:v>477</c:v>
                </c:pt>
                <c:pt idx="24">
                  <c:v>477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6AE-4F98-9CE3-D704C9798ECD}"/>
            </c:ext>
          </c:extLst>
        </c:ser>
        <c:ser>
          <c:idx val="1"/>
          <c:order val="1"/>
          <c:tx>
            <c:strRef>
              <c:f>Blad1!$TH$1</c:f>
              <c:strCache>
                <c:ptCount val="1"/>
                <c:pt idx="0">
                  <c:v>Boardposition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Blad1!$TH$2:$TH$26</c:f>
              <c:numCache>
                <c:formatCode>General</c:formatCode>
                <c:ptCount val="25"/>
                <c:pt idx="0">
                  <c:v>0</c:v>
                </c:pt>
                <c:pt idx="1">
                  <c:v>11</c:v>
                </c:pt>
                <c:pt idx="2">
                  <c:v>29</c:v>
                </c:pt>
                <c:pt idx="3">
                  <c:v>48</c:v>
                </c:pt>
                <c:pt idx="4">
                  <c:v>62</c:v>
                </c:pt>
                <c:pt idx="5">
                  <c:v>82</c:v>
                </c:pt>
                <c:pt idx="6">
                  <c:v>151</c:v>
                </c:pt>
                <c:pt idx="7">
                  <c:v>183</c:v>
                </c:pt>
                <c:pt idx="8">
                  <c:v>214</c:v>
                </c:pt>
                <c:pt idx="9">
                  <c:v>236</c:v>
                </c:pt>
                <c:pt idx="10">
                  <c:v>254</c:v>
                </c:pt>
                <c:pt idx="11">
                  <c:v>305</c:v>
                </c:pt>
                <c:pt idx="12">
                  <c:v>327</c:v>
                </c:pt>
                <c:pt idx="13">
                  <c:v>347</c:v>
                </c:pt>
                <c:pt idx="14">
                  <c:v>355</c:v>
                </c:pt>
                <c:pt idx="15">
                  <c:v>349</c:v>
                </c:pt>
                <c:pt idx="16">
                  <c:v>349</c:v>
                </c:pt>
                <c:pt idx="17">
                  <c:v>349</c:v>
                </c:pt>
                <c:pt idx="18">
                  <c:v>349</c:v>
                </c:pt>
                <c:pt idx="19">
                  <c:v>349</c:v>
                </c:pt>
                <c:pt idx="20">
                  <c:v>349</c:v>
                </c:pt>
                <c:pt idx="21">
                  <c:v>349</c:v>
                </c:pt>
                <c:pt idx="22">
                  <c:v>349</c:v>
                </c:pt>
                <c:pt idx="23">
                  <c:v>349</c:v>
                </c:pt>
                <c:pt idx="24">
                  <c:v>349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6AE-4F98-9CE3-D704C9798E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Blad1!$TN$1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Blad1!$TN$2:$TN$26</c:f>
              <c:numCache>
                <c:formatCode>General</c:formatCode>
                <c:ptCount val="25"/>
                <c:pt idx="0">
                  <c:v>0</c:v>
                </c:pt>
                <c:pt idx="1">
                  <c:v>36</c:v>
                </c:pt>
                <c:pt idx="2">
                  <c:v>67</c:v>
                </c:pt>
                <c:pt idx="3">
                  <c:v>95</c:v>
                </c:pt>
                <c:pt idx="4">
                  <c:v>170</c:v>
                </c:pt>
                <c:pt idx="5">
                  <c:v>194</c:v>
                </c:pt>
                <c:pt idx="6">
                  <c:v>228</c:v>
                </c:pt>
                <c:pt idx="7">
                  <c:v>256</c:v>
                </c:pt>
                <c:pt idx="8">
                  <c:v>285</c:v>
                </c:pt>
                <c:pt idx="9">
                  <c:v>320</c:v>
                </c:pt>
                <c:pt idx="10">
                  <c:v>385</c:v>
                </c:pt>
                <c:pt idx="11">
                  <c:v>412</c:v>
                </c:pt>
                <c:pt idx="12">
                  <c:v>439</c:v>
                </c:pt>
                <c:pt idx="13">
                  <c:v>483</c:v>
                </c:pt>
                <c:pt idx="14">
                  <c:v>491</c:v>
                </c:pt>
                <c:pt idx="15">
                  <c:v>491</c:v>
                </c:pt>
                <c:pt idx="16">
                  <c:v>489</c:v>
                </c:pt>
                <c:pt idx="17">
                  <c:v>489</c:v>
                </c:pt>
                <c:pt idx="18">
                  <c:v>489</c:v>
                </c:pt>
                <c:pt idx="19">
                  <c:v>489</c:v>
                </c:pt>
                <c:pt idx="20">
                  <c:v>489</c:v>
                </c:pt>
                <c:pt idx="21">
                  <c:v>489</c:v>
                </c:pt>
                <c:pt idx="22">
                  <c:v>489</c:v>
                </c:pt>
                <c:pt idx="23">
                  <c:v>489</c:v>
                </c:pt>
                <c:pt idx="24">
                  <c:v>489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F89-4E02-9875-0E09416B709F}"/>
            </c:ext>
          </c:extLst>
        </c:ser>
        <c:ser>
          <c:idx val="1"/>
          <c:order val="1"/>
          <c:tx>
            <c:strRef>
              <c:f>Blad1!$TT$1</c:f>
              <c:strCache>
                <c:ptCount val="1"/>
                <c:pt idx="0">
                  <c:v>Boardposition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Blad1!$TT$2:$TT$26</c:f>
              <c:numCache>
                <c:formatCode>General</c:formatCode>
                <c:ptCount val="25"/>
                <c:pt idx="0">
                  <c:v>0</c:v>
                </c:pt>
                <c:pt idx="1">
                  <c:v>30</c:v>
                </c:pt>
                <c:pt idx="2">
                  <c:v>75</c:v>
                </c:pt>
                <c:pt idx="3">
                  <c:v>105</c:v>
                </c:pt>
                <c:pt idx="4">
                  <c:v>130</c:v>
                </c:pt>
                <c:pt idx="5">
                  <c:v>167</c:v>
                </c:pt>
                <c:pt idx="6">
                  <c:v>194</c:v>
                </c:pt>
                <c:pt idx="7">
                  <c:v>254</c:v>
                </c:pt>
                <c:pt idx="8">
                  <c:v>281</c:v>
                </c:pt>
                <c:pt idx="9">
                  <c:v>307</c:v>
                </c:pt>
                <c:pt idx="10">
                  <c:v>329</c:v>
                </c:pt>
                <c:pt idx="11">
                  <c:v>355</c:v>
                </c:pt>
                <c:pt idx="12">
                  <c:v>376</c:v>
                </c:pt>
                <c:pt idx="13">
                  <c:v>386</c:v>
                </c:pt>
                <c:pt idx="14">
                  <c:v>392</c:v>
                </c:pt>
                <c:pt idx="15">
                  <c:v>392</c:v>
                </c:pt>
                <c:pt idx="16">
                  <c:v>391</c:v>
                </c:pt>
                <c:pt idx="17">
                  <c:v>391</c:v>
                </c:pt>
                <c:pt idx="18">
                  <c:v>391</c:v>
                </c:pt>
                <c:pt idx="19">
                  <c:v>391</c:v>
                </c:pt>
                <c:pt idx="20">
                  <c:v>391</c:v>
                </c:pt>
                <c:pt idx="21">
                  <c:v>391</c:v>
                </c:pt>
                <c:pt idx="22">
                  <c:v>391</c:v>
                </c:pt>
                <c:pt idx="23">
                  <c:v>391</c:v>
                </c:pt>
                <c:pt idx="24">
                  <c:v>391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F89-4E02-9875-0E09416B70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Blad1!$TZ$1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Blad1!$TZ$2:$TZ$26</c:f>
              <c:numCache>
                <c:formatCode>General</c:formatCode>
                <c:ptCount val="25"/>
                <c:pt idx="0">
                  <c:v>0</c:v>
                </c:pt>
                <c:pt idx="1">
                  <c:v>13</c:v>
                </c:pt>
                <c:pt idx="2">
                  <c:v>36</c:v>
                </c:pt>
                <c:pt idx="3">
                  <c:v>66</c:v>
                </c:pt>
                <c:pt idx="4">
                  <c:v>96</c:v>
                </c:pt>
                <c:pt idx="5">
                  <c:v>118</c:v>
                </c:pt>
                <c:pt idx="6">
                  <c:v>152</c:v>
                </c:pt>
                <c:pt idx="7">
                  <c:v>192</c:v>
                </c:pt>
                <c:pt idx="8">
                  <c:v>206</c:v>
                </c:pt>
                <c:pt idx="9">
                  <c:v>235</c:v>
                </c:pt>
                <c:pt idx="10">
                  <c:v>263</c:v>
                </c:pt>
                <c:pt idx="11">
                  <c:v>295</c:v>
                </c:pt>
                <c:pt idx="12">
                  <c:v>315</c:v>
                </c:pt>
                <c:pt idx="13">
                  <c:v>334</c:v>
                </c:pt>
                <c:pt idx="14">
                  <c:v>377</c:v>
                </c:pt>
                <c:pt idx="15">
                  <c:v>384</c:v>
                </c:pt>
                <c:pt idx="16">
                  <c:v>384</c:v>
                </c:pt>
                <c:pt idx="17">
                  <c:v>374</c:v>
                </c:pt>
                <c:pt idx="18">
                  <c:v>374</c:v>
                </c:pt>
                <c:pt idx="19">
                  <c:v>374</c:v>
                </c:pt>
                <c:pt idx="20">
                  <c:v>374</c:v>
                </c:pt>
                <c:pt idx="21">
                  <c:v>374</c:v>
                </c:pt>
                <c:pt idx="22">
                  <c:v>374</c:v>
                </c:pt>
                <c:pt idx="23">
                  <c:v>374</c:v>
                </c:pt>
                <c:pt idx="24">
                  <c:v>374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527-43A7-BE08-95F21AA68ADA}"/>
            </c:ext>
          </c:extLst>
        </c:ser>
        <c:ser>
          <c:idx val="1"/>
          <c:order val="1"/>
          <c:tx>
            <c:strRef>
              <c:f>Blad1!$UF$1</c:f>
              <c:strCache>
                <c:ptCount val="1"/>
                <c:pt idx="0">
                  <c:v>Boardposition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Blad1!$UF$2:$UF$26</c:f>
              <c:numCache>
                <c:formatCode>General</c:formatCode>
                <c:ptCount val="25"/>
                <c:pt idx="0">
                  <c:v>0</c:v>
                </c:pt>
                <c:pt idx="1">
                  <c:v>16</c:v>
                </c:pt>
                <c:pt idx="2">
                  <c:v>27</c:v>
                </c:pt>
                <c:pt idx="3">
                  <c:v>47</c:v>
                </c:pt>
                <c:pt idx="4">
                  <c:v>69</c:v>
                </c:pt>
                <c:pt idx="5">
                  <c:v>129</c:v>
                </c:pt>
                <c:pt idx="6">
                  <c:v>181</c:v>
                </c:pt>
                <c:pt idx="7">
                  <c:v>220</c:v>
                </c:pt>
                <c:pt idx="8">
                  <c:v>244</c:v>
                </c:pt>
                <c:pt idx="9">
                  <c:v>264</c:v>
                </c:pt>
                <c:pt idx="10">
                  <c:v>288</c:v>
                </c:pt>
                <c:pt idx="11">
                  <c:v>322</c:v>
                </c:pt>
                <c:pt idx="12">
                  <c:v>378</c:v>
                </c:pt>
                <c:pt idx="13">
                  <c:v>411</c:v>
                </c:pt>
                <c:pt idx="14">
                  <c:v>449</c:v>
                </c:pt>
                <c:pt idx="15">
                  <c:v>480</c:v>
                </c:pt>
                <c:pt idx="16">
                  <c:v>490</c:v>
                </c:pt>
                <c:pt idx="17">
                  <c:v>500</c:v>
                </c:pt>
                <c:pt idx="18">
                  <c:v>500</c:v>
                </c:pt>
                <c:pt idx="19">
                  <c:v>500</c:v>
                </c:pt>
                <c:pt idx="20">
                  <c:v>500</c:v>
                </c:pt>
                <c:pt idx="21">
                  <c:v>500</c:v>
                </c:pt>
                <c:pt idx="22">
                  <c:v>500</c:v>
                </c:pt>
                <c:pt idx="23">
                  <c:v>500</c:v>
                </c:pt>
                <c:pt idx="24">
                  <c:v>500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527-43A7-BE08-95F21AA68A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Blad1!$UL$1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Blad1!$UL$2:$UL$26</c:f>
              <c:numCache>
                <c:formatCode>General</c:formatCode>
                <c:ptCount val="25"/>
                <c:pt idx="0">
                  <c:v>0</c:v>
                </c:pt>
                <c:pt idx="1">
                  <c:v>20</c:v>
                </c:pt>
                <c:pt idx="2">
                  <c:v>55</c:v>
                </c:pt>
                <c:pt idx="3">
                  <c:v>87</c:v>
                </c:pt>
                <c:pt idx="4">
                  <c:v>119</c:v>
                </c:pt>
                <c:pt idx="5">
                  <c:v>152</c:v>
                </c:pt>
                <c:pt idx="6">
                  <c:v>205</c:v>
                </c:pt>
                <c:pt idx="7">
                  <c:v>235</c:v>
                </c:pt>
                <c:pt idx="8">
                  <c:v>302</c:v>
                </c:pt>
                <c:pt idx="9">
                  <c:v>335</c:v>
                </c:pt>
                <c:pt idx="10">
                  <c:v>355</c:v>
                </c:pt>
                <c:pt idx="11">
                  <c:v>374</c:v>
                </c:pt>
                <c:pt idx="12">
                  <c:v>396</c:v>
                </c:pt>
                <c:pt idx="13">
                  <c:v>421</c:v>
                </c:pt>
                <c:pt idx="14">
                  <c:v>435</c:v>
                </c:pt>
                <c:pt idx="15">
                  <c:v>448</c:v>
                </c:pt>
                <c:pt idx="16">
                  <c:v>448</c:v>
                </c:pt>
                <c:pt idx="17">
                  <c:v>448</c:v>
                </c:pt>
                <c:pt idx="18">
                  <c:v>448</c:v>
                </c:pt>
                <c:pt idx="19">
                  <c:v>448</c:v>
                </c:pt>
                <c:pt idx="20">
                  <c:v>448</c:v>
                </c:pt>
                <c:pt idx="21">
                  <c:v>448</c:v>
                </c:pt>
                <c:pt idx="22">
                  <c:v>448</c:v>
                </c:pt>
                <c:pt idx="23">
                  <c:v>448</c:v>
                </c:pt>
                <c:pt idx="24">
                  <c:v>448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183-445E-8697-80580CCF5F1D}"/>
            </c:ext>
          </c:extLst>
        </c:ser>
        <c:ser>
          <c:idx val="1"/>
          <c:order val="1"/>
          <c:tx>
            <c:strRef>
              <c:f>Blad1!$UR$1</c:f>
              <c:strCache>
                <c:ptCount val="1"/>
                <c:pt idx="0">
                  <c:v>Boardposition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Blad1!$UR$2:$UR$26</c:f>
              <c:numCache>
                <c:formatCode>General</c:formatCode>
                <c:ptCount val="25"/>
                <c:pt idx="0">
                  <c:v>0</c:v>
                </c:pt>
                <c:pt idx="1">
                  <c:v>72</c:v>
                </c:pt>
                <c:pt idx="2">
                  <c:v>108</c:v>
                </c:pt>
                <c:pt idx="3">
                  <c:v>136</c:v>
                </c:pt>
                <c:pt idx="4">
                  <c:v>166</c:v>
                </c:pt>
                <c:pt idx="5">
                  <c:v>228</c:v>
                </c:pt>
                <c:pt idx="6">
                  <c:v>251</c:v>
                </c:pt>
                <c:pt idx="7">
                  <c:v>295</c:v>
                </c:pt>
                <c:pt idx="8">
                  <c:v>321</c:v>
                </c:pt>
                <c:pt idx="9">
                  <c:v>364</c:v>
                </c:pt>
                <c:pt idx="10">
                  <c:v>399</c:v>
                </c:pt>
                <c:pt idx="11">
                  <c:v>423</c:v>
                </c:pt>
                <c:pt idx="12">
                  <c:v>445</c:v>
                </c:pt>
                <c:pt idx="13">
                  <c:v>464</c:v>
                </c:pt>
                <c:pt idx="14">
                  <c:v>471</c:v>
                </c:pt>
                <c:pt idx="15">
                  <c:v>466</c:v>
                </c:pt>
                <c:pt idx="16">
                  <c:v>466</c:v>
                </c:pt>
                <c:pt idx="17">
                  <c:v>466</c:v>
                </c:pt>
                <c:pt idx="18">
                  <c:v>466</c:v>
                </c:pt>
                <c:pt idx="19">
                  <c:v>466</c:v>
                </c:pt>
                <c:pt idx="20">
                  <c:v>466</c:v>
                </c:pt>
                <c:pt idx="21">
                  <c:v>466</c:v>
                </c:pt>
                <c:pt idx="22">
                  <c:v>466</c:v>
                </c:pt>
                <c:pt idx="23">
                  <c:v>466</c:v>
                </c:pt>
                <c:pt idx="24">
                  <c:v>466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183-445E-8697-80580CCF5F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Blad1!$UX$1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Blad1!$UX$2:$UX$26</c:f>
              <c:numCache>
                <c:formatCode>General</c:formatCode>
                <c:ptCount val="25"/>
                <c:pt idx="0">
                  <c:v>0</c:v>
                </c:pt>
                <c:pt idx="1">
                  <c:v>56</c:v>
                </c:pt>
                <c:pt idx="2">
                  <c:v>110</c:v>
                </c:pt>
                <c:pt idx="3">
                  <c:v>140</c:v>
                </c:pt>
                <c:pt idx="4">
                  <c:v>170</c:v>
                </c:pt>
                <c:pt idx="5">
                  <c:v>202</c:v>
                </c:pt>
                <c:pt idx="6">
                  <c:v>240</c:v>
                </c:pt>
                <c:pt idx="7">
                  <c:v>284</c:v>
                </c:pt>
                <c:pt idx="8">
                  <c:v>328</c:v>
                </c:pt>
                <c:pt idx="9">
                  <c:v>359</c:v>
                </c:pt>
                <c:pt idx="10">
                  <c:v>383</c:v>
                </c:pt>
                <c:pt idx="11">
                  <c:v>410</c:v>
                </c:pt>
                <c:pt idx="12">
                  <c:v>430</c:v>
                </c:pt>
                <c:pt idx="13">
                  <c:v>446</c:v>
                </c:pt>
                <c:pt idx="14">
                  <c:v>458</c:v>
                </c:pt>
                <c:pt idx="15">
                  <c:v>463</c:v>
                </c:pt>
                <c:pt idx="16">
                  <c:v>461</c:v>
                </c:pt>
                <c:pt idx="17">
                  <c:v>461</c:v>
                </c:pt>
                <c:pt idx="18">
                  <c:v>461</c:v>
                </c:pt>
                <c:pt idx="19">
                  <c:v>461</c:v>
                </c:pt>
                <c:pt idx="20">
                  <c:v>461</c:v>
                </c:pt>
                <c:pt idx="21">
                  <c:v>461</c:v>
                </c:pt>
                <c:pt idx="22">
                  <c:v>461</c:v>
                </c:pt>
                <c:pt idx="23">
                  <c:v>461</c:v>
                </c:pt>
                <c:pt idx="24">
                  <c:v>461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BBA-4159-8560-AB370A73255E}"/>
            </c:ext>
          </c:extLst>
        </c:ser>
        <c:ser>
          <c:idx val="1"/>
          <c:order val="1"/>
          <c:tx>
            <c:strRef>
              <c:f>Blad1!$VD$1</c:f>
              <c:strCache>
                <c:ptCount val="1"/>
                <c:pt idx="0">
                  <c:v>Boardposition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Blad1!$VD$2:$VD$26</c:f>
              <c:numCache>
                <c:formatCode>General</c:formatCode>
                <c:ptCount val="25"/>
                <c:pt idx="0">
                  <c:v>0</c:v>
                </c:pt>
                <c:pt idx="1">
                  <c:v>28</c:v>
                </c:pt>
                <c:pt idx="2">
                  <c:v>69</c:v>
                </c:pt>
                <c:pt idx="3">
                  <c:v>183</c:v>
                </c:pt>
                <c:pt idx="4">
                  <c:v>225</c:v>
                </c:pt>
                <c:pt idx="5">
                  <c:v>273</c:v>
                </c:pt>
                <c:pt idx="6">
                  <c:v>294</c:v>
                </c:pt>
                <c:pt idx="7">
                  <c:v>346</c:v>
                </c:pt>
                <c:pt idx="8">
                  <c:v>374</c:v>
                </c:pt>
                <c:pt idx="9">
                  <c:v>403</c:v>
                </c:pt>
                <c:pt idx="10">
                  <c:v>424</c:v>
                </c:pt>
                <c:pt idx="11">
                  <c:v>463</c:v>
                </c:pt>
                <c:pt idx="12">
                  <c:v>476</c:v>
                </c:pt>
                <c:pt idx="13">
                  <c:v>488</c:v>
                </c:pt>
                <c:pt idx="14">
                  <c:v>495</c:v>
                </c:pt>
                <c:pt idx="15">
                  <c:v>501</c:v>
                </c:pt>
                <c:pt idx="16">
                  <c:v>503</c:v>
                </c:pt>
                <c:pt idx="17">
                  <c:v>503</c:v>
                </c:pt>
                <c:pt idx="18">
                  <c:v>503</c:v>
                </c:pt>
                <c:pt idx="19">
                  <c:v>503</c:v>
                </c:pt>
                <c:pt idx="20">
                  <c:v>503</c:v>
                </c:pt>
                <c:pt idx="21">
                  <c:v>503</c:v>
                </c:pt>
                <c:pt idx="22">
                  <c:v>503</c:v>
                </c:pt>
                <c:pt idx="23">
                  <c:v>503</c:v>
                </c:pt>
                <c:pt idx="24">
                  <c:v>503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BBA-4159-8560-AB370A7325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Blad1!$VJ$1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Blad1!$VJ$2:$VJ$26</c:f>
              <c:numCache>
                <c:formatCode>General</c:formatCode>
                <c:ptCount val="25"/>
                <c:pt idx="0">
                  <c:v>0</c:v>
                </c:pt>
                <c:pt idx="1">
                  <c:v>26</c:v>
                </c:pt>
                <c:pt idx="2">
                  <c:v>50</c:v>
                </c:pt>
                <c:pt idx="3">
                  <c:v>90</c:v>
                </c:pt>
                <c:pt idx="4">
                  <c:v>139</c:v>
                </c:pt>
                <c:pt idx="5">
                  <c:v>164</c:v>
                </c:pt>
                <c:pt idx="6">
                  <c:v>198</c:v>
                </c:pt>
                <c:pt idx="7">
                  <c:v>225</c:v>
                </c:pt>
                <c:pt idx="8">
                  <c:v>253</c:v>
                </c:pt>
                <c:pt idx="9">
                  <c:v>274</c:v>
                </c:pt>
                <c:pt idx="10">
                  <c:v>290</c:v>
                </c:pt>
                <c:pt idx="11">
                  <c:v>312</c:v>
                </c:pt>
                <c:pt idx="12">
                  <c:v>338</c:v>
                </c:pt>
                <c:pt idx="13">
                  <c:v>362</c:v>
                </c:pt>
                <c:pt idx="14">
                  <c:v>382</c:v>
                </c:pt>
                <c:pt idx="15">
                  <c:v>370</c:v>
                </c:pt>
                <c:pt idx="16">
                  <c:v>370</c:v>
                </c:pt>
                <c:pt idx="17">
                  <c:v>370</c:v>
                </c:pt>
                <c:pt idx="18">
                  <c:v>370</c:v>
                </c:pt>
                <c:pt idx="19">
                  <c:v>370</c:v>
                </c:pt>
                <c:pt idx="20">
                  <c:v>370</c:v>
                </c:pt>
                <c:pt idx="21">
                  <c:v>370</c:v>
                </c:pt>
                <c:pt idx="22">
                  <c:v>370</c:v>
                </c:pt>
                <c:pt idx="23">
                  <c:v>370</c:v>
                </c:pt>
                <c:pt idx="24">
                  <c:v>370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242-4EC9-A9FF-5AD14A24B67D}"/>
            </c:ext>
          </c:extLst>
        </c:ser>
        <c:ser>
          <c:idx val="1"/>
          <c:order val="1"/>
          <c:tx>
            <c:strRef>
              <c:f>Blad1!$VP$1</c:f>
              <c:strCache>
                <c:ptCount val="1"/>
                <c:pt idx="0">
                  <c:v>Boardposition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Blad1!$VP$2:$VP$26</c:f>
              <c:numCache>
                <c:formatCode>General</c:formatCode>
                <c:ptCount val="25"/>
                <c:pt idx="0">
                  <c:v>0</c:v>
                </c:pt>
                <c:pt idx="1">
                  <c:v>13</c:v>
                </c:pt>
                <c:pt idx="2">
                  <c:v>39</c:v>
                </c:pt>
                <c:pt idx="3">
                  <c:v>74</c:v>
                </c:pt>
                <c:pt idx="4">
                  <c:v>101</c:v>
                </c:pt>
                <c:pt idx="5">
                  <c:v>118</c:v>
                </c:pt>
                <c:pt idx="6">
                  <c:v>160</c:v>
                </c:pt>
                <c:pt idx="7">
                  <c:v>181</c:v>
                </c:pt>
                <c:pt idx="8">
                  <c:v>223</c:v>
                </c:pt>
                <c:pt idx="9">
                  <c:v>269</c:v>
                </c:pt>
                <c:pt idx="10">
                  <c:v>293</c:v>
                </c:pt>
                <c:pt idx="11">
                  <c:v>329</c:v>
                </c:pt>
                <c:pt idx="12">
                  <c:v>355</c:v>
                </c:pt>
                <c:pt idx="13">
                  <c:v>446</c:v>
                </c:pt>
                <c:pt idx="14">
                  <c:v>454</c:v>
                </c:pt>
                <c:pt idx="15">
                  <c:v>466</c:v>
                </c:pt>
                <c:pt idx="16">
                  <c:v>466</c:v>
                </c:pt>
                <c:pt idx="17">
                  <c:v>466</c:v>
                </c:pt>
                <c:pt idx="18">
                  <c:v>466</c:v>
                </c:pt>
                <c:pt idx="19">
                  <c:v>466</c:v>
                </c:pt>
                <c:pt idx="20">
                  <c:v>466</c:v>
                </c:pt>
                <c:pt idx="21">
                  <c:v>466</c:v>
                </c:pt>
                <c:pt idx="22">
                  <c:v>466</c:v>
                </c:pt>
                <c:pt idx="23">
                  <c:v>466</c:v>
                </c:pt>
                <c:pt idx="24">
                  <c:v>466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242-4EC9-A9FF-5AD14A24B6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Blad1!$VV$1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Blad1!$VV$2:$VV$26</c:f>
              <c:numCache>
                <c:formatCode>General</c:formatCode>
                <c:ptCount val="25"/>
                <c:pt idx="0">
                  <c:v>0</c:v>
                </c:pt>
                <c:pt idx="1">
                  <c:v>26</c:v>
                </c:pt>
                <c:pt idx="2">
                  <c:v>59</c:v>
                </c:pt>
                <c:pt idx="3">
                  <c:v>90</c:v>
                </c:pt>
                <c:pt idx="4">
                  <c:v>156</c:v>
                </c:pt>
                <c:pt idx="5">
                  <c:v>201</c:v>
                </c:pt>
                <c:pt idx="6">
                  <c:v>218</c:v>
                </c:pt>
                <c:pt idx="7">
                  <c:v>236</c:v>
                </c:pt>
                <c:pt idx="8">
                  <c:v>269</c:v>
                </c:pt>
                <c:pt idx="9">
                  <c:v>281</c:v>
                </c:pt>
                <c:pt idx="10">
                  <c:v>291</c:v>
                </c:pt>
                <c:pt idx="11">
                  <c:v>318</c:v>
                </c:pt>
                <c:pt idx="12">
                  <c:v>340</c:v>
                </c:pt>
                <c:pt idx="13">
                  <c:v>358</c:v>
                </c:pt>
                <c:pt idx="14">
                  <c:v>378</c:v>
                </c:pt>
                <c:pt idx="15">
                  <c:v>403</c:v>
                </c:pt>
                <c:pt idx="16">
                  <c:v>419</c:v>
                </c:pt>
                <c:pt idx="17">
                  <c:v>427</c:v>
                </c:pt>
                <c:pt idx="18">
                  <c:v>442</c:v>
                </c:pt>
                <c:pt idx="19">
                  <c:v>442</c:v>
                </c:pt>
                <c:pt idx="20">
                  <c:v>442</c:v>
                </c:pt>
                <c:pt idx="21">
                  <c:v>442</c:v>
                </c:pt>
                <c:pt idx="22">
                  <c:v>442</c:v>
                </c:pt>
                <c:pt idx="23">
                  <c:v>442</c:v>
                </c:pt>
                <c:pt idx="24">
                  <c:v>442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4A7-476E-888C-A66A0163AA56}"/>
            </c:ext>
          </c:extLst>
        </c:ser>
        <c:ser>
          <c:idx val="1"/>
          <c:order val="1"/>
          <c:tx>
            <c:strRef>
              <c:f>Blad1!$WB$1</c:f>
              <c:strCache>
                <c:ptCount val="1"/>
                <c:pt idx="0">
                  <c:v>Boardposition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Blad1!$WB$2:$WB$26</c:f>
              <c:numCache>
                <c:formatCode>General</c:formatCode>
                <c:ptCount val="25"/>
                <c:pt idx="0">
                  <c:v>0</c:v>
                </c:pt>
                <c:pt idx="1">
                  <c:v>26</c:v>
                </c:pt>
                <c:pt idx="2">
                  <c:v>60</c:v>
                </c:pt>
                <c:pt idx="3">
                  <c:v>126</c:v>
                </c:pt>
                <c:pt idx="4">
                  <c:v>155</c:v>
                </c:pt>
                <c:pt idx="5">
                  <c:v>177</c:v>
                </c:pt>
                <c:pt idx="6">
                  <c:v>200</c:v>
                </c:pt>
                <c:pt idx="7">
                  <c:v>228</c:v>
                </c:pt>
                <c:pt idx="8">
                  <c:v>245</c:v>
                </c:pt>
                <c:pt idx="9">
                  <c:v>271</c:v>
                </c:pt>
                <c:pt idx="10">
                  <c:v>316</c:v>
                </c:pt>
                <c:pt idx="11">
                  <c:v>333</c:v>
                </c:pt>
                <c:pt idx="12">
                  <c:v>373</c:v>
                </c:pt>
                <c:pt idx="13">
                  <c:v>387</c:v>
                </c:pt>
                <c:pt idx="14">
                  <c:v>436</c:v>
                </c:pt>
                <c:pt idx="15">
                  <c:v>458</c:v>
                </c:pt>
                <c:pt idx="16">
                  <c:v>458</c:v>
                </c:pt>
                <c:pt idx="17">
                  <c:v>458</c:v>
                </c:pt>
                <c:pt idx="18">
                  <c:v>448</c:v>
                </c:pt>
                <c:pt idx="19">
                  <c:v>448</c:v>
                </c:pt>
                <c:pt idx="20">
                  <c:v>448</c:v>
                </c:pt>
                <c:pt idx="21">
                  <c:v>448</c:v>
                </c:pt>
                <c:pt idx="22">
                  <c:v>448</c:v>
                </c:pt>
                <c:pt idx="23">
                  <c:v>448</c:v>
                </c:pt>
                <c:pt idx="24">
                  <c:v>448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4A7-476E-888C-A66A0163AA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Blad1!$WH$1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Blad1!$WH$2:$WH$26</c:f>
              <c:numCache>
                <c:formatCode>General</c:formatCode>
                <c:ptCount val="25"/>
                <c:pt idx="0">
                  <c:v>0</c:v>
                </c:pt>
                <c:pt idx="1">
                  <c:v>4</c:v>
                </c:pt>
                <c:pt idx="2">
                  <c:v>37</c:v>
                </c:pt>
                <c:pt idx="3">
                  <c:v>61</c:v>
                </c:pt>
                <c:pt idx="4">
                  <c:v>99</c:v>
                </c:pt>
                <c:pt idx="5">
                  <c:v>128</c:v>
                </c:pt>
                <c:pt idx="6">
                  <c:v>208</c:v>
                </c:pt>
                <c:pt idx="7">
                  <c:v>242</c:v>
                </c:pt>
                <c:pt idx="8">
                  <c:v>280</c:v>
                </c:pt>
                <c:pt idx="9">
                  <c:v>302</c:v>
                </c:pt>
                <c:pt idx="10">
                  <c:v>327</c:v>
                </c:pt>
                <c:pt idx="11">
                  <c:v>349</c:v>
                </c:pt>
                <c:pt idx="12">
                  <c:v>371</c:v>
                </c:pt>
                <c:pt idx="13">
                  <c:v>398</c:v>
                </c:pt>
                <c:pt idx="14">
                  <c:v>421</c:v>
                </c:pt>
                <c:pt idx="15">
                  <c:v>431</c:v>
                </c:pt>
                <c:pt idx="16">
                  <c:v>440</c:v>
                </c:pt>
                <c:pt idx="17">
                  <c:v>440</c:v>
                </c:pt>
                <c:pt idx="18">
                  <c:v>430</c:v>
                </c:pt>
                <c:pt idx="19">
                  <c:v>430</c:v>
                </c:pt>
                <c:pt idx="20">
                  <c:v>430</c:v>
                </c:pt>
                <c:pt idx="21">
                  <c:v>430</c:v>
                </c:pt>
                <c:pt idx="22">
                  <c:v>430</c:v>
                </c:pt>
                <c:pt idx="23">
                  <c:v>430</c:v>
                </c:pt>
                <c:pt idx="24">
                  <c:v>430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F7A-494C-963E-7E09FA1B007E}"/>
            </c:ext>
          </c:extLst>
        </c:ser>
        <c:ser>
          <c:idx val="1"/>
          <c:order val="1"/>
          <c:tx>
            <c:strRef>
              <c:f>Blad1!$WN$1</c:f>
              <c:strCache>
                <c:ptCount val="1"/>
                <c:pt idx="0">
                  <c:v>Boardposition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Blad1!$WN$2:$WN$26</c:f>
              <c:numCache>
                <c:formatCode>General</c:formatCode>
                <c:ptCount val="25"/>
                <c:pt idx="0">
                  <c:v>0</c:v>
                </c:pt>
                <c:pt idx="1">
                  <c:v>14</c:v>
                </c:pt>
                <c:pt idx="2">
                  <c:v>94</c:v>
                </c:pt>
                <c:pt idx="3">
                  <c:v>150</c:v>
                </c:pt>
                <c:pt idx="4">
                  <c:v>173</c:v>
                </c:pt>
                <c:pt idx="5">
                  <c:v>209</c:v>
                </c:pt>
                <c:pt idx="6">
                  <c:v>234</c:v>
                </c:pt>
                <c:pt idx="7">
                  <c:v>269</c:v>
                </c:pt>
                <c:pt idx="8">
                  <c:v>298</c:v>
                </c:pt>
                <c:pt idx="9">
                  <c:v>317</c:v>
                </c:pt>
                <c:pt idx="10">
                  <c:v>344</c:v>
                </c:pt>
                <c:pt idx="11">
                  <c:v>392</c:v>
                </c:pt>
                <c:pt idx="12">
                  <c:v>418</c:v>
                </c:pt>
                <c:pt idx="13">
                  <c:v>442</c:v>
                </c:pt>
                <c:pt idx="14">
                  <c:v>459</c:v>
                </c:pt>
                <c:pt idx="15">
                  <c:v>459</c:v>
                </c:pt>
                <c:pt idx="16">
                  <c:v>459</c:v>
                </c:pt>
                <c:pt idx="17">
                  <c:v>459</c:v>
                </c:pt>
                <c:pt idx="18">
                  <c:v>455</c:v>
                </c:pt>
                <c:pt idx="19">
                  <c:v>455</c:v>
                </c:pt>
                <c:pt idx="20">
                  <c:v>455</c:v>
                </c:pt>
                <c:pt idx="21">
                  <c:v>455</c:v>
                </c:pt>
                <c:pt idx="22">
                  <c:v>455</c:v>
                </c:pt>
                <c:pt idx="23">
                  <c:v>455</c:v>
                </c:pt>
                <c:pt idx="24">
                  <c:v>455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F7A-494C-963E-7E09FA1B00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Blad1!$WT$1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Blad1!$WT$2:$WT$26</c:f>
              <c:numCache>
                <c:formatCode>General</c:formatCode>
                <c:ptCount val="25"/>
                <c:pt idx="0">
                  <c:v>0</c:v>
                </c:pt>
                <c:pt idx="1">
                  <c:v>22</c:v>
                </c:pt>
                <c:pt idx="2">
                  <c:v>44</c:v>
                </c:pt>
                <c:pt idx="3">
                  <c:v>77</c:v>
                </c:pt>
                <c:pt idx="4">
                  <c:v>98</c:v>
                </c:pt>
                <c:pt idx="5">
                  <c:v>119</c:v>
                </c:pt>
                <c:pt idx="6">
                  <c:v>143</c:v>
                </c:pt>
                <c:pt idx="7">
                  <c:v>166</c:v>
                </c:pt>
                <c:pt idx="8">
                  <c:v>182</c:v>
                </c:pt>
                <c:pt idx="9">
                  <c:v>205</c:v>
                </c:pt>
                <c:pt idx="10">
                  <c:v>243</c:v>
                </c:pt>
                <c:pt idx="11">
                  <c:v>273</c:v>
                </c:pt>
                <c:pt idx="12">
                  <c:v>312</c:v>
                </c:pt>
                <c:pt idx="13">
                  <c:v>396</c:v>
                </c:pt>
                <c:pt idx="14">
                  <c:v>423</c:v>
                </c:pt>
                <c:pt idx="15">
                  <c:v>493</c:v>
                </c:pt>
                <c:pt idx="16">
                  <c:v>513</c:v>
                </c:pt>
                <c:pt idx="17">
                  <c:v>525</c:v>
                </c:pt>
                <c:pt idx="18">
                  <c:v>525</c:v>
                </c:pt>
                <c:pt idx="19">
                  <c:v>525</c:v>
                </c:pt>
                <c:pt idx="20">
                  <c:v>525</c:v>
                </c:pt>
                <c:pt idx="21">
                  <c:v>525</c:v>
                </c:pt>
                <c:pt idx="22">
                  <c:v>525</c:v>
                </c:pt>
                <c:pt idx="23">
                  <c:v>525</c:v>
                </c:pt>
                <c:pt idx="24">
                  <c:v>525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EBB-4EFB-9058-82E32358F5D9}"/>
            </c:ext>
          </c:extLst>
        </c:ser>
        <c:ser>
          <c:idx val="1"/>
          <c:order val="1"/>
          <c:tx>
            <c:strRef>
              <c:f>Blad1!$WZ$1</c:f>
              <c:strCache>
                <c:ptCount val="1"/>
                <c:pt idx="0">
                  <c:v>Boardposition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Blad1!$WZ$2:$WZ$26</c:f>
              <c:numCache>
                <c:formatCode>General</c:formatCode>
                <c:ptCount val="25"/>
                <c:pt idx="0">
                  <c:v>0</c:v>
                </c:pt>
                <c:pt idx="1">
                  <c:v>9</c:v>
                </c:pt>
                <c:pt idx="2">
                  <c:v>29</c:v>
                </c:pt>
                <c:pt idx="3">
                  <c:v>50</c:v>
                </c:pt>
                <c:pt idx="4">
                  <c:v>80</c:v>
                </c:pt>
                <c:pt idx="5">
                  <c:v>104</c:v>
                </c:pt>
                <c:pt idx="6">
                  <c:v>124</c:v>
                </c:pt>
                <c:pt idx="7">
                  <c:v>183</c:v>
                </c:pt>
                <c:pt idx="8">
                  <c:v>202</c:v>
                </c:pt>
                <c:pt idx="9">
                  <c:v>218</c:v>
                </c:pt>
                <c:pt idx="10">
                  <c:v>255</c:v>
                </c:pt>
                <c:pt idx="11">
                  <c:v>294</c:v>
                </c:pt>
                <c:pt idx="12">
                  <c:v>325</c:v>
                </c:pt>
                <c:pt idx="13">
                  <c:v>333</c:v>
                </c:pt>
                <c:pt idx="14">
                  <c:v>338</c:v>
                </c:pt>
                <c:pt idx="15">
                  <c:v>370</c:v>
                </c:pt>
                <c:pt idx="16">
                  <c:v>387</c:v>
                </c:pt>
                <c:pt idx="17">
                  <c:v>386</c:v>
                </c:pt>
                <c:pt idx="18">
                  <c:v>386</c:v>
                </c:pt>
                <c:pt idx="19">
                  <c:v>386</c:v>
                </c:pt>
                <c:pt idx="20">
                  <c:v>386</c:v>
                </c:pt>
                <c:pt idx="21">
                  <c:v>386</c:v>
                </c:pt>
                <c:pt idx="22">
                  <c:v>386</c:v>
                </c:pt>
                <c:pt idx="23">
                  <c:v>386</c:v>
                </c:pt>
                <c:pt idx="24">
                  <c:v>386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EBB-4EFB-9058-82E32358F5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Blad1!$XF$1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Blad1!$XF$2:$XF$26</c:f>
              <c:numCache>
                <c:formatCode>General</c:formatCode>
                <c:ptCount val="25"/>
                <c:pt idx="0">
                  <c:v>0</c:v>
                </c:pt>
                <c:pt idx="1">
                  <c:v>20</c:v>
                </c:pt>
                <c:pt idx="2">
                  <c:v>79</c:v>
                </c:pt>
                <c:pt idx="3">
                  <c:v>107</c:v>
                </c:pt>
                <c:pt idx="4">
                  <c:v>145</c:v>
                </c:pt>
                <c:pt idx="5">
                  <c:v>177</c:v>
                </c:pt>
                <c:pt idx="6">
                  <c:v>197</c:v>
                </c:pt>
                <c:pt idx="7">
                  <c:v>215</c:v>
                </c:pt>
                <c:pt idx="8">
                  <c:v>233</c:v>
                </c:pt>
                <c:pt idx="9">
                  <c:v>295</c:v>
                </c:pt>
                <c:pt idx="10">
                  <c:v>343</c:v>
                </c:pt>
                <c:pt idx="11">
                  <c:v>365</c:v>
                </c:pt>
                <c:pt idx="12">
                  <c:v>400</c:v>
                </c:pt>
                <c:pt idx="13">
                  <c:v>429</c:v>
                </c:pt>
                <c:pt idx="14">
                  <c:v>445</c:v>
                </c:pt>
                <c:pt idx="15">
                  <c:v>455</c:v>
                </c:pt>
                <c:pt idx="16">
                  <c:v>475</c:v>
                </c:pt>
                <c:pt idx="17">
                  <c:v>475</c:v>
                </c:pt>
                <c:pt idx="18">
                  <c:v>475</c:v>
                </c:pt>
                <c:pt idx="19">
                  <c:v>475</c:v>
                </c:pt>
                <c:pt idx="20">
                  <c:v>475</c:v>
                </c:pt>
                <c:pt idx="21">
                  <c:v>475</c:v>
                </c:pt>
                <c:pt idx="22">
                  <c:v>475</c:v>
                </c:pt>
                <c:pt idx="23">
                  <c:v>475</c:v>
                </c:pt>
                <c:pt idx="24">
                  <c:v>475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911-4EFC-93F4-204BFE405FE7}"/>
            </c:ext>
          </c:extLst>
        </c:ser>
        <c:ser>
          <c:idx val="1"/>
          <c:order val="1"/>
          <c:tx>
            <c:strRef>
              <c:f>Blad1!$XL$1</c:f>
              <c:strCache>
                <c:ptCount val="1"/>
                <c:pt idx="0">
                  <c:v>Boardposition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Blad1!$XL$2:$XL$26</c:f>
              <c:numCache>
                <c:formatCode>General</c:formatCode>
                <c:ptCount val="25"/>
                <c:pt idx="0">
                  <c:v>0</c:v>
                </c:pt>
                <c:pt idx="1">
                  <c:v>32</c:v>
                </c:pt>
                <c:pt idx="2">
                  <c:v>64</c:v>
                </c:pt>
                <c:pt idx="3">
                  <c:v>152</c:v>
                </c:pt>
                <c:pt idx="4">
                  <c:v>184</c:v>
                </c:pt>
                <c:pt idx="5">
                  <c:v>218</c:v>
                </c:pt>
                <c:pt idx="6">
                  <c:v>246</c:v>
                </c:pt>
                <c:pt idx="7">
                  <c:v>275</c:v>
                </c:pt>
                <c:pt idx="8">
                  <c:v>309</c:v>
                </c:pt>
                <c:pt idx="9">
                  <c:v>340</c:v>
                </c:pt>
                <c:pt idx="10">
                  <c:v>363</c:v>
                </c:pt>
                <c:pt idx="11">
                  <c:v>394</c:v>
                </c:pt>
                <c:pt idx="12">
                  <c:v>411</c:v>
                </c:pt>
                <c:pt idx="13">
                  <c:v>434</c:v>
                </c:pt>
                <c:pt idx="14">
                  <c:v>452</c:v>
                </c:pt>
                <c:pt idx="15">
                  <c:v>456</c:v>
                </c:pt>
                <c:pt idx="16">
                  <c:v>445</c:v>
                </c:pt>
                <c:pt idx="17">
                  <c:v>445</c:v>
                </c:pt>
                <c:pt idx="18">
                  <c:v>445</c:v>
                </c:pt>
                <c:pt idx="19">
                  <c:v>445</c:v>
                </c:pt>
                <c:pt idx="20">
                  <c:v>445</c:v>
                </c:pt>
                <c:pt idx="21">
                  <c:v>445</c:v>
                </c:pt>
                <c:pt idx="22">
                  <c:v>445</c:v>
                </c:pt>
                <c:pt idx="23">
                  <c:v>445</c:v>
                </c:pt>
                <c:pt idx="24">
                  <c:v>445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911-4EFC-93F4-204BFE405F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Blad1!$XR$1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Blad1!$XR$2:$XR$26</c:f>
              <c:numCache>
                <c:formatCode>General</c:formatCode>
                <c:ptCount val="25"/>
                <c:pt idx="0">
                  <c:v>0</c:v>
                </c:pt>
                <c:pt idx="1">
                  <c:v>26</c:v>
                </c:pt>
                <c:pt idx="2">
                  <c:v>52</c:v>
                </c:pt>
                <c:pt idx="3">
                  <c:v>108</c:v>
                </c:pt>
                <c:pt idx="4">
                  <c:v>144</c:v>
                </c:pt>
                <c:pt idx="5">
                  <c:v>174</c:v>
                </c:pt>
                <c:pt idx="6">
                  <c:v>207</c:v>
                </c:pt>
                <c:pt idx="7">
                  <c:v>229</c:v>
                </c:pt>
                <c:pt idx="8">
                  <c:v>251</c:v>
                </c:pt>
                <c:pt idx="9">
                  <c:v>279</c:v>
                </c:pt>
                <c:pt idx="10">
                  <c:v>302</c:v>
                </c:pt>
                <c:pt idx="11">
                  <c:v>318</c:v>
                </c:pt>
                <c:pt idx="12">
                  <c:v>340</c:v>
                </c:pt>
                <c:pt idx="13">
                  <c:v>359</c:v>
                </c:pt>
                <c:pt idx="14">
                  <c:v>372</c:v>
                </c:pt>
                <c:pt idx="15">
                  <c:v>368</c:v>
                </c:pt>
                <c:pt idx="16">
                  <c:v>368</c:v>
                </c:pt>
                <c:pt idx="17">
                  <c:v>368</c:v>
                </c:pt>
                <c:pt idx="18">
                  <c:v>368</c:v>
                </c:pt>
                <c:pt idx="19">
                  <c:v>368</c:v>
                </c:pt>
                <c:pt idx="20">
                  <c:v>368</c:v>
                </c:pt>
                <c:pt idx="21">
                  <c:v>368</c:v>
                </c:pt>
                <c:pt idx="22">
                  <c:v>368</c:v>
                </c:pt>
                <c:pt idx="23">
                  <c:v>368</c:v>
                </c:pt>
                <c:pt idx="24">
                  <c:v>368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185-42D5-9D62-56621DBF38D6}"/>
            </c:ext>
          </c:extLst>
        </c:ser>
        <c:ser>
          <c:idx val="1"/>
          <c:order val="1"/>
          <c:tx>
            <c:strRef>
              <c:f>Blad1!$XX$1</c:f>
              <c:strCache>
                <c:ptCount val="1"/>
                <c:pt idx="0">
                  <c:v>Boardposition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Blad1!$XX$2:$XX$26</c:f>
              <c:numCache>
                <c:formatCode>General</c:formatCode>
                <c:ptCount val="25"/>
                <c:pt idx="0">
                  <c:v>0</c:v>
                </c:pt>
                <c:pt idx="1">
                  <c:v>136</c:v>
                </c:pt>
                <c:pt idx="2">
                  <c:v>178</c:v>
                </c:pt>
                <c:pt idx="3">
                  <c:v>262</c:v>
                </c:pt>
                <c:pt idx="4">
                  <c:v>309</c:v>
                </c:pt>
                <c:pt idx="5">
                  <c:v>328</c:v>
                </c:pt>
                <c:pt idx="6">
                  <c:v>354</c:v>
                </c:pt>
                <c:pt idx="7">
                  <c:v>385</c:v>
                </c:pt>
                <c:pt idx="8">
                  <c:v>461</c:v>
                </c:pt>
                <c:pt idx="9">
                  <c:v>551</c:v>
                </c:pt>
                <c:pt idx="10">
                  <c:v>578</c:v>
                </c:pt>
                <c:pt idx="11">
                  <c:v>599</c:v>
                </c:pt>
                <c:pt idx="12">
                  <c:v>621</c:v>
                </c:pt>
                <c:pt idx="13">
                  <c:v>637</c:v>
                </c:pt>
                <c:pt idx="14">
                  <c:v>642</c:v>
                </c:pt>
                <c:pt idx="15">
                  <c:v>646</c:v>
                </c:pt>
                <c:pt idx="16">
                  <c:v>646</c:v>
                </c:pt>
                <c:pt idx="17">
                  <c:v>646</c:v>
                </c:pt>
                <c:pt idx="18">
                  <c:v>646</c:v>
                </c:pt>
                <c:pt idx="19">
                  <c:v>646</c:v>
                </c:pt>
                <c:pt idx="20">
                  <c:v>646</c:v>
                </c:pt>
                <c:pt idx="21">
                  <c:v>646</c:v>
                </c:pt>
                <c:pt idx="22">
                  <c:v>646</c:v>
                </c:pt>
                <c:pt idx="23">
                  <c:v>646</c:v>
                </c:pt>
                <c:pt idx="24">
                  <c:v>646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185-42D5-9D62-56621DBF38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Blad1!$YD$1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Blad1!$YD$2:$YD$26</c:f>
              <c:numCache>
                <c:formatCode>General</c:formatCode>
                <c:ptCount val="25"/>
                <c:pt idx="0">
                  <c:v>0</c:v>
                </c:pt>
                <c:pt idx="1">
                  <c:v>4</c:v>
                </c:pt>
                <c:pt idx="2">
                  <c:v>35</c:v>
                </c:pt>
                <c:pt idx="3">
                  <c:v>63</c:v>
                </c:pt>
                <c:pt idx="4">
                  <c:v>90</c:v>
                </c:pt>
                <c:pt idx="5">
                  <c:v>118</c:v>
                </c:pt>
                <c:pt idx="6">
                  <c:v>140</c:v>
                </c:pt>
                <c:pt idx="7">
                  <c:v>161</c:v>
                </c:pt>
                <c:pt idx="8">
                  <c:v>190</c:v>
                </c:pt>
                <c:pt idx="9">
                  <c:v>217</c:v>
                </c:pt>
                <c:pt idx="10">
                  <c:v>236</c:v>
                </c:pt>
                <c:pt idx="11">
                  <c:v>254</c:v>
                </c:pt>
                <c:pt idx="12">
                  <c:v>320</c:v>
                </c:pt>
                <c:pt idx="13">
                  <c:v>359</c:v>
                </c:pt>
                <c:pt idx="14">
                  <c:v>404</c:v>
                </c:pt>
                <c:pt idx="15">
                  <c:v>440</c:v>
                </c:pt>
                <c:pt idx="16">
                  <c:v>464</c:v>
                </c:pt>
                <c:pt idx="17">
                  <c:v>473</c:v>
                </c:pt>
                <c:pt idx="18">
                  <c:v>478</c:v>
                </c:pt>
                <c:pt idx="19">
                  <c:v>473</c:v>
                </c:pt>
                <c:pt idx="20">
                  <c:v>473</c:v>
                </c:pt>
                <c:pt idx="21">
                  <c:v>473</c:v>
                </c:pt>
                <c:pt idx="22">
                  <c:v>473</c:v>
                </c:pt>
                <c:pt idx="23">
                  <c:v>473</c:v>
                </c:pt>
                <c:pt idx="24">
                  <c:v>473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248-4AE0-8BF2-1FB2EDBFC621}"/>
            </c:ext>
          </c:extLst>
        </c:ser>
        <c:ser>
          <c:idx val="1"/>
          <c:order val="1"/>
          <c:tx>
            <c:strRef>
              <c:f>Blad1!$YJ$1</c:f>
              <c:strCache>
                <c:ptCount val="1"/>
                <c:pt idx="0">
                  <c:v>Boardposition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Blad1!$YJ$2:$YJ$26</c:f>
              <c:numCache>
                <c:formatCode>General</c:formatCode>
                <c:ptCount val="25"/>
                <c:pt idx="0">
                  <c:v>0</c:v>
                </c:pt>
                <c:pt idx="1">
                  <c:v>38</c:v>
                </c:pt>
                <c:pt idx="2">
                  <c:v>54</c:v>
                </c:pt>
                <c:pt idx="3">
                  <c:v>90</c:v>
                </c:pt>
                <c:pt idx="4">
                  <c:v>105</c:v>
                </c:pt>
                <c:pt idx="5">
                  <c:v>118</c:v>
                </c:pt>
                <c:pt idx="6">
                  <c:v>136</c:v>
                </c:pt>
                <c:pt idx="7">
                  <c:v>159</c:v>
                </c:pt>
                <c:pt idx="8">
                  <c:v>190</c:v>
                </c:pt>
                <c:pt idx="9">
                  <c:v>201</c:v>
                </c:pt>
                <c:pt idx="10">
                  <c:v>214</c:v>
                </c:pt>
                <c:pt idx="11">
                  <c:v>237</c:v>
                </c:pt>
                <c:pt idx="12">
                  <c:v>271</c:v>
                </c:pt>
                <c:pt idx="13">
                  <c:v>286</c:v>
                </c:pt>
                <c:pt idx="14">
                  <c:v>307</c:v>
                </c:pt>
                <c:pt idx="15">
                  <c:v>337</c:v>
                </c:pt>
                <c:pt idx="16">
                  <c:v>397</c:v>
                </c:pt>
                <c:pt idx="17">
                  <c:v>403</c:v>
                </c:pt>
                <c:pt idx="18">
                  <c:v>408</c:v>
                </c:pt>
                <c:pt idx="19">
                  <c:v>413</c:v>
                </c:pt>
                <c:pt idx="20">
                  <c:v>413</c:v>
                </c:pt>
                <c:pt idx="21">
                  <c:v>413</c:v>
                </c:pt>
                <c:pt idx="22">
                  <c:v>413</c:v>
                </c:pt>
                <c:pt idx="23">
                  <c:v>413</c:v>
                </c:pt>
                <c:pt idx="24">
                  <c:v>413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248-4AE0-8BF2-1FB2EDBFC6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Blad1!$YP$1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Blad1!$YP$2:$YP$26</c:f>
              <c:numCache>
                <c:formatCode>General</c:formatCode>
                <c:ptCount val="25"/>
                <c:pt idx="0">
                  <c:v>0</c:v>
                </c:pt>
                <c:pt idx="1">
                  <c:v>14</c:v>
                </c:pt>
                <c:pt idx="2">
                  <c:v>79</c:v>
                </c:pt>
                <c:pt idx="3">
                  <c:v>120</c:v>
                </c:pt>
                <c:pt idx="4">
                  <c:v>153</c:v>
                </c:pt>
                <c:pt idx="5">
                  <c:v>174</c:v>
                </c:pt>
                <c:pt idx="6">
                  <c:v>215</c:v>
                </c:pt>
                <c:pt idx="7">
                  <c:v>248</c:v>
                </c:pt>
                <c:pt idx="8">
                  <c:v>279</c:v>
                </c:pt>
                <c:pt idx="9">
                  <c:v>300</c:v>
                </c:pt>
                <c:pt idx="10">
                  <c:v>329</c:v>
                </c:pt>
                <c:pt idx="11">
                  <c:v>343</c:v>
                </c:pt>
                <c:pt idx="12">
                  <c:v>376</c:v>
                </c:pt>
                <c:pt idx="13">
                  <c:v>399</c:v>
                </c:pt>
                <c:pt idx="14">
                  <c:v>412</c:v>
                </c:pt>
                <c:pt idx="15">
                  <c:v>408</c:v>
                </c:pt>
                <c:pt idx="16">
                  <c:v>408</c:v>
                </c:pt>
                <c:pt idx="17">
                  <c:v>408</c:v>
                </c:pt>
                <c:pt idx="18">
                  <c:v>408</c:v>
                </c:pt>
                <c:pt idx="19">
                  <c:v>408</c:v>
                </c:pt>
                <c:pt idx="20">
                  <c:v>408</c:v>
                </c:pt>
                <c:pt idx="21">
                  <c:v>408</c:v>
                </c:pt>
                <c:pt idx="22">
                  <c:v>408</c:v>
                </c:pt>
                <c:pt idx="23">
                  <c:v>408</c:v>
                </c:pt>
                <c:pt idx="24">
                  <c:v>408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694-49E5-AAC2-35B5F257E1E9}"/>
            </c:ext>
          </c:extLst>
        </c:ser>
        <c:ser>
          <c:idx val="1"/>
          <c:order val="1"/>
          <c:tx>
            <c:strRef>
              <c:f>Blad1!$YV$1</c:f>
              <c:strCache>
                <c:ptCount val="1"/>
                <c:pt idx="0">
                  <c:v>Boardposition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Blad1!$YV$2:$YV$26</c:f>
              <c:numCache>
                <c:formatCode>General</c:formatCode>
                <c:ptCount val="25"/>
                <c:pt idx="0">
                  <c:v>0</c:v>
                </c:pt>
                <c:pt idx="1">
                  <c:v>36</c:v>
                </c:pt>
                <c:pt idx="2">
                  <c:v>72</c:v>
                </c:pt>
                <c:pt idx="3">
                  <c:v>98</c:v>
                </c:pt>
                <c:pt idx="4">
                  <c:v>138</c:v>
                </c:pt>
                <c:pt idx="5">
                  <c:v>210</c:v>
                </c:pt>
                <c:pt idx="6">
                  <c:v>245</c:v>
                </c:pt>
                <c:pt idx="7">
                  <c:v>323</c:v>
                </c:pt>
                <c:pt idx="8">
                  <c:v>369</c:v>
                </c:pt>
                <c:pt idx="9">
                  <c:v>393</c:v>
                </c:pt>
                <c:pt idx="10">
                  <c:v>421</c:v>
                </c:pt>
                <c:pt idx="11">
                  <c:v>454</c:v>
                </c:pt>
                <c:pt idx="12">
                  <c:v>473</c:v>
                </c:pt>
                <c:pt idx="13">
                  <c:v>490</c:v>
                </c:pt>
                <c:pt idx="14">
                  <c:v>501</c:v>
                </c:pt>
                <c:pt idx="15">
                  <c:v>505</c:v>
                </c:pt>
                <c:pt idx="16">
                  <c:v>505</c:v>
                </c:pt>
                <c:pt idx="17">
                  <c:v>505</c:v>
                </c:pt>
                <c:pt idx="18">
                  <c:v>505</c:v>
                </c:pt>
                <c:pt idx="19">
                  <c:v>505</c:v>
                </c:pt>
                <c:pt idx="20">
                  <c:v>505</c:v>
                </c:pt>
                <c:pt idx="21">
                  <c:v>505</c:v>
                </c:pt>
                <c:pt idx="22">
                  <c:v>505</c:v>
                </c:pt>
                <c:pt idx="23">
                  <c:v>505</c:v>
                </c:pt>
                <c:pt idx="24">
                  <c:v>505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694-49E5-AAC2-35B5F257E1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Blad1!$ZB$1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Blad1!$ZB$2:$ZB$26</c:f>
              <c:numCache>
                <c:formatCode>General</c:formatCode>
                <c:ptCount val="25"/>
                <c:pt idx="0">
                  <c:v>0</c:v>
                </c:pt>
                <c:pt idx="1">
                  <c:v>36</c:v>
                </c:pt>
                <c:pt idx="2">
                  <c:v>112</c:v>
                </c:pt>
                <c:pt idx="3">
                  <c:v>142</c:v>
                </c:pt>
                <c:pt idx="4">
                  <c:v>172</c:v>
                </c:pt>
                <c:pt idx="5">
                  <c:v>206</c:v>
                </c:pt>
                <c:pt idx="6">
                  <c:v>254</c:v>
                </c:pt>
                <c:pt idx="7">
                  <c:v>331</c:v>
                </c:pt>
                <c:pt idx="8">
                  <c:v>372</c:v>
                </c:pt>
                <c:pt idx="9">
                  <c:v>404</c:v>
                </c:pt>
                <c:pt idx="10">
                  <c:v>438</c:v>
                </c:pt>
                <c:pt idx="11">
                  <c:v>462</c:v>
                </c:pt>
                <c:pt idx="12">
                  <c:v>484</c:v>
                </c:pt>
                <c:pt idx="13">
                  <c:v>500</c:v>
                </c:pt>
                <c:pt idx="14">
                  <c:v>522</c:v>
                </c:pt>
                <c:pt idx="15">
                  <c:v>522</c:v>
                </c:pt>
                <c:pt idx="16">
                  <c:v>522</c:v>
                </c:pt>
                <c:pt idx="17">
                  <c:v>522</c:v>
                </c:pt>
                <c:pt idx="18">
                  <c:v>522</c:v>
                </c:pt>
                <c:pt idx="19">
                  <c:v>522</c:v>
                </c:pt>
                <c:pt idx="20">
                  <c:v>522</c:v>
                </c:pt>
                <c:pt idx="21">
                  <c:v>522</c:v>
                </c:pt>
                <c:pt idx="22">
                  <c:v>522</c:v>
                </c:pt>
                <c:pt idx="23">
                  <c:v>522</c:v>
                </c:pt>
                <c:pt idx="24">
                  <c:v>522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EBD-4A9C-90A2-0F3CA3542D46}"/>
            </c:ext>
          </c:extLst>
        </c:ser>
        <c:ser>
          <c:idx val="1"/>
          <c:order val="1"/>
          <c:tx>
            <c:strRef>
              <c:f>Blad1!$ZH$1</c:f>
              <c:strCache>
                <c:ptCount val="1"/>
                <c:pt idx="0">
                  <c:v>Boardposition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Blad1!$ZH$2:$ZH$26</c:f>
              <c:numCache>
                <c:formatCode>General</c:formatCode>
                <c:ptCount val="25"/>
                <c:pt idx="0">
                  <c:v>0</c:v>
                </c:pt>
                <c:pt idx="1">
                  <c:v>25</c:v>
                </c:pt>
                <c:pt idx="2">
                  <c:v>95</c:v>
                </c:pt>
                <c:pt idx="3">
                  <c:v>133</c:v>
                </c:pt>
                <c:pt idx="4">
                  <c:v>164</c:v>
                </c:pt>
                <c:pt idx="5">
                  <c:v>189</c:v>
                </c:pt>
                <c:pt idx="6">
                  <c:v>225</c:v>
                </c:pt>
                <c:pt idx="7">
                  <c:v>245</c:v>
                </c:pt>
                <c:pt idx="8">
                  <c:v>270</c:v>
                </c:pt>
                <c:pt idx="9">
                  <c:v>310</c:v>
                </c:pt>
                <c:pt idx="10">
                  <c:v>313</c:v>
                </c:pt>
                <c:pt idx="11">
                  <c:v>336</c:v>
                </c:pt>
                <c:pt idx="12">
                  <c:v>368</c:v>
                </c:pt>
                <c:pt idx="13">
                  <c:v>368</c:v>
                </c:pt>
                <c:pt idx="14">
                  <c:v>358</c:v>
                </c:pt>
                <c:pt idx="15">
                  <c:v>358</c:v>
                </c:pt>
                <c:pt idx="16">
                  <c:v>358</c:v>
                </c:pt>
                <c:pt idx="17">
                  <c:v>358</c:v>
                </c:pt>
                <c:pt idx="18">
                  <c:v>358</c:v>
                </c:pt>
                <c:pt idx="19">
                  <c:v>358</c:v>
                </c:pt>
                <c:pt idx="20">
                  <c:v>358</c:v>
                </c:pt>
                <c:pt idx="21">
                  <c:v>358</c:v>
                </c:pt>
                <c:pt idx="22">
                  <c:v>358</c:v>
                </c:pt>
                <c:pt idx="23">
                  <c:v>358</c:v>
                </c:pt>
                <c:pt idx="24">
                  <c:v>358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EBD-4A9C-90A2-0F3CA3542D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Blad1!$ZN$1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Blad1!$ZN$2:$ZN$26</c:f>
              <c:numCache>
                <c:formatCode>General</c:formatCode>
                <c:ptCount val="25"/>
                <c:pt idx="0">
                  <c:v>0</c:v>
                </c:pt>
                <c:pt idx="1">
                  <c:v>16</c:v>
                </c:pt>
                <c:pt idx="2">
                  <c:v>58</c:v>
                </c:pt>
                <c:pt idx="3">
                  <c:v>89</c:v>
                </c:pt>
                <c:pt idx="4">
                  <c:v>171</c:v>
                </c:pt>
                <c:pt idx="5">
                  <c:v>207</c:v>
                </c:pt>
                <c:pt idx="6">
                  <c:v>237</c:v>
                </c:pt>
                <c:pt idx="7">
                  <c:v>269</c:v>
                </c:pt>
                <c:pt idx="8">
                  <c:v>337</c:v>
                </c:pt>
                <c:pt idx="9">
                  <c:v>370</c:v>
                </c:pt>
                <c:pt idx="10">
                  <c:v>393</c:v>
                </c:pt>
                <c:pt idx="11">
                  <c:v>426</c:v>
                </c:pt>
                <c:pt idx="12">
                  <c:v>455</c:v>
                </c:pt>
                <c:pt idx="13">
                  <c:v>473</c:v>
                </c:pt>
                <c:pt idx="14">
                  <c:v>480</c:v>
                </c:pt>
                <c:pt idx="15">
                  <c:v>486</c:v>
                </c:pt>
                <c:pt idx="16">
                  <c:v>486</c:v>
                </c:pt>
                <c:pt idx="17">
                  <c:v>486</c:v>
                </c:pt>
                <c:pt idx="18">
                  <c:v>476</c:v>
                </c:pt>
                <c:pt idx="19">
                  <c:v>476</c:v>
                </c:pt>
                <c:pt idx="20">
                  <c:v>476</c:v>
                </c:pt>
                <c:pt idx="21">
                  <c:v>476</c:v>
                </c:pt>
                <c:pt idx="22">
                  <c:v>476</c:v>
                </c:pt>
                <c:pt idx="23">
                  <c:v>476</c:v>
                </c:pt>
                <c:pt idx="24">
                  <c:v>476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D23-4360-95C9-4DF2BED50FC0}"/>
            </c:ext>
          </c:extLst>
        </c:ser>
        <c:ser>
          <c:idx val="1"/>
          <c:order val="1"/>
          <c:tx>
            <c:strRef>
              <c:f>Blad1!$ZT$1</c:f>
              <c:strCache>
                <c:ptCount val="1"/>
                <c:pt idx="0">
                  <c:v>Boardposition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Blad1!$ZT$2:$ZT$26</c:f>
              <c:numCache>
                <c:formatCode>General</c:formatCode>
                <c:ptCount val="25"/>
                <c:pt idx="0">
                  <c:v>0</c:v>
                </c:pt>
                <c:pt idx="1">
                  <c:v>36</c:v>
                </c:pt>
                <c:pt idx="2">
                  <c:v>72</c:v>
                </c:pt>
                <c:pt idx="3">
                  <c:v>105</c:v>
                </c:pt>
                <c:pt idx="4">
                  <c:v>137</c:v>
                </c:pt>
                <c:pt idx="5">
                  <c:v>160</c:v>
                </c:pt>
                <c:pt idx="6">
                  <c:v>199</c:v>
                </c:pt>
                <c:pt idx="7">
                  <c:v>239</c:v>
                </c:pt>
                <c:pt idx="8">
                  <c:v>262</c:v>
                </c:pt>
                <c:pt idx="9">
                  <c:v>289</c:v>
                </c:pt>
                <c:pt idx="10">
                  <c:v>304</c:v>
                </c:pt>
                <c:pt idx="11">
                  <c:v>333</c:v>
                </c:pt>
                <c:pt idx="12">
                  <c:v>347</c:v>
                </c:pt>
                <c:pt idx="13">
                  <c:v>358</c:v>
                </c:pt>
                <c:pt idx="14">
                  <c:v>369</c:v>
                </c:pt>
                <c:pt idx="15">
                  <c:v>377</c:v>
                </c:pt>
                <c:pt idx="16">
                  <c:v>382</c:v>
                </c:pt>
                <c:pt idx="17">
                  <c:v>386</c:v>
                </c:pt>
                <c:pt idx="18">
                  <c:v>396</c:v>
                </c:pt>
                <c:pt idx="19">
                  <c:v>396</c:v>
                </c:pt>
                <c:pt idx="20">
                  <c:v>396</c:v>
                </c:pt>
                <c:pt idx="21">
                  <c:v>396</c:v>
                </c:pt>
                <c:pt idx="22">
                  <c:v>396</c:v>
                </c:pt>
                <c:pt idx="23">
                  <c:v>396</c:v>
                </c:pt>
                <c:pt idx="24">
                  <c:v>396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D23-4360-95C9-4DF2BED50F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Blad1!$ZZ$1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Blad1!$ZZ$2:$ZZ$26</c:f>
              <c:numCache>
                <c:formatCode>General</c:formatCode>
                <c:ptCount val="25"/>
                <c:pt idx="0">
                  <c:v>0</c:v>
                </c:pt>
                <c:pt idx="1">
                  <c:v>68</c:v>
                </c:pt>
                <c:pt idx="2">
                  <c:v>100</c:v>
                </c:pt>
                <c:pt idx="3">
                  <c:v>170</c:v>
                </c:pt>
                <c:pt idx="4">
                  <c:v>229</c:v>
                </c:pt>
                <c:pt idx="5">
                  <c:v>261</c:v>
                </c:pt>
                <c:pt idx="6">
                  <c:v>291</c:v>
                </c:pt>
                <c:pt idx="7">
                  <c:v>313</c:v>
                </c:pt>
                <c:pt idx="8">
                  <c:v>351</c:v>
                </c:pt>
                <c:pt idx="9">
                  <c:v>373</c:v>
                </c:pt>
                <c:pt idx="10">
                  <c:v>421</c:v>
                </c:pt>
                <c:pt idx="11">
                  <c:v>443</c:v>
                </c:pt>
                <c:pt idx="12">
                  <c:v>459</c:v>
                </c:pt>
                <c:pt idx="13">
                  <c:v>481</c:v>
                </c:pt>
                <c:pt idx="14">
                  <c:v>508</c:v>
                </c:pt>
                <c:pt idx="15">
                  <c:v>513</c:v>
                </c:pt>
                <c:pt idx="16">
                  <c:v>512</c:v>
                </c:pt>
                <c:pt idx="17">
                  <c:v>512</c:v>
                </c:pt>
                <c:pt idx="18">
                  <c:v>512</c:v>
                </c:pt>
                <c:pt idx="19">
                  <c:v>512</c:v>
                </c:pt>
                <c:pt idx="20">
                  <c:v>512</c:v>
                </c:pt>
                <c:pt idx="21">
                  <c:v>512</c:v>
                </c:pt>
                <c:pt idx="22">
                  <c:v>512</c:v>
                </c:pt>
                <c:pt idx="23">
                  <c:v>512</c:v>
                </c:pt>
                <c:pt idx="24">
                  <c:v>512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F0D-4360-AD58-78BB78DDD43D}"/>
            </c:ext>
          </c:extLst>
        </c:ser>
        <c:ser>
          <c:idx val="1"/>
          <c:order val="1"/>
          <c:tx>
            <c:strRef>
              <c:f>Blad1!$AAF$1</c:f>
              <c:strCache>
                <c:ptCount val="1"/>
                <c:pt idx="0">
                  <c:v>Boardposition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Blad1!$AAF$2:$AAF$26</c:f>
              <c:numCache>
                <c:formatCode>General</c:formatCode>
                <c:ptCount val="25"/>
                <c:pt idx="0">
                  <c:v>0</c:v>
                </c:pt>
                <c:pt idx="1">
                  <c:v>42</c:v>
                </c:pt>
                <c:pt idx="2">
                  <c:v>66</c:v>
                </c:pt>
                <c:pt idx="3">
                  <c:v>112</c:v>
                </c:pt>
                <c:pt idx="4">
                  <c:v>139</c:v>
                </c:pt>
                <c:pt idx="5">
                  <c:v>162</c:v>
                </c:pt>
                <c:pt idx="6">
                  <c:v>179</c:v>
                </c:pt>
                <c:pt idx="7">
                  <c:v>251</c:v>
                </c:pt>
                <c:pt idx="8">
                  <c:v>310</c:v>
                </c:pt>
                <c:pt idx="9">
                  <c:v>335</c:v>
                </c:pt>
                <c:pt idx="10">
                  <c:v>377</c:v>
                </c:pt>
                <c:pt idx="11">
                  <c:v>405</c:v>
                </c:pt>
                <c:pt idx="12">
                  <c:v>443</c:v>
                </c:pt>
                <c:pt idx="13">
                  <c:v>470</c:v>
                </c:pt>
                <c:pt idx="14">
                  <c:v>491</c:v>
                </c:pt>
                <c:pt idx="15">
                  <c:v>501</c:v>
                </c:pt>
                <c:pt idx="16">
                  <c:v>502</c:v>
                </c:pt>
                <c:pt idx="17">
                  <c:v>502</c:v>
                </c:pt>
                <c:pt idx="18">
                  <c:v>502</c:v>
                </c:pt>
                <c:pt idx="19">
                  <c:v>502</c:v>
                </c:pt>
                <c:pt idx="20">
                  <c:v>502</c:v>
                </c:pt>
                <c:pt idx="21">
                  <c:v>502</c:v>
                </c:pt>
                <c:pt idx="22">
                  <c:v>502</c:v>
                </c:pt>
                <c:pt idx="23">
                  <c:v>502</c:v>
                </c:pt>
                <c:pt idx="24">
                  <c:v>502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F0D-4360-AD58-78BB78DDD4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Blad1!$AAL$1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Blad1!$AAL$2:$AAL$26</c:f>
              <c:numCache>
                <c:formatCode>General</c:formatCode>
                <c:ptCount val="25"/>
                <c:pt idx="0">
                  <c:v>0</c:v>
                </c:pt>
                <c:pt idx="1">
                  <c:v>66</c:v>
                </c:pt>
                <c:pt idx="2">
                  <c:v>130</c:v>
                </c:pt>
                <c:pt idx="3">
                  <c:v>161</c:v>
                </c:pt>
                <c:pt idx="4">
                  <c:v>187</c:v>
                </c:pt>
                <c:pt idx="5">
                  <c:v>221</c:v>
                </c:pt>
                <c:pt idx="6">
                  <c:v>260</c:v>
                </c:pt>
                <c:pt idx="7">
                  <c:v>290</c:v>
                </c:pt>
                <c:pt idx="8">
                  <c:v>317</c:v>
                </c:pt>
                <c:pt idx="9">
                  <c:v>333</c:v>
                </c:pt>
                <c:pt idx="10">
                  <c:v>352</c:v>
                </c:pt>
                <c:pt idx="11">
                  <c:v>372</c:v>
                </c:pt>
                <c:pt idx="12">
                  <c:v>402</c:v>
                </c:pt>
                <c:pt idx="13">
                  <c:v>417</c:v>
                </c:pt>
                <c:pt idx="14">
                  <c:v>428</c:v>
                </c:pt>
                <c:pt idx="15">
                  <c:v>440</c:v>
                </c:pt>
                <c:pt idx="16">
                  <c:v>446</c:v>
                </c:pt>
                <c:pt idx="17">
                  <c:v>429</c:v>
                </c:pt>
                <c:pt idx="18">
                  <c:v>429</c:v>
                </c:pt>
                <c:pt idx="19">
                  <c:v>429</c:v>
                </c:pt>
                <c:pt idx="20">
                  <c:v>429</c:v>
                </c:pt>
                <c:pt idx="21">
                  <c:v>429</c:v>
                </c:pt>
                <c:pt idx="22">
                  <c:v>429</c:v>
                </c:pt>
                <c:pt idx="23">
                  <c:v>429</c:v>
                </c:pt>
                <c:pt idx="24">
                  <c:v>429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37F-49BE-9528-2AAF8DB4001E}"/>
            </c:ext>
          </c:extLst>
        </c:ser>
        <c:ser>
          <c:idx val="1"/>
          <c:order val="1"/>
          <c:tx>
            <c:strRef>
              <c:f>Blad1!$AAR$1</c:f>
              <c:strCache>
                <c:ptCount val="1"/>
                <c:pt idx="0">
                  <c:v>Boardposition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Blad1!$AAR$2:$AAR$26</c:f>
              <c:numCache>
                <c:formatCode>General</c:formatCode>
                <c:ptCount val="25"/>
                <c:pt idx="0">
                  <c:v>0</c:v>
                </c:pt>
                <c:pt idx="1">
                  <c:v>19</c:v>
                </c:pt>
                <c:pt idx="2">
                  <c:v>41</c:v>
                </c:pt>
                <c:pt idx="3">
                  <c:v>67</c:v>
                </c:pt>
                <c:pt idx="4">
                  <c:v>140</c:v>
                </c:pt>
                <c:pt idx="5">
                  <c:v>166</c:v>
                </c:pt>
                <c:pt idx="6">
                  <c:v>193</c:v>
                </c:pt>
                <c:pt idx="7">
                  <c:v>220</c:v>
                </c:pt>
                <c:pt idx="8">
                  <c:v>244</c:v>
                </c:pt>
                <c:pt idx="9">
                  <c:v>269</c:v>
                </c:pt>
                <c:pt idx="10">
                  <c:v>291</c:v>
                </c:pt>
                <c:pt idx="11">
                  <c:v>322</c:v>
                </c:pt>
                <c:pt idx="12">
                  <c:v>348</c:v>
                </c:pt>
                <c:pt idx="13">
                  <c:v>361</c:v>
                </c:pt>
                <c:pt idx="14">
                  <c:v>384</c:v>
                </c:pt>
                <c:pt idx="15">
                  <c:v>395</c:v>
                </c:pt>
                <c:pt idx="16">
                  <c:v>403</c:v>
                </c:pt>
                <c:pt idx="17">
                  <c:v>420</c:v>
                </c:pt>
                <c:pt idx="18">
                  <c:v>420</c:v>
                </c:pt>
                <c:pt idx="19">
                  <c:v>420</c:v>
                </c:pt>
                <c:pt idx="20">
                  <c:v>420</c:v>
                </c:pt>
                <c:pt idx="21">
                  <c:v>420</c:v>
                </c:pt>
                <c:pt idx="22">
                  <c:v>420</c:v>
                </c:pt>
                <c:pt idx="23">
                  <c:v>420</c:v>
                </c:pt>
                <c:pt idx="24">
                  <c:v>420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37F-49BE-9528-2AAF8DB400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Blad1!$AAX$1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Blad1!$AAX$2:$AAX$26</c:f>
              <c:numCache>
                <c:formatCode>General</c:formatCode>
                <c:ptCount val="25"/>
                <c:pt idx="0">
                  <c:v>0</c:v>
                </c:pt>
                <c:pt idx="1">
                  <c:v>22</c:v>
                </c:pt>
                <c:pt idx="2">
                  <c:v>50</c:v>
                </c:pt>
                <c:pt idx="3">
                  <c:v>86</c:v>
                </c:pt>
                <c:pt idx="4">
                  <c:v>164</c:v>
                </c:pt>
                <c:pt idx="5">
                  <c:v>194</c:v>
                </c:pt>
                <c:pt idx="6">
                  <c:v>216</c:v>
                </c:pt>
                <c:pt idx="7">
                  <c:v>261</c:v>
                </c:pt>
                <c:pt idx="8">
                  <c:v>292</c:v>
                </c:pt>
                <c:pt idx="9">
                  <c:v>343</c:v>
                </c:pt>
                <c:pt idx="10">
                  <c:v>372</c:v>
                </c:pt>
                <c:pt idx="11">
                  <c:v>406</c:v>
                </c:pt>
                <c:pt idx="12">
                  <c:v>434</c:v>
                </c:pt>
                <c:pt idx="13">
                  <c:v>452</c:v>
                </c:pt>
                <c:pt idx="14">
                  <c:v>482</c:v>
                </c:pt>
                <c:pt idx="15">
                  <c:v>512</c:v>
                </c:pt>
                <c:pt idx="16">
                  <c:v>526</c:v>
                </c:pt>
                <c:pt idx="17">
                  <c:v>534</c:v>
                </c:pt>
                <c:pt idx="18">
                  <c:v>534</c:v>
                </c:pt>
                <c:pt idx="19">
                  <c:v>534</c:v>
                </c:pt>
                <c:pt idx="20">
                  <c:v>524</c:v>
                </c:pt>
                <c:pt idx="21">
                  <c:v>524</c:v>
                </c:pt>
                <c:pt idx="22">
                  <c:v>524</c:v>
                </c:pt>
                <c:pt idx="23">
                  <c:v>524</c:v>
                </c:pt>
                <c:pt idx="24">
                  <c:v>524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C3A-46C8-8361-A3714503070B}"/>
            </c:ext>
          </c:extLst>
        </c:ser>
        <c:ser>
          <c:idx val="1"/>
          <c:order val="1"/>
          <c:tx>
            <c:strRef>
              <c:f>Blad1!$ABD$1</c:f>
              <c:strCache>
                <c:ptCount val="1"/>
                <c:pt idx="0">
                  <c:v>Boardposition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Blad1!$ABD$2:$ABD$26</c:f>
              <c:numCache>
                <c:formatCode>General</c:formatCode>
                <c:ptCount val="25"/>
                <c:pt idx="0">
                  <c:v>0</c:v>
                </c:pt>
                <c:pt idx="1">
                  <c:v>14</c:v>
                </c:pt>
                <c:pt idx="2">
                  <c:v>48</c:v>
                </c:pt>
                <c:pt idx="3">
                  <c:v>77</c:v>
                </c:pt>
                <c:pt idx="4">
                  <c:v>102</c:v>
                </c:pt>
                <c:pt idx="5">
                  <c:v>126</c:v>
                </c:pt>
                <c:pt idx="6">
                  <c:v>142</c:v>
                </c:pt>
                <c:pt idx="7">
                  <c:v>150</c:v>
                </c:pt>
                <c:pt idx="8">
                  <c:v>163</c:v>
                </c:pt>
                <c:pt idx="9">
                  <c:v>172</c:v>
                </c:pt>
                <c:pt idx="10">
                  <c:v>194</c:v>
                </c:pt>
                <c:pt idx="11">
                  <c:v>223</c:v>
                </c:pt>
                <c:pt idx="12">
                  <c:v>233</c:v>
                </c:pt>
                <c:pt idx="13">
                  <c:v>240</c:v>
                </c:pt>
                <c:pt idx="14">
                  <c:v>268</c:v>
                </c:pt>
                <c:pt idx="15">
                  <c:v>283</c:v>
                </c:pt>
                <c:pt idx="16">
                  <c:v>290</c:v>
                </c:pt>
                <c:pt idx="17">
                  <c:v>298</c:v>
                </c:pt>
                <c:pt idx="18">
                  <c:v>304</c:v>
                </c:pt>
                <c:pt idx="19">
                  <c:v>304</c:v>
                </c:pt>
                <c:pt idx="20">
                  <c:v>300</c:v>
                </c:pt>
                <c:pt idx="21">
                  <c:v>300</c:v>
                </c:pt>
                <c:pt idx="22">
                  <c:v>300</c:v>
                </c:pt>
                <c:pt idx="23">
                  <c:v>300</c:v>
                </c:pt>
                <c:pt idx="24">
                  <c:v>300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C3A-46C8-8361-A371450307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Blad1!$ABJ$1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Blad1!$ABJ$2:$ABJ$26</c:f>
              <c:numCache>
                <c:formatCode>General</c:formatCode>
                <c:ptCount val="25"/>
                <c:pt idx="0">
                  <c:v>0</c:v>
                </c:pt>
                <c:pt idx="1">
                  <c:v>20</c:v>
                </c:pt>
                <c:pt idx="2">
                  <c:v>102</c:v>
                </c:pt>
                <c:pt idx="3">
                  <c:v>144</c:v>
                </c:pt>
                <c:pt idx="4">
                  <c:v>180</c:v>
                </c:pt>
                <c:pt idx="5">
                  <c:v>217</c:v>
                </c:pt>
                <c:pt idx="6">
                  <c:v>271</c:v>
                </c:pt>
                <c:pt idx="7">
                  <c:v>305</c:v>
                </c:pt>
                <c:pt idx="8">
                  <c:v>392</c:v>
                </c:pt>
                <c:pt idx="9">
                  <c:v>431</c:v>
                </c:pt>
                <c:pt idx="10">
                  <c:v>457</c:v>
                </c:pt>
                <c:pt idx="11">
                  <c:v>472</c:v>
                </c:pt>
                <c:pt idx="12">
                  <c:v>486</c:v>
                </c:pt>
                <c:pt idx="13">
                  <c:v>514</c:v>
                </c:pt>
                <c:pt idx="14">
                  <c:v>548</c:v>
                </c:pt>
                <c:pt idx="15">
                  <c:v>566</c:v>
                </c:pt>
                <c:pt idx="16">
                  <c:v>566</c:v>
                </c:pt>
                <c:pt idx="17">
                  <c:v>562</c:v>
                </c:pt>
                <c:pt idx="18">
                  <c:v>562</c:v>
                </c:pt>
                <c:pt idx="19">
                  <c:v>562</c:v>
                </c:pt>
                <c:pt idx="20">
                  <c:v>562</c:v>
                </c:pt>
                <c:pt idx="21">
                  <c:v>562</c:v>
                </c:pt>
                <c:pt idx="22">
                  <c:v>562</c:v>
                </c:pt>
                <c:pt idx="23">
                  <c:v>562</c:v>
                </c:pt>
                <c:pt idx="24">
                  <c:v>562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A79-4BBC-AA03-E5DCA6CD2DD8}"/>
            </c:ext>
          </c:extLst>
        </c:ser>
        <c:ser>
          <c:idx val="1"/>
          <c:order val="1"/>
          <c:tx>
            <c:strRef>
              <c:f>Blad1!$ABP$1</c:f>
              <c:strCache>
                <c:ptCount val="1"/>
                <c:pt idx="0">
                  <c:v>Boardposition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Blad1!$ABP$2:$ABP$26</c:f>
              <c:numCache>
                <c:formatCode>General</c:formatCode>
                <c:ptCount val="25"/>
                <c:pt idx="0">
                  <c:v>0</c:v>
                </c:pt>
                <c:pt idx="1">
                  <c:v>56</c:v>
                </c:pt>
                <c:pt idx="2">
                  <c:v>86</c:v>
                </c:pt>
                <c:pt idx="3">
                  <c:v>107</c:v>
                </c:pt>
                <c:pt idx="4">
                  <c:v>135</c:v>
                </c:pt>
                <c:pt idx="5">
                  <c:v>159</c:v>
                </c:pt>
                <c:pt idx="6">
                  <c:v>185</c:v>
                </c:pt>
                <c:pt idx="7">
                  <c:v>209</c:v>
                </c:pt>
                <c:pt idx="8">
                  <c:v>228</c:v>
                </c:pt>
                <c:pt idx="9">
                  <c:v>241</c:v>
                </c:pt>
                <c:pt idx="10">
                  <c:v>259</c:v>
                </c:pt>
                <c:pt idx="11">
                  <c:v>289</c:v>
                </c:pt>
                <c:pt idx="12">
                  <c:v>313</c:v>
                </c:pt>
                <c:pt idx="13">
                  <c:v>342</c:v>
                </c:pt>
                <c:pt idx="14">
                  <c:v>364</c:v>
                </c:pt>
                <c:pt idx="15">
                  <c:v>374</c:v>
                </c:pt>
                <c:pt idx="16">
                  <c:v>374</c:v>
                </c:pt>
                <c:pt idx="17">
                  <c:v>370</c:v>
                </c:pt>
                <c:pt idx="18">
                  <c:v>370</c:v>
                </c:pt>
                <c:pt idx="19">
                  <c:v>370</c:v>
                </c:pt>
                <c:pt idx="20">
                  <c:v>370</c:v>
                </c:pt>
                <c:pt idx="21">
                  <c:v>370</c:v>
                </c:pt>
                <c:pt idx="22">
                  <c:v>370</c:v>
                </c:pt>
                <c:pt idx="23">
                  <c:v>370</c:v>
                </c:pt>
                <c:pt idx="24">
                  <c:v>370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A79-4BBC-AA03-E5DCA6CD2D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Blad1!$ABV$1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Blad1!$ABV$2:$ABV$26</c:f>
              <c:numCache>
                <c:formatCode>General</c:formatCode>
                <c:ptCount val="25"/>
                <c:pt idx="0">
                  <c:v>0</c:v>
                </c:pt>
                <c:pt idx="1">
                  <c:v>10</c:v>
                </c:pt>
                <c:pt idx="2">
                  <c:v>33</c:v>
                </c:pt>
                <c:pt idx="3">
                  <c:v>88</c:v>
                </c:pt>
                <c:pt idx="4">
                  <c:v>120</c:v>
                </c:pt>
                <c:pt idx="5">
                  <c:v>150</c:v>
                </c:pt>
                <c:pt idx="6">
                  <c:v>200</c:v>
                </c:pt>
                <c:pt idx="7">
                  <c:v>220</c:v>
                </c:pt>
                <c:pt idx="8">
                  <c:v>260</c:v>
                </c:pt>
                <c:pt idx="9">
                  <c:v>275</c:v>
                </c:pt>
                <c:pt idx="10">
                  <c:v>296</c:v>
                </c:pt>
                <c:pt idx="11">
                  <c:v>326</c:v>
                </c:pt>
                <c:pt idx="12">
                  <c:v>350</c:v>
                </c:pt>
                <c:pt idx="13">
                  <c:v>370</c:v>
                </c:pt>
                <c:pt idx="14">
                  <c:v>389</c:v>
                </c:pt>
                <c:pt idx="15">
                  <c:v>414</c:v>
                </c:pt>
                <c:pt idx="16">
                  <c:v>414</c:v>
                </c:pt>
                <c:pt idx="17">
                  <c:v>414</c:v>
                </c:pt>
                <c:pt idx="18">
                  <c:v>414</c:v>
                </c:pt>
                <c:pt idx="19">
                  <c:v>414</c:v>
                </c:pt>
                <c:pt idx="20">
                  <c:v>414</c:v>
                </c:pt>
                <c:pt idx="21">
                  <c:v>414</c:v>
                </c:pt>
                <c:pt idx="22">
                  <c:v>414</c:v>
                </c:pt>
                <c:pt idx="23">
                  <c:v>414</c:v>
                </c:pt>
                <c:pt idx="24">
                  <c:v>414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86F-4CA9-A8D5-4327B047AB0A}"/>
            </c:ext>
          </c:extLst>
        </c:ser>
        <c:ser>
          <c:idx val="1"/>
          <c:order val="1"/>
          <c:tx>
            <c:strRef>
              <c:f>Blad1!$ACB$1</c:f>
              <c:strCache>
                <c:ptCount val="1"/>
                <c:pt idx="0">
                  <c:v>Boardposition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Blad1!$ACB$2:$ACB$26</c:f>
              <c:numCache>
                <c:formatCode>General</c:formatCode>
                <c:ptCount val="25"/>
                <c:pt idx="0">
                  <c:v>0</c:v>
                </c:pt>
                <c:pt idx="1">
                  <c:v>28</c:v>
                </c:pt>
                <c:pt idx="2">
                  <c:v>59</c:v>
                </c:pt>
                <c:pt idx="3">
                  <c:v>96</c:v>
                </c:pt>
                <c:pt idx="4">
                  <c:v>126</c:v>
                </c:pt>
                <c:pt idx="5">
                  <c:v>151</c:v>
                </c:pt>
                <c:pt idx="6">
                  <c:v>182</c:v>
                </c:pt>
                <c:pt idx="7">
                  <c:v>229</c:v>
                </c:pt>
                <c:pt idx="8">
                  <c:v>280</c:v>
                </c:pt>
                <c:pt idx="9">
                  <c:v>305</c:v>
                </c:pt>
                <c:pt idx="10">
                  <c:v>359</c:v>
                </c:pt>
                <c:pt idx="11">
                  <c:v>378</c:v>
                </c:pt>
                <c:pt idx="12">
                  <c:v>405</c:v>
                </c:pt>
                <c:pt idx="13">
                  <c:v>434</c:v>
                </c:pt>
                <c:pt idx="14">
                  <c:v>448</c:v>
                </c:pt>
                <c:pt idx="15">
                  <c:v>436</c:v>
                </c:pt>
                <c:pt idx="16">
                  <c:v>436</c:v>
                </c:pt>
                <c:pt idx="17">
                  <c:v>436</c:v>
                </c:pt>
                <c:pt idx="18">
                  <c:v>436</c:v>
                </c:pt>
                <c:pt idx="19">
                  <c:v>436</c:v>
                </c:pt>
                <c:pt idx="20">
                  <c:v>436</c:v>
                </c:pt>
                <c:pt idx="21">
                  <c:v>436</c:v>
                </c:pt>
                <c:pt idx="22">
                  <c:v>436</c:v>
                </c:pt>
                <c:pt idx="23">
                  <c:v>436</c:v>
                </c:pt>
                <c:pt idx="24">
                  <c:v>436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86F-4CA9-A8D5-4327B047AB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Blad1!$ACH$1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Blad1!$ACH$2:$ACH$26</c:f>
              <c:numCache>
                <c:formatCode>General</c:formatCode>
                <c:ptCount val="25"/>
                <c:pt idx="0">
                  <c:v>0</c:v>
                </c:pt>
                <c:pt idx="1">
                  <c:v>10</c:v>
                </c:pt>
                <c:pt idx="2">
                  <c:v>36</c:v>
                </c:pt>
                <c:pt idx="3">
                  <c:v>70</c:v>
                </c:pt>
                <c:pt idx="4">
                  <c:v>96</c:v>
                </c:pt>
                <c:pt idx="5">
                  <c:v>128</c:v>
                </c:pt>
                <c:pt idx="6">
                  <c:v>143</c:v>
                </c:pt>
                <c:pt idx="7">
                  <c:v>160</c:v>
                </c:pt>
                <c:pt idx="8">
                  <c:v>172</c:v>
                </c:pt>
                <c:pt idx="9">
                  <c:v>182</c:v>
                </c:pt>
                <c:pt idx="10">
                  <c:v>195</c:v>
                </c:pt>
                <c:pt idx="11">
                  <c:v>220</c:v>
                </c:pt>
                <c:pt idx="12">
                  <c:v>247</c:v>
                </c:pt>
                <c:pt idx="13">
                  <c:v>272</c:v>
                </c:pt>
                <c:pt idx="14">
                  <c:v>288</c:v>
                </c:pt>
                <c:pt idx="15">
                  <c:v>343</c:v>
                </c:pt>
                <c:pt idx="16">
                  <c:v>386</c:v>
                </c:pt>
                <c:pt idx="17">
                  <c:v>400</c:v>
                </c:pt>
                <c:pt idx="18">
                  <c:v>409</c:v>
                </c:pt>
                <c:pt idx="19">
                  <c:v>409</c:v>
                </c:pt>
                <c:pt idx="20">
                  <c:v>409</c:v>
                </c:pt>
                <c:pt idx="21">
                  <c:v>399</c:v>
                </c:pt>
                <c:pt idx="22">
                  <c:v>399</c:v>
                </c:pt>
                <c:pt idx="23">
                  <c:v>399</c:v>
                </c:pt>
                <c:pt idx="24">
                  <c:v>399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42E-461F-ABD6-48A67FA84E79}"/>
            </c:ext>
          </c:extLst>
        </c:ser>
        <c:ser>
          <c:idx val="1"/>
          <c:order val="1"/>
          <c:tx>
            <c:strRef>
              <c:f>Blad1!$ACN$1</c:f>
              <c:strCache>
                <c:ptCount val="1"/>
                <c:pt idx="0">
                  <c:v>Boardposition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Blad1!$ACN$2:$ACN$26</c:f>
              <c:numCache>
                <c:formatCode>General</c:formatCode>
                <c:ptCount val="25"/>
                <c:pt idx="0">
                  <c:v>0</c:v>
                </c:pt>
                <c:pt idx="1">
                  <c:v>40</c:v>
                </c:pt>
                <c:pt idx="2">
                  <c:v>75</c:v>
                </c:pt>
                <c:pt idx="3">
                  <c:v>117</c:v>
                </c:pt>
                <c:pt idx="4">
                  <c:v>158</c:v>
                </c:pt>
                <c:pt idx="5">
                  <c:v>191</c:v>
                </c:pt>
                <c:pt idx="6">
                  <c:v>215</c:v>
                </c:pt>
                <c:pt idx="7">
                  <c:v>229</c:v>
                </c:pt>
                <c:pt idx="8">
                  <c:v>243</c:v>
                </c:pt>
                <c:pt idx="9">
                  <c:v>256</c:v>
                </c:pt>
                <c:pt idx="10">
                  <c:v>292</c:v>
                </c:pt>
                <c:pt idx="11">
                  <c:v>316</c:v>
                </c:pt>
                <c:pt idx="12">
                  <c:v>363</c:v>
                </c:pt>
                <c:pt idx="13">
                  <c:v>390</c:v>
                </c:pt>
                <c:pt idx="14">
                  <c:v>414</c:v>
                </c:pt>
                <c:pt idx="15">
                  <c:v>464</c:v>
                </c:pt>
                <c:pt idx="16">
                  <c:v>481</c:v>
                </c:pt>
                <c:pt idx="17">
                  <c:v>492</c:v>
                </c:pt>
                <c:pt idx="18">
                  <c:v>503</c:v>
                </c:pt>
                <c:pt idx="19">
                  <c:v>509</c:v>
                </c:pt>
                <c:pt idx="20">
                  <c:v>509</c:v>
                </c:pt>
                <c:pt idx="21">
                  <c:v>505</c:v>
                </c:pt>
                <c:pt idx="22">
                  <c:v>505</c:v>
                </c:pt>
                <c:pt idx="23">
                  <c:v>505</c:v>
                </c:pt>
                <c:pt idx="24">
                  <c:v>505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42E-461F-ABD6-48A67FA84E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Blad1!$ACT$1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Blad1!$ACT$2:$ACT$26</c:f>
              <c:numCache>
                <c:formatCode>General</c:formatCode>
                <c:ptCount val="25"/>
                <c:pt idx="0">
                  <c:v>0</c:v>
                </c:pt>
                <c:pt idx="1">
                  <c:v>8</c:v>
                </c:pt>
                <c:pt idx="2">
                  <c:v>30</c:v>
                </c:pt>
                <c:pt idx="3">
                  <c:v>70</c:v>
                </c:pt>
                <c:pt idx="4">
                  <c:v>97</c:v>
                </c:pt>
                <c:pt idx="5">
                  <c:v>126</c:v>
                </c:pt>
                <c:pt idx="6">
                  <c:v>148</c:v>
                </c:pt>
                <c:pt idx="7">
                  <c:v>185</c:v>
                </c:pt>
                <c:pt idx="8">
                  <c:v>196</c:v>
                </c:pt>
                <c:pt idx="9">
                  <c:v>209</c:v>
                </c:pt>
                <c:pt idx="10">
                  <c:v>218</c:v>
                </c:pt>
                <c:pt idx="11">
                  <c:v>236</c:v>
                </c:pt>
                <c:pt idx="12">
                  <c:v>246</c:v>
                </c:pt>
                <c:pt idx="13">
                  <c:v>273</c:v>
                </c:pt>
                <c:pt idx="14">
                  <c:v>300</c:v>
                </c:pt>
                <c:pt idx="15">
                  <c:v>320</c:v>
                </c:pt>
                <c:pt idx="16">
                  <c:v>342</c:v>
                </c:pt>
                <c:pt idx="17">
                  <c:v>384</c:v>
                </c:pt>
                <c:pt idx="18">
                  <c:v>398</c:v>
                </c:pt>
                <c:pt idx="19">
                  <c:v>405</c:v>
                </c:pt>
                <c:pt idx="20">
                  <c:v>395</c:v>
                </c:pt>
                <c:pt idx="21">
                  <c:v>395</c:v>
                </c:pt>
                <c:pt idx="22">
                  <c:v>395</c:v>
                </c:pt>
                <c:pt idx="23">
                  <c:v>395</c:v>
                </c:pt>
                <c:pt idx="24">
                  <c:v>395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216-4DFD-A2AF-DE86DFADC407}"/>
            </c:ext>
          </c:extLst>
        </c:ser>
        <c:ser>
          <c:idx val="1"/>
          <c:order val="1"/>
          <c:tx>
            <c:strRef>
              <c:f>Blad1!$ACZ$1</c:f>
              <c:strCache>
                <c:ptCount val="1"/>
                <c:pt idx="0">
                  <c:v>Boardposition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Blad1!$ACZ$2:$ACZ$26</c:f>
              <c:numCache>
                <c:formatCode>General</c:formatCode>
                <c:ptCount val="25"/>
                <c:pt idx="0">
                  <c:v>0</c:v>
                </c:pt>
                <c:pt idx="1">
                  <c:v>10</c:v>
                </c:pt>
                <c:pt idx="2">
                  <c:v>26</c:v>
                </c:pt>
                <c:pt idx="3">
                  <c:v>56</c:v>
                </c:pt>
                <c:pt idx="4">
                  <c:v>78</c:v>
                </c:pt>
                <c:pt idx="5">
                  <c:v>125</c:v>
                </c:pt>
                <c:pt idx="6">
                  <c:v>146</c:v>
                </c:pt>
                <c:pt idx="7">
                  <c:v>177</c:v>
                </c:pt>
                <c:pt idx="8">
                  <c:v>201</c:v>
                </c:pt>
                <c:pt idx="9">
                  <c:v>214</c:v>
                </c:pt>
                <c:pt idx="10">
                  <c:v>217</c:v>
                </c:pt>
                <c:pt idx="11">
                  <c:v>235</c:v>
                </c:pt>
                <c:pt idx="12">
                  <c:v>251</c:v>
                </c:pt>
                <c:pt idx="13">
                  <c:v>293</c:v>
                </c:pt>
                <c:pt idx="14">
                  <c:v>320</c:v>
                </c:pt>
                <c:pt idx="15">
                  <c:v>399</c:v>
                </c:pt>
                <c:pt idx="16">
                  <c:v>443</c:v>
                </c:pt>
                <c:pt idx="17">
                  <c:v>468</c:v>
                </c:pt>
                <c:pt idx="18">
                  <c:v>479</c:v>
                </c:pt>
                <c:pt idx="19">
                  <c:v>485</c:v>
                </c:pt>
                <c:pt idx="20">
                  <c:v>495</c:v>
                </c:pt>
                <c:pt idx="21">
                  <c:v>495</c:v>
                </c:pt>
                <c:pt idx="22">
                  <c:v>495</c:v>
                </c:pt>
                <c:pt idx="23">
                  <c:v>495</c:v>
                </c:pt>
                <c:pt idx="24">
                  <c:v>495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216-4DFD-A2AF-DE86DFADC4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Blad1!$ADF$1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Blad1!$ADF$2:$ADF$26</c:f>
              <c:numCache>
                <c:formatCode>General</c:formatCode>
                <c:ptCount val="25"/>
                <c:pt idx="0">
                  <c:v>0</c:v>
                </c:pt>
                <c:pt idx="1">
                  <c:v>12</c:v>
                </c:pt>
                <c:pt idx="2">
                  <c:v>39</c:v>
                </c:pt>
                <c:pt idx="3">
                  <c:v>63</c:v>
                </c:pt>
                <c:pt idx="4">
                  <c:v>89</c:v>
                </c:pt>
                <c:pt idx="5">
                  <c:v>133</c:v>
                </c:pt>
                <c:pt idx="6">
                  <c:v>177</c:v>
                </c:pt>
                <c:pt idx="7">
                  <c:v>223</c:v>
                </c:pt>
                <c:pt idx="8">
                  <c:v>255</c:v>
                </c:pt>
                <c:pt idx="9">
                  <c:v>285</c:v>
                </c:pt>
                <c:pt idx="10">
                  <c:v>308</c:v>
                </c:pt>
                <c:pt idx="11">
                  <c:v>369</c:v>
                </c:pt>
                <c:pt idx="12">
                  <c:v>390</c:v>
                </c:pt>
                <c:pt idx="13">
                  <c:v>438</c:v>
                </c:pt>
                <c:pt idx="14">
                  <c:v>448</c:v>
                </c:pt>
                <c:pt idx="15">
                  <c:v>459</c:v>
                </c:pt>
                <c:pt idx="16">
                  <c:v>459</c:v>
                </c:pt>
                <c:pt idx="17">
                  <c:v>459</c:v>
                </c:pt>
                <c:pt idx="18">
                  <c:v>459</c:v>
                </c:pt>
                <c:pt idx="19">
                  <c:v>459</c:v>
                </c:pt>
                <c:pt idx="20">
                  <c:v>459</c:v>
                </c:pt>
                <c:pt idx="21">
                  <c:v>459</c:v>
                </c:pt>
                <c:pt idx="22">
                  <c:v>459</c:v>
                </c:pt>
                <c:pt idx="23">
                  <c:v>459</c:v>
                </c:pt>
                <c:pt idx="24">
                  <c:v>459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6C3-465C-B447-CF4035B97FA9}"/>
            </c:ext>
          </c:extLst>
        </c:ser>
        <c:ser>
          <c:idx val="1"/>
          <c:order val="1"/>
          <c:tx>
            <c:strRef>
              <c:f>Blad1!$ADL$1</c:f>
              <c:strCache>
                <c:ptCount val="1"/>
                <c:pt idx="0">
                  <c:v>Boardposition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Blad1!$ADL$2:$ADL$26</c:f>
              <c:numCache>
                <c:formatCode>General</c:formatCode>
                <c:ptCount val="25"/>
                <c:pt idx="0">
                  <c:v>0</c:v>
                </c:pt>
                <c:pt idx="1">
                  <c:v>38</c:v>
                </c:pt>
                <c:pt idx="2">
                  <c:v>74</c:v>
                </c:pt>
                <c:pt idx="3">
                  <c:v>129</c:v>
                </c:pt>
                <c:pt idx="4">
                  <c:v>155</c:v>
                </c:pt>
                <c:pt idx="5">
                  <c:v>230</c:v>
                </c:pt>
                <c:pt idx="6">
                  <c:v>274</c:v>
                </c:pt>
                <c:pt idx="7">
                  <c:v>308</c:v>
                </c:pt>
                <c:pt idx="8">
                  <c:v>347</c:v>
                </c:pt>
                <c:pt idx="9">
                  <c:v>369</c:v>
                </c:pt>
                <c:pt idx="10">
                  <c:v>387</c:v>
                </c:pt>
                <c:pt idx="11">
                  <c:v>401</c:v>
                </c:pt>
                <c:pt idx="12">
                  <c:v>405</c:v>
                </c:pt>
                <c:pt idx="13">
                  <c:v>430</c:v>
                </c:pt>
                <c:pt idx="14">
                  <c:v>446</c:v>
                </c:pt>
                <c:pt idx="15">
                  <c:v>442</c:v>
                </c:pt>
                <c:pt idx="16">
                  <c:v>442</c:v>
                </c:pt>
                <c:pt idx="17">
                  <c:v>442</c:v>
                </c:pt>
                <c:pt idx="18">
                  <c:v>442</c:v>
                </c:pt>
                <c:pt idx="19">
                  <c:v>442</c:v>
                </c:pt>
                <c:pt idx="20">
                  <c:v>442</c:v>
                </c:pt>
                <c:pt idx="21">
                  <c:v>442</c:v>
                </c:pt>
                <c:pt idx="22">
                  <c:v>442</c:v>
                </c:pt>
                <c:pt idx="23">
                  <c:v>442</c:v>
                </c:pt>
                <c:pt idx="24">
                  <c:v>442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6C3-465C-B447-CF4035B97F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Blad1!$ADR$1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Blad1!$ADR$2:$ADR$26</c:f>
              <c:numCache>
                <c:formatCode>General</c:formatCode>
                <c:ptCount val="25"/>
                <c:pt idx="0">
                  <c:v>0</c:v>
                </c:pt>
                <c:pt idx="1">
                  <c:v>9</c:v>
                </c:pt>
                <c:pt idx="2">
                  <c:v>40</c:v>
                </c:pt>
                <c:pt idx="3">
                  <c:v>72</c:v>
                </c:pt>
                <c:pt idx="4">
                  <c:v>106</c:v>
                </c:pt>
                <c:pt idx="5">
                  <c:v>145</c:v>
                </c:pt>
                <c:pt idx="6">
                  <c:v>167</c:v>
                </c:pt>
                <c:pt idx="7">
                  <c:v>203</c:v>
                </c:pt>
                <c:pt idx="8">
                  <c:v>248</c:v>
                </c:pt>
                <c:pt idx="9">
                  <c:v>280</c:v>
                </c:pt>
                <c:pt idx="10">
                  <c:v>308</c:v>
                </c:pt>
                <c:pt idx="11">
                  <c:v>361</c:v>
                </c:pt>
                <c:pt idx="12">
                  <c:v>391</c:v>
                </c:pt>
                <c:pt idx="13">
                  <c:v>367</c:v>
                </c:pt>
                <c:pt idx="14">
                  <c:v>367</c:v>
                </c:pt>
                <c:pt idx="15">
                  <c:v>367</c:v>
                </c:pt>
                <c:pt idx="16">
                  <c:v>367</c:v>
                </c:pt>
                <c:pt idx="17">
                  <c:v>367</c:v>
                </c:pt>
                <c:pt idx="18">
                  <c:v>367</c:v>
                </c:pt>
                <c:pt idx="19">
                  <c:v>367</c:v>
                </c:pt>
                <c:pt idx="20">
                  <c:v>367</c:v>
                </c:pt>
                <c:pt idx="21">
                  <c:v>367</c:v>
                </c:pt>
                <c:pt idx="22">
                  <c:v>367</c:v>
                </c:pt>
                <c:pt idx="23">
                  <c:v>367</c:v>
                </c:pt>
                <c:pt idx="24">
                  <c:v>367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2DA-41D0-8B21-C832FA4C5DB4}"/>
            </c:ext>
          </c:extLst>
        </c:ser>
        <c:ser>
          <c:idx val="1"/>
          <c:order val="1"/>
          <c:tx>
            <c:strRef>
              <c:f>Blad1!$ADX$1</c:f>
              <c:strCache>
                <c:ptCount val="1"/>
                <c:pt idx="0">
                  <c:v>Boardposition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Blad1!$ADX$2:$ADX$26</c:f>
              <c:numCache>
                <c:formatCode>General</c:formatCode>
                <c:ptCount val="25"/>
                <c:pt idx="0">
                  <c:v>0</c:v>
                </c:pt>
                <c:pt idx="1">
                  <c:v>21</c:v>
                </c:pt>
                <c:pt idx="2">
                  <c:v>54</c:v>
                </c:pt>
                <c:pt idx="3">
                  <c:v>70</c:v>
                </c:pt>
                <c:pt idx="4">
                  <c:v>94</c:v>
                </c:pt>
                <c:pt idx="5">
                  <c:v>117</c:v>
                </c:pt>
                <c:pt idx="6">
                  <c:v>147</c:v>
                </c:pt>
                <c:pt idx="7">
                  <c:v>217</c:v>
                </c:pt>
                <c:pt idx="8">
                  <c:v>306</c:v>
                </c:pt>
                <c:pt idx="9">
                  <c:v>332</c:v>
                </c:pt>
                <c:pt idx="10">
                  <c:v>369</c:v>
                </c:pt>
                <c:pt idx="11">
                  <c:v>417</c:v>
                </c:pt>
                <c:pt idx="12">
                  <c:v>470</c:v>
                </c:pt>
                <c:pt idx="13">
                  <c:v>494</c:v>
                </c:pt>
                <c:pt idx="14">
                  <c:v>494</c:v>
                </c:pt>
                <c:pt idx="15">
                  <c:v>494</c:v>
                </c:pt>
                <c:pt idx="16">
                  <c:v>494</c:v>
                </c:pt>
                <c:pt idx="17">
                  <c:v>494</c:v>
                </c:pt>
                <c:pt idx="18">
                  <c:v>494</c:v>
                </c:pt>
                <c:pt idx="19">
                  <c:v>494</c:v>
                </c:pt>
                <c:pt idx="20">
                  <c:v>494</c:v>
                </c:pt>
                <c:pt idx="21">
                  <c:v>494</c:v>
                </c:pt>
                <c:pt idx="22">
                  <c:v>494</c:v>
                </c:pt>
                <c:pt idx="23">
                  <c:v>494</c:v>
                </c:pt>
                <c:pt idx="24">
                  <c:v>494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2DA-41D0-8B21-C832FA4C5D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Blad1!$AED$1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Blad1!$AED$2:$AED$26</c:f>
              <c:numCache>
                <c:formatCode>General</c:formatCode>
                <c:ptCount val="25"/>
                <c:pt idx="0">
                  <c:v>0</c:v>
                </c:pt>
                <c:pt idx="1">
                  <c:v>62</c:v>
                </c:pt>
                <c:pt idx="2">
                  <c:v>136</c:v>
                </c:pt>
                <c:pt idx="3">
                  <c:v>162</c:v>
                </c:pt>
                <c:pt idx="4">
                  <c:v>223</c:v>
                </c:pt>
                <c:pt idx="5">
                  <c:v>257</c:v>
                </c:pt>
                <c:pt idx="6">
                  <c:v>285</c:v>
                </c:pt>
                <c:pt idx="7">
                  <c:v>316</c:v>
                </c:pt>
                <c:pt idx="8">
                  <c:v>335</c:v>
                </c:pt>
                <c:pt idx="9">
                  <c:v>366</c:v>
                </c:pt>
                <c:pt idx="10">
                  <c:v>398</c:v>
                </c:pt>
                <c:pt idx="11">
                  <c:v>417</c:v>
                </c:pt>
                <c:pt idx="12">
                  <c:v>435</c:v>
                </c:pt>
                <c:pt idx="13">
                  <c:v>446</c:v>
                </c:pt>
                <c:pt idx="14">
                  <c:v>461</c:v>
                </c:pt>
                <c:pt idx="15">
                  <c:v>461</c:v>
                </c:pt>
                <c:pt idx="16">
                  <c:v>461</c:v>
                </c:pt>
                <c:pt idx="17">
                  <c:v>461</c:v>
                </c:pt>
                <c:pt idx="18">
                  <c:v>461</c:v>
                </c:pt>
                <c:pt idx="19">
                  <c:v>461</c:v>
                </c:pt>
                <c:pt idx="20">
                  <c:v>461</c:v>
                </c:pt>
                <c:pt idx="21">
                  <c:v>461</c:v>
                </c:pt>
                <c:pt idx="22">
                  <c:v>461</c:v>
                </c:pt>
                <c:pt idx="23">
                  <c:v>461</c:v>
                </c:pt>
                <c:pt idx="24">
                  <c:v>461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58E-450A-B10D-0CB12DA0A13B}"/>
            </c:ext>
          </c:extLst>
        </c:ser>
        <c:ser>
          <c:idx val="1"/>
          <c:order val="1"/>
          <c:tx>
            <c:strRef>
              <c:f>Blad1!$AEJ$1</c:f>
              <c:strCache>
                <c:ptCount val="1"/>
                <c:pt idx="0">
                  <c:v>Boardposition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Blad1!$AEJ$2:$AEJ$26</c:f>
              <c:numCache>
                <c:formatCode>General</c:formatCode>
                <c:ptCount val="25"/>
                <c:pt idx="0">
                  <c:v>0</c:v>
                </c:pt>
                <c:pt idx="1">
                  <c:v>24</c:v>
                </c:pt>
                <c:pt idx="2">
                  <c:v>63</c:v>
                </c:pt>
                <c:pt idx="3">
                  <c:v>97</c:v>
                </c:pt>
                <c:pt idx="4">
                  <c:v>133</c:v>
                </c:pt>
                <c:pt idx="5">
                  <c:v>245</c:v>
                </c:pt>
                <c:pt idx="6">
                  <c:v>275</c:v>
                </c:pt>
                <c:pt idx="7">
                  <c:v>295</c:v>
                </c:pt>
                <c:pt idx="8">
                  <c:v>337</c:v>
                </c:pt>
                <c:pt idx="9">
                  <c:v>370</c:v>
                </c:pt>
                <c:pt idx="10">
                  <c:v>385</c:v>
                </c:pt>
                <c:pt idx="11">
                  <c:v>411</c:v>
                </c:pt>
                <c:pt idx="12">
                  <c:v>436</c:v>
                </c:pt>
                <c:pt idx="13">
                  <c:v>444</c:v>
                </c:pt>
                <c:pt idx="14">
                  <c:v>439</c:v>
                </c:pt>
                <c:pt idx="15">
                  <c:v>439</c:v>
                </c:pt>
                <c:pt idx="16">
                  <c:v>439</c:v>
                </c:pt>
                <c:pt idx="17">
                  <c:v>439</c:v>
                </c:pt>
                <c:pt idx="18">
                  <c:v>439</c:v>
                </c:pt>
                <c:pt idx="19">
                  <c:v>439</c:v>
                </c:pt>
                <c:pt idx="20">
                  <c:v>439</c:v>
                </c:pt>
                <c:pt idx="21">
                  <c:v>439</c:v>
                </c:pt>
                <c:pt idx="22">
                  <c:v>439</c:v>
                </c:pt>
                <c:pt idx="23">
                  <c:v>439</c:v>
                </c:pt>
                <c:pt idx="24">
                  <c:v>439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58E-450A-B10D-0CB12DA0A1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Blad1!$AEP$1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Blad1!$AEP$2:$AEP$26</c:f>
              <c:numCache>
                <c:formatCode>General</c:formatCode>
                <c:ptCount val="25"/>
                <c:pt idx="0">
                  <c:v>0</c:v>
                </c:pt>
                <c:pt idx="1">
                  <c:v>22</c:v>
                </c:pt>
                <c:pt idx="2">
                  <c:v>112</c:v>
                </c:pt>
                <c:pt idx="3">
                  <c:v>154</c:v>
                </c:pt>
                <c:pt idx="4">
                  <c:v>191</c:v>
                </c:pt>
                <c:pt idx="5">
                  <c:v>229</c:v>
                </c:pt>
                <c:pt idx="6">
                  <c:v>262</c:v>
                </c:pt>
                <c:pt idx="7">
                  <c:v>286</c:v>
                </c:pt>
                <c:pt idx="8">
                  <c:v>315</c:v>
                </c:pt>
                <c:pt idx="9">
                  <c:v>338</c:v>
                </c:pt>
                <c:pt idx="10">
                  <c:v>353</c:v>
                </c:pt>
                <c:pt idx="11">
                  <c:v>380</c:v>
                </c:pt>
                <c:pt idx="12">
                  <c:v>404</c:v>
                </c:pt>
                <c:pt idx="13">
                  <c:v>421</c:v>
                </c:pt>
                <c:pt idx="14">
                  <c:v>431</c:v>
                </c:pt>
                <c:pt idx="15">
                  <c:v>440</c:v>
                </c:pt>
                <c:pt idx="16">
                  <c:v>440</c:v>
                </c:pt>
                <c:pt idx="17">
                  <c:v>431</c:v>
                </c:pt>
                <c:pt idx="18">
                  <c:v>431</c:v>
                </c:pt>
                <c:pt idx="19">
                  <c:v>431</c:v>
                </c:pt>
                <c:pt idx="20">
                  <c:v>431</c:v>
                </c:pt>
                <c:pt idx="21">
                  <c:v>431</c:v>
                </c:pt>
                <c:pt idx="22">
                  <c:v>431</c:v>
                </c:pt>
                <c:pt idx="23">
                  <c:v>431</c:v>
                </c:pt>
                <c:pt idx="24">
                  <c:v>431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670-4B72-AD95-D4E95F18DA29}"/>
            </c:ext>
          </c:extLst>
        </c:ser>
        <c:ser>
          <c:idx val="1"/>
          <c:order val="1"/>
          <c:tx>
            <c:strRef>
              <c:f>Blad1!$AEV$1</c:f>
              <c:strCache>
                <c:ptCount val="1"/>
                <c:pt idx="0">
                  <c:v>Boardposition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Blad1!$AEV$2:$AEV$26</c:f>
              <c:numCache>
                <c:formatCode>General</c:formatCode>
                <c:ptCount val="25"/>
                <c:pt idx="0">
                  <c:v>0</c:v>
                </c:pt>
                <c:pt idx="1">
                  <c:v>18</c:v>
                </c:pt>
                <c:pt idx="2">
                  <c:v>80</c:v>
                </c:pt>
                <c:pt idx="3">
                  <c:v>117</c:v>
                </c:pt>
                <c:pt idx="4">
                  <c:v>151</c:v>
                </c:pt>
                <c:pt idx="5">
                  <c:v>211</c:v>
                </c:pt>
                <c:pt idx="6">
                  <c:v>237</c:v>
                </c:pt>
                <c:pt idx="7">
                  <c:v>255</c:v>
                </c:pt>
                <c:pt idx="8">
                  <c:v>281</c:v>
                </c:pt>
                <c:pt idx="9">
                  <c:v>311</c:v>
                </c:pt>
                <c:pt idx="10">
                  <c:v>340</c:v>
                </c:pt>
                <c:pt idx="11">
                  <c:v>371</c:v>
                </c:pt>
                <c:pt idx="12">
                  <c:v>392</c:v>
                </c:pt>
                <c:pt idx="13">
                  <c:v>396</c:v>
                </c:pt>
                <c:pt idx="14">
                  <c:v>398</c:v>
                </c:pt>
                <c:pt idx="15">
                  <c:v>398</c:v>
                </c:pt>
                <c:pt idx="16">
                  <c:v>398</c:v>
                </c:pt>
                <c:pt idx="17">
                  <c:v>397</c:v>
                </c:pt>
                <c:pt idx="18">
                  <c:v>397</c:v>
                </c:pt>
                <c:pt idx="19">
                  <c:v>397</c:v>
                </c:pt>
                <c:pt idx="20">
                  <c:v>397</c:v>
                </c:pt>
                <c:pt idx="21">
                  <c:v>397</c:v>
                </c:pt>
                <c:pt idx="22">
                  <c:v>397</c:v>
                </c:pt>
                <c:pt idx="23">
                  <c:v>397</c:v>
                </c:pt>
                <c:pt idx="24">
                  <c:v>397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670-4B72-AD95-D4E95F18DA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Blad1!$AFB$1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Blad1!$AFB$2:$AFB$26</c:f>
              <c:numCache>
                <c:formatCode>General</c:formatCode>
                <c:ptCount val="25"/>
                <c:pt idx="0">
                  <c:v>0</c:v>
                </c:pt>
                <c:pt idx="1">
                  <c:v>28</c:v>
                </c:pt>
                <c:pt idx="2">
                  <c:v>54</c:v>
                </c:pt>
                <c:pt idx="3">
                  <c:v>113</c:v>
                </c:pt>
                <c:pt idx="4">
                  <c:v>151</c:v>
                </c:pt>
                <c:pt idx="5">
                  <c:v>219</c:v>
                </c:pt>
                <c:pt idx="6">
                  <c:v>254</c:v>
                </c:pt>
                <c:pt idx="7">
                  <c:v>285</c:v>
                </c:pt>
                <c:pt idx="8">
                  <c:v>308</c:v>
                </c:pt>
                <c:pt idx="9">
                  <c:v>331</c:v>
                </c:pt>
                <c:pt idx="10">
                  <c:v>350</c:v>
                </c:pt>
                <c:pt idx="11">
                  <c:v>380</c:v>
                </c:pt>
                <c:pt idx="12">
                  <c:v>398</c:v>
                </c:pt>
                <c:pt idx="13">
                  <c:v>415</c:v>
                </c:pt>
                <c:pt idx="14">
                  <c:v>433</c:v>
                </c:pt>
                <c:pt idx="15">
                  <c:v>457</c:v>
                </c:pt>
                <c:pt idx="16">
                  <c:v>467</c:v>
                </c:pt>
                <c:pt idx="17">
                  <c:v>456</c:v>
                </c:pt>
                <c:pt idx="18">
                  <c:v>456</c:v>
                </c:pt>
                <c:pt idx="19">
                  <c:v>456</c:v>
                </c:pt>
                <c:pt idx="20">
                  <c:v>456</c:v>
                </c:pt>
                <c:pt idx="21">
                  <c:v>456</c:v>
                </c:pt>
                <c:pt idx="22">
                  <c:v>456</c:v>
                </c:pt>
                <c:pt idx="23">
                  <c:v>456</c:v>
                </c:pt>
                <c:pt idx="24">
                  <c:v>456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BDA-4B76-92E8-EE81452015CA}"/>
            </c:ext>
          </c:extLst>
        </c:ser>
        <c:ser>
          <c:idx val="1"/>
          <c:order val="1"/>
          <c:tx>
            <c:strRef>
              <c:f>Blad1!$AFH$1</c:f>
              <c:strCache>
                <c:ptCount val="1"/>
                <c:pt idx="0">
                  <c:v>Boardposition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Blad1!$AFH$2:$AFH$26</c:f>
              <c:numCache>
                <c:formatCode>General</c:formatCode>
                <c:ptCount val="25"/>
                <c:pt idx="0">
                  <c:v>0</c:v>
                </c:pt>
                <c:pt idx="1">
                  <c:v>16</c:v>
                </c:pt>
                <c:pt idx="2">
                  <c:v>35</c:v>
                </c:pt>
                <c:pt idx="3">
                  <c:v>63</c:v>
                </c:pt>
                <c:pt idx="4">
                  <c:v>78</c:v>
                </c:pt>
                <c:pt idx="5">
                  <c:v>115</c:v>
                </c:pt>
                <c:pt idx="6">
                  <c:v>148</c:v>
                </c:pt>
                <c:pt idx="7">
                  <c:v>174</c:v>
                </c:pt>
                <c:pt idx="8">
                  <c:v>206</c:v>
                </c:pt>
                <c:pt idx="9">
                  <c:v>241</c:v>
                </c:pt>
                <c:pt idx="10">
                  <c:v>269</c:v>
                </c:pt>
                <c:pt idx="11">
                  <c:v>304</c:v>
                </c:pt>
                <c:pt idx="12">
                  <c:v>327</c:v>
                </c:pt>
                <c:pt idx="13">
                  <c:v>342</c:v>
                </c:pt>
                <c:pt idx="14">
                  <c:v>377</c:v>
                </c:pt>
                <c:pt idx="15">
                  <c:v>383</c:v>
                </c:pt>
                <c:pt idx="16">
                  <c:v>389</c:v>
                </c:pt>
                <c:pt idx="17">
                  <c:v>400</c:v>
                </c:pt>
                <c:pt idx="18">
                  <c:v>400</c:v>
                </c:pt>
                <c:pt idx="19">
                  <c:v>400</c:v>
                </c:pt>
                <c:pt idx="20">
                  <c:v>400</c:v>
                </c:pt>
                <c:pt idx="21">
                  <c:v>400</c:v>
                </c:pt>
                <c:pt idx="22">
                  <c:v>400</c:v>
                </c:pt>
                <c:pt idx="23">
                  <c:v>400</c:v>
                </c:pt>
                <c:pt idx="24">
                  <c:v>400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BDA-4B76-92E8-EE81452015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Blad1!$AFN$1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Blad1!$AFN$2:$AFN$26</c:f>
              <c:numCache>
                <c:formatCode>General</c:formatCode>
                <c:ptCount val="25"/>
                <c:pt idx="0">
                  <c:v>0</c:v>
                </c:pt>
                <c:pt idx="1">
                  <c:v>11</c:v>
                </c:pt>
                <c:pt idx="2">
                  <c:v>29</c:v>
                </c:pt>
                <c:pt idx="3">
                  <c:v>49</c:v>
                </c:pt>
                <c:pt idx="4">
                  <c:v>71</c:v>
                </c:pt>
                <c:pt idx="5">
                  <c:v>91</c:v>
                </c:pt>
                <c:pt idx="6">
                  <c:v>120</c:v>
                </c:pt>
                <c:pt idx="7">
                  <c:v>159</c:v>
                </c:pt>
                <c:pt idx="8">
                  <c:v>222</c:v>
                </c:pt>
                <c:pt idx="9">
                  <c:v>268</c:v>
                </c:pt>
                <c:pt idx="10">
                  <c:v>304</c:v>
                </c:pt>
                <c:pt idx="11">
                  <c:v>384</c:v>
                </c:pt>
                <c:pt idx="12">
                  <c:v>426</c:v>
                </c:pt>
                <c:pt idx="13">
                  <c:v>462</c:v>
                </c:pt>
                <c:pt idx="14">
                  <c:v>496</c:v>
                </c:pt>
                <c:pt idx="15">
                  <c:v>513</c:v>
                </c:pt>
                <c:pt idx="16">
                  <c:v>513</c:v>
                </c:pt>
                <c:pt idx="17">
                  <c:v>513</c:v>
                </c:pt>
                <c:pt idx="18">
                  <c:v>513</c:v>
                </c:pt>
                <c:pt idx="19">
                  <c:v>503</c:v>
                </c:pt>
                <c:pt idx="20">
                  <c:v>503</c:v>
                </c:pt>
                <c:pt idx="21">
                  <c:v>503</c:v>
                </c:pt>
                <c:pt idx="22">
                  <c:v>503</c:v>
                </c:pt>
                <c:pt idx="23">
                  <c:v>503</c:v>
                </c:pt>
                <c:pt idx="24">
                  <c:v>503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58E-4EAF-B999-E787E772D6F2}"/>
            </c:ext>
          </c:extLst>
        </c:ser>
        <c:ser>
          <c:idx val="1"/>
          <c:order val="1"/>
          <c:tx>
            <c:strRef>
              <c:f>Blad1!$AFT$1</c:f>
              <c:strCache>
                <c:ptCount val="1"/>
                <c:pt idx="0">
                  <c:v>Boardposition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Blad1!$AFT$2:$AFT$26</c:f>
              <c:numCache>
                <c:formatCode>General</c:formatCode>
                <c:ptCount val="25"/>
                <c:pt idx="0">
                  <c:v>0</c:v>
                </c:pt>
                <c:pt idx="1">
                  <c:v>13</c:v>
                </c:pt>
                <c:pt idx="2">
                  <c:v>37</c:v>
                </c:pt>
                <c:pt idx="3">
                  <c:v>59</c:v>
                </c:pt>
                <c:pt idx="4">
                  <c:v>78</c:v>
                </c:pt>
                <c:pt idx="5">
                  <c:v>123</c:v>
                </c:pt>
                <c:pt idx="6">
                  <c:v>139</c:v>
                </c:pt>
                <c:pt idx="7">
                  <c:v>150</c:v>
                </c:pt>
                <c:pt idx="8">
                  <c:v>192</c:v>
                </c:pt>
                <c:pt idx="9">
                  <c:v>208</c:v>
                </c:pt>
                <c:pt idx="10">
                  <c:v>244</c:v>
                </c:pt>
                <c:pt idx="11">
                  <c:v>283</c:v>
                </c:pt>
                <c:pt idx="12">
                  <c:v>318</c:v>
                </c:pt>
                <c:pt idx="13">
                  <c:v>357</c:v>
                </c:pt>
                <c:pt idx="14">
                  <c:v>389</c:v>
                </c:pt>
                <c:pt idx="15">
                  <c:v>407</c:v>
                </c:pt>
                <c:pt idx="16">
                  <c:v>423</c:v>
                </c:pt>
                <c:pt idx="17">
                  <c:v>431</c:v>
                </c:pt>
                <c:pt idx="18">
                  <c:v>438</c:v>
                </c:pt>
                <c:pt idx="19">
                  <c:v>448</c:v>
                </c:pt>
                <c:pt idx="20">
                  <c:v>448</c:v>
                </c:pt>
                <c:pt idx="21">
                  <c:v>448</c:v>
                </c:pt>
                <c:pt idx="22">
                  <c:v>448</c:v>
                </c:pt>
                <c:pt idx="23">
                  <c:v>448</c:v>
                </c:pt>
                <c:pt idx="24">
                  <c:v>448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58E-4EAF-B999-E787E772D6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Blad1!$AFZ$1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Blad1!$AFZ$2:$AFZ$26</c:f>
              <c:numCache>
                <c:formatCode>General</c:formatCode>
                <c:ptCount val="25"/>
                <c:pt idx="0">
                  <c:v>0</c:v>
                </c:pt>
                <c:pt idx="1">
                  <c:v>22</c:v>
                </c:pt>
                <c:pt idx="2">
                  <c:v>46</c:v>
                </c:pt>
                <c:pt idx="3">
                  <c:v>68</c:v>
                </c:pt>
                <c:pt idx="4">
                  <c:v>100</c:v>
                </c:pt>
                <c:pt idx="5">
                  <c:v>138</c:v>
                </c:pt>
                <c:pt idx="6">
                  <c:v>153</c:v>
                </c:pt>
                <c:pt idx="7">
                  <c:v>172</c:v>
                </c:pt>
                <c:pt idx="8">
                  <c:v>191</c:v>
                </c:pt>
                <c:pt idx="9">
                  <c:v>225</c:v>
                </c:pt>
                <c:pt idx="10">
                  <c:v>244</c:v>
                </c:pt>
                <c:pt idx="11">
                  <c:v>260</c:v>
                </c:pt>
                <c:pt idx="12">
                  <c:v>333</c:v>
                </c:pt>
                <c:pt idx="13">
                  <c:v>371</c:v>
                </c:pt>
                <c:pt idx="14">
                  <c:v>391</c:v>
                </c:pt>
                <c:pt idx="15">
                  <c:v>415</c:v>
                </c:pt>
                <c:pt idx="16">
                  <c:v>425</c:v>
                </c:pt>
                <c:pt idx="17">
                  <c:v>440</c:v>
                </c:pt>
                <c:pt idx="18">
                  <c:v>440</c:v>
                </c:pt>
                <c:pt idx="19">
                  <c:v>440</c:v>
                </c:pt>
                <c:pt idx="20">
                  <c:v>440</c:v>
                </c:pt>
                <c:pt idx="21">
                  <c:v>440</c:v>
                </c:pt>
                <c:pt idx="22">
                  <c:v>440</c:v>
                </c:pt>
                <c:pt idx="23">
                  <c:v>440</c:v>
                </c:pt>
                <c:pt idx="24">
                  <c:v>440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BB8-40D6-9FB4-0A62268B5040}"/>
            </c:ext>
          </c:extLst>
        </c:ser>
        <c:ser>
          <c:idx val="1"/>
          <c:order val="1"/>
          <c:tx>
            <c:strRef>
              <c:f>Blad1!$AGF$1</c:f>
              <c:strCache>
                <c:ptCount val="1"/>
                <c:pt idx="0">
                  <c:v>Boardposition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Blad1!$AGF$2:$AGF$26</c:f>
              <c:numCache>
                <c:formatCode>General</c:formatCode>
                <c:ptCount val="25"/>
                <c:pt idx="0">
                  <c:v>0</c:v>
                </c:pt>
                <c:pt idx="1">
                  <c:v>36</c:v>
                </c:pt>
                <c:pt idx="2">
                  <c:v>70</c:v>
                </c:pt>
                <c:pt idx="3">
                  <c:v>87</c:v>
                </c:pt>
                <c:pt idx="4">
                  <c:v>115</c:v>
                </c:pt>
                <c:pt idx="5">
                  <c:v>137</c:v>
                </c:pt>
                <c:pt idx="6">
                  <c:v>167</c:v>
                </c:pt>
                <c:pt idx="7">
                  <c:v>214</c:v>
                </c:pt>
                <c:pt idx="8">
                  <c:v>236</c:v>
                </c:pt>
                <c:pt idx="9">
                  <c:v>256</c:v>
                </c:pt>
                <c:pt idx="10">
                  <c:v>274</c:v>
                </c:pt>
                <c:pt idx="11">
                  <c:v>301</c:v>
                </c:pt>
                <c:pt idx="12">
                  <c:v>332</c:v>
                </c:pt>
                <c:pt idx="13">
                  <c:v>366</c:v>
                </c:pt>
                <c:pt idx="14">
                  <c:v>388</c:v>
                </c:pt>
                <c:pt idx="15">
                  <c:v>398</c:v>
                </c:pt>
                <c:pt idx="16">
                  <c:v>404</c:v>
                </c:pt>
                <c:pt idx="17">
                  <c:v>394</c:v>
                </c:pt>
                <c:pt idx="18">
                  <c:v>394</c:v>
                </c:pt>
                <c:pt idx="19">
                  <c:v>394</c:v>
                </c:pt>
                <c:pt idx="20">
                  <c:v>394</c:v>
                </c:pt>
                <c:pt idx="21">
                  <c:v>394</c:v>
                </c:pt>
                <c:pt idx="22">
                  <c:v>394</c:v>
                </c:pt>
                <c:pt idx="23">
                  <c:v>394</c:v>
                </c:pt>
                <c:pt idx="24">
                  <c:v>394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BB8-40D6-9FB4-0A62268B50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Blad1!$AGL$1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Blad1!$AGL$2:$AGL$26</c:f>
              <c:numCache>
                <c:formatCode>General</c:formatCode>
                <c:ptCount val="25"/>
                <c:pt idx="0">
                  <c:v>0</c:v>
                </c:pt>
                <c:pt idx="1">
                  <c:v>24</c:v>
                </c:pt>
                <c:pt idx="2">
                  <c:v>75</c:v>
                </c:pt>
                <c:pt idx="3">
                  <c:v>101</c:v>
                </c:pt>
                <c:pt idx="4">
                  <c:v>127</c:v>
                </c:pt>
                <c:pt idx="5">
                  <c:v>263</c:v>
                </c:pt>
                <c:pt idx="6">
                  <c:v>295</c:v>
                </c:pt>
                <c:pt idx="7">
                  <c:v>328</c:v>
                </c:pt>
                <c:pt idx="8">
                  <c:v>363</c:v>
                </c:pt>
                <c:pt idx="9">
                  <c:v>396</c:v>
                </c:pt>
                <c:pt idx="10">
                  <c:v>439</c:v>
                </c:pt>
                <c:pt idx="11">
                  <c:v>463</c:v>
                </c:pt>
                <c:pt idx="12">
                  <c:v>492</c:v>
                </c:pt>
                <c:pt idx="13">
                  <c:v>520</c:v>
                </c:pt>
                <c:pt idx="14">
                  <c:v>539</c:v>
                </c:pt>
                <c:pt idx="15">
                  <c:v>559</c:v>
                </c:pt>
                <c:pt idx="16">
                  <c:v>559</c:v>
                </c:pt>
                <c:pt idx="17">
                  <c:v>559</c:v>
                </c:pt>
                <c:pt idx="18">
                  <c:v>559</c:v>
                </c:pt>
                <c:pt idx="19">
                  <c:v>559</c:v>
                </c:pt>
                <c:pt idx="20">
                  <c:v>559</c:v>
                </c:pt>
                <c:pt idx="21">
                  <c:v>559</c:v>
                </c:pt>
                <c:pt idx="22">
                  <c:v>559</c:v>
                </c:pt>
                <c:pt idx="23">
                  <c:v>559</c:v>
                </c:pt>
                <c:pt idx="24">
                  <c:v>559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B5A-4D55-A4B2-411221ECCFFE}"/>
            </c:ext>
          </c:extLst>
        </c:ser>
        <c:ser>
          <c:idx val="1"/>
          <c:order val="1"/>
          <c:tx>
            <c:strRef>
              <c:f>Blad1!$AGR$1</c:f>
              <c:strCache>
                <c:ptCount val="1"/>
                <c:pt idx="0">
                  <c:v>Boardposition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Blad1!$AGR$2:$AGR$26</c:f>
              <c:numCache>
                <c:formatCode>General</c:formatCode>
                <c:ptCount val="25"/>
                <c:pt idx="0">
                  <c:v>0</c:v>
                </c:pt>
                <c:pt idx="1">
                  <c:v>34</c:v>
                </c:pt>
                <c:pt idx="2">
                  <c:v>47</c:v>
                </c:pt>
                <c:pt idx="3">
                  <c:v>66</c:v>
                </c:pt>
                <c:pt idx="4">
                  <c:v>93</c:v>
                </c:pt>
                <c:pt idx="5">
                  <c:v>164</c:v>
                </c:pt>
                <c:pt idx="6">
                  <c:v>201</c:v>
                </c:pt>
                <c:pt idx="7">
                  <c:v>234</c:v>
                </c:pt>
                <c:pt idx="8">
                  <c:v>270</c:v>
                </c:pt>
                <c:pt idx="9">
                  <c:v>292</c:v>
                </c:pt>
                <c:pt idx="10">
                  <c:v>329</c:v>
                </c:pt>
                <c:pt idx="11">
                  <c:v>361</c:v>
                </c:pt>
                <c:pt idx="12">
                  <c:v>403</c:v>
                </c:pt>
                <c:pt idx="13">
                  <c:v>419</c:v>
                </c:pt>
                <c:pt idx="14">
                  <c:v>426</c:v>
                </c:pt>
                <c:pt idx="15">
                  <c:v>425</c:v>
                </c:pt>
                <c:pt idx="16">
                  <c:v>425</c:v>
                </c:pt>
                <c:pt idx="17">
                  <c:v>425</c:v>
                </c:pt>
                <c:pt idx="18">
                  <c:v>425</c:v>
                </c:pt>
                <c:pt idx="19">
                  <c:v>425</c:v>
                </c:pt>
                <c:pt idx="20">
                  <c:v>425</c:v>
                </c:pt>
                <c:pt idx="21">
                  <c:v>425</c:v>
                </c:pt>
                <c:pt idx="22">
                  <c:v>425</c:v>
                </c:pt>
                <c:pt idx="23">
                  <c:v>425</c:v>
                </c:pt>
                <c:pt idx="24">
                  <c:v>425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B5A-4D55-A4B2-411221ECCF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Blad1!$AGX$1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Blad1!$AGX$2:$AGX$26</c:f>
              <c:numCache>
                <c:formatCode>General</c:formatCode>
                <c:ptCount val="25"/>
                <c:pt idx="0">
                  <c:v>0</c:v>
                </c:pt>
                <c:pt idx="1">
                  <c:v>22</c:v>
                </c:pt>
                <c:pt idx="2">
                  <c:v>52</c:v>
                </c:pt>
                <c:pt idx="3">
                  <c:v>88</c:v>
                </c:pt>
                <c:pt idx="4">
                  <c:v>126</c:v>
                </c:pt>
                <c:pt idx="5">
                  <c:v>158</c:v>
                </c:pt>
                <c:pt idx="6">
                  <c:v>184</c:v>
                </c:pt>
                <c:pt idx="7">
                  <c:v>212</c:v>
                </c:pt>
                <c:pt idx="8">
                  <c:v>239</c:v>
                </c:pt>
                <c:pt idx="9">
                  <c:v>261</c:v>
                </c:pt>
                <c:pt idx="10">
                  <c:v>292</c:v>
                </c:pt>
                <c:pt idx="11">
                  <c:v>350</c:v>
                </c:pt>
                <c:pt idx="12">
                  <c:v>372</c:v>
                </c:pt>
                <c:pt idx="13">
                  <c:v>399</c:v>
                </c:pt>
                <c:pt idx="14">
                  <c:v>414</c:v>
                </c:pt>
                <c:pt idx="15">
                  <c:v>421</c:v>
                </c:pt>
                <c:pt idx="16">
                  <c:v>419</c:v>
                </c:pt>
                <c:pt idx="17">
                  <c:v>419</c:v>
                </c:pt>
                <c:pt idx="18">
                  <c:v>419</c:v>
                </c:pt>
                <c:pt idx="19">
                  <c:v>419</c:v>
                </c:pt>
                <c:pt idx="20">
                  <c:v>419</c:v>
                </c:pt>
                <c:pt idx="21">
                  <c:v>419</c:v>
                </c:pt>
                <c:pt idx="22">
                  <c:v>419</c:v>
                </c:pt>
                <c:pt idx="23">
                  <c:v>419</c:v>
                </c:pt>
                <c:pt idx="24">
                  <c:v>419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FBA-4E01-A44D-6241C1FD48A4}"/>
            </c:ext>
          </c:extLst>
        </c:ser>
        <c:ser>
          <c:idx val="1"/>
          <c:order val="1"/>
          <c:tx>
            <c:strRef>
              <c:f>Blad1!$AHD$1</c:f>
              <c:strCache>
                <c:ptCount val="1"/>
                <c:pt idx="0">
                  <c:v>Boardposition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Blad1!$AHD$2:$AHD$26</c:f>
              <c:numCache>
                <c:formatCode>General</c:formatCode>
                <c:ptCount val="25"/>
                <c:pt idx="0">
                  <c:v>0</c:v>
                </c:pt>
                <c:pt idx="1">
                  <c:v>52</c:v>
                </c:pt>
                <c:pt idx="2">
                  <c:v>82</c:v>
                </c:pt>
                <c:pt idx="3">
                  <c:v>114</c:v>
                </c:pt>
                <c:pt idx="4">
                  <c:v>146</c:v>
                </c:pt>
                <c:pt idx="5">
                  <c:v>215</c:v>
                </c:pt>
                <c:pt idx="6">
                  <c:v>249</c:v>
                </c:pt>
                <c:pt idx="7">
                  <c:v>280</c:v>
                </c:pt>
                <c:pt idx="8">
                  <c:v>328</c:v>
                </c:pt>
                <c:pt idx="9">
                  <c:v>359</c:v>
                </c:pt>
                <c:pt idx="10">
                  <c:v>397</c:v>
                </c:pt>
                <c:pt idx="11">
                  <c:v>429</c:v>
                </c:pt>
                <c:pt idx="12">
                  <c:v>477</c:v>
                </c:pt>
                <c:pt idx="13">
                  <c:v>492</c:v>
                </c:pt>
                <c:pt idx="14">
                  <c:v>505</c:v>
                </c:pt>
                <c:pt idx="15">
                  <c:v>514</c:v>
                </c:pt>
                <c:pt idx="16">
                  <c:v>516</c:v>
                </c:pt>
                <c:pt idx="17">
                  <c:v>516</c:v>
                </c:pt>
                <c:pt idx="18">
                  <c:v>516</c:v>
                </c:pt>
                <c:pt idx="19">
                  <c:v>516</c:v>
                </c:pt>
                <c:pt idx="20">
                  <c:v>516</c:v>
                </c:pt>
                <c:pt idx="21">
                  <c:v>516</c:v>
                </c:pt>
                <c:pt idx="22">
                  <c:v>516</c:v>
                </c:pt>
                <c:pt idx="23">
                  <c:v>516</c:v>
                </c:pt>
                <c:pt idx="24">
                  <c:v>516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FBA-4E01-A44D-6241C1FD48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Blad1!$AHJ$1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Blad1!$AHJ$2:$AHJ$26</c:f>
              <c:numCache>
                <c:formatCode>General</c:formatCode>
                <c:ptCount val="25"/>
                <c:pt idx="0">
                  <c:v>0</c:v>
                </c:pt>
                <c:pt idx="1">
                  <c:v>10</c:v>
                </c:pt>
                <c:pt idx="2">
                  <c:v>43</c:v>
                </c:pt>
                <c:pt idx="3">
                  <c:v>107</c:v>
                </c:pt>
                <c:pt idx="4">
                  <c:v>141</c:v>
                </c:pt>
                <c:pt idx="5">
                  <c:v>164</c:v>
                </c:pt>
                <c:pt idx="6">
                  <c:v>188</c:v>
                </c:pt>
                <c:pt idx="7">
                  <c:v>217</c:v>
                </c:pt>
                <c:pt idx="8">
                  <c:v>241</c:v>
                </c:pt>
                <c:pt idx="9">
                  <c:v>263</c:v>
                </c:pt>
                <c:pt idx="10">
                  <c:v>278</c:v>
                </c:pt>
                <c:pt idx="11">
                  <c:v>308</c:v>
                </c:pt>
                <c:pt idx="12">
                  <c:v>369</c:v>
                </c:pt>
                <c:pt idx="13">
                  <c:v>389</c:v>
                </c:pt>
                <c:pt idx="14">
                  <c:v>407</c:v>
                </c:pt>
                <c:pt idx="15">
                  <c:v>430</c:v>
                </c:pt>
                <c:pt idx="16">
                  <c:v>446</c:v>
                </c:pt>
                <c:pt idx="17">
                  <c:v>446</c:v>
                </c:pt>
                <c:pt idx="18">
                  <c:v>446</c:v>
                </c:pt>
                <c:pt idx="19">
                  <c:v>446</c:v>
                </c:pt>
                <c:pt idx="20">
                  <c:v>446</c:v>
                </c:pt>
                <c:pt idx="21">
                  <c:v>446</c:v>
                </c:pt>
                <c:pt idx="22">
                  <c:v>446</c:v>
                </c:pt>
                <c:pt idx="23">
                  <c:v>446</c:v>
                </c:pt>
                <c:pt idx="24">
                  <c:v>446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052-48D6-B7F2-0A05C3223709}"/>
            </c:ext>
          </c:extLst>
        </c:ser>
        <c:ser>
          <c:idx val="1"/>
          <c:order val="1"/>
          <c:tx>
            <c:strRef>
              <c:f>Blad1!$AHP$1</c:f>
              <c:strCache>
                <c:ptCount val="1"/>
                <c:pt idx="0">
                  <c:v>Boardposition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Blad1!$AHP$2:$AHP$26</c:f>
              <c:numCache>
                <c:formatCode>General</c:formatCode>
                <c:ptCount val="25"/>
                <c:pt idx="0">
                  <c:v>0</c:v>
                </c:pt>
                <c:pt idx="1">
                  <c:v>26</c:v>
                </c:pt>
                <c:pt idx="2">
                  <c:v>44</c:v>
                </c:pt>
                <c:pt idx="3">
                  <c:v>72</c:v>
                </c:pt>
                <c:pt idx="4">
                  <c:v>91</c:v>
                </c:pt>
                <c:pt idx="5">
                  <c:v>118</c:v>
                </c:pt>
                <c:pt idx="6">
                  <c:v>148</c:v>
                </c:pt>
                <c:pt idx="7">
                  <c:v>197</c:v>
                </c:pt>
                <c:pt idx="8">
                  <c:v>222</c:v>
                </c:pt>
                <c:pt idx="9">
                  <c:v>241</c:v>
                </c:pt>
                <c:pt idx="10">
                  <c:v>271</c:v>
                </c:pt>
                <c:pt idx="11">
                  <c:v>288</c:v>
                </c:pt>
                <c:pt idx="12">
                  <c:v>316</c:v>
                </c:pt>
                <c:pt idx="13">
                  <c:v>348</c:v>
                </c:pt>
                <c:pt idx="14">
                  <c:v>366</c:v>
                </c:pt>
                <c:pt idx="15">
                  <c:v>405</c:v>
                </c:pt>
                <c:pt idx="16">
                  <c:v>399</c:v>
                </c:pt>
                <c:pt idx="17">
                  <c:v>399</c:v>
                </c:pt>
                <c:pt idx="18">
                  <c:v>399</c:v>
                </c:pt>
                <c:pt idx="19">
                  <c:v>399</c:v>
                </c:pt>
                <c:pt idx="20">
                  <c:v>399</c:v>
                </c:pt>
                <c:pt idx="21">
                  <c:v>399</c:v>
                </c:pt>
                <c:pt idx="22">
                  <c:v>399</c:v>
                </c:pt>
                <c:pt idx="23">
                  <c:v>399</c:v>
                </c:pt>
                <c:pt idx="24">
                  <c:v>399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052-48D6-B7F2-0A05C32237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Blad1!$AHV$1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Blad1!$AHV$2:$AHV$26</c:f>
              <c:numCache>
                <c:formatCode>General</c:formatCode>
                <c:ptCount val="25"/>
                <c:pt idx="0">
                  <c:v>0</c:v>
                </c:pt>
                <c:pt idx="1">
                  <c:v>12</c:v>
                </c:pt>
                <c:pt idx="2">
                  <c:v>38</c:v>
                </c:pt>
                <c:pt idx="3">
                  <c:v>75</c:v>
                </c:pt>
                <c:pt idx="4">
                  <c:v>126</c:v>
                </c:pt>
                <c:pt idx="5">
                  <c:v>160</c:v>
                </c:pt>
                <c:pt idx="6">
                  <c:v>192</c:v>
                </c:pt>
                <c:pt idx="7">
                  <c:v>218</c:v>
                </c:pt>
                <c:pt idx="8">
                  <c:v>272</c:v>
                </c:pt>
                <c:pt idx="9">
                  <c:v>307</c:v>
                </c:pt>
                <c:pt idx="10">
                  <c:v>352</c:v>
                </c:pt>
                <c:pt idx="11">
                  <c:v>379</c:v>
                </c:pt>
                <c:pt idx="12">
                  <c:v>418</c:v>
                </c:pt>
                <c:pt idx="13">
                  <c:v>440</c:v>
                </c:pt>
                <c:pt idx="14">
                  <c:v>465</c:v>
                </c:pt>
                <c:pt idx="15">
                  <c:v>485</c:v>
                </c:pt>
                <c:pt idx="16">
                  <c:v>505</c:v>
                </c:pt>
                <c:pt idx="17">
                  <c:v>523</c:v>
                </c:pt>
                <c:pt idx="18">
                  <c:v>537</c:v>
                </c:pt>
                <c:pt idx="19">
                  <c:v>547</c:v>
                </c:pt>
                <c:pt idx="20">
                  <c:v>554</c:v>
                </c:pt>
                <c:pt idx="21">
                  <c:v>566</c:v>
                </c:pt>
                <c:pt idx="22">
                  <c:v>566</c:v>
                </c:pt>
                <c:pt idx="23">
                  <c:v>566</c:v>
                </c:pt>
                <c:pt idx="24">
                  <c:v>566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FC3-4C65-8F06-098009A312A8}"/>
            </c:ext>
          </c:extLst>
        </c:ser>
        <c:ser>
          <c:idx val="1"/>
          <c:order val="1"/>
          <c:tx>
            <c:strRef>
              <c:f>Blad1!$AIB$1</c:f>
              <c:strCache>
                <c:ptCount val="1"/>
                <c:pt idx="0">
                  <c:v>Boardposition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Blad1!$AIB$2:$AIB$26</c:f>
              <c:numCache>
                <c:formatCode>General</c:formatCode>
                <c:ptCount val="25"/>
                <c:pt idx="0">
                  <c:v>0</c:v>
                </c:pt>
                <c:pt idx="1">
                  <c:v>40</c:v>
                </c:pt>
                <c:pt idx="2">
                  <c:v>53</c:v>
                </c:pt>
                <c:pt idx="3">
                  <c:v>62</c:v>
                </c:pt>
                <c:pt idx="4">
                  <c:v>73</c:v>
                </c:pt>
                <c:pt idx="5">
                  <c:v>92</c:v>
                </c:pt>
                <c:pt idx="6">
                  <c:v>99</c:v>
                </c:pt>
                <c:pt idx="7">
                  <c:v>106</c:v>
                </c:pt>
                <c:pt idx="8">
                  <c:v>129</c:v>
                </c:pt>
                <c:pt idx="9">
                  <c:v>137</c:v>
                </c:pt>
                <c:pt idx="10">
                  <c:v>155</c:v>
                </c:pt>
                <c:pt idx="11">
                  <c:v>205</c:v>
                </c:pt>
                <c:pt idx="12">
                  <c:v>248</c:v>
                </c:pt>
                <c:pt idx="13">
                  <c:v>298</c:v>
                </c:pt>
                <c:pt idx="14">
                  <c:v>311</c:v>
                </c:pt>
                <c:pt idx="15">
                  <c:v>332</c:v>
                </c:pt>
                <c:pt idx="16">
                  <c:v>343</c:v>
                </c:pt>
                <c:pt idx="17">
                  <c:v>348</c:v>
                </c:pt>
                <c:pt idx="18">
                  <c:v>348</c:v>
                </c:pt>
                <c:pt idx="19">
                  <c:v>348</c:v>
                </c:pt>
                <c:pt idx="20">
                  <c:v>348</c:v>
                </c:pt>
                <c:pt idx="21">
                  <c:v>338</c:v>
                </c:pt>
                <c:pt idx="22">
                  <c:v>338</c:v>
                </c:pt>
                <c:pt idx="23">
                  <c:v>338</c:v>
                </c:pt>
                <c:pt idx="24">
                  <c:v>338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FC3-4C65-8F06-098009A312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Blad1!$AIH$1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Blad1!$AIH$2:$AIH$26</c:f>
              <c:numCache>
                <c:formatCode>General</c:formatCode>
                <c:ptCount val="25"/>
                <c:pt idx="0">
                  <c:v>0</c:v>
                </c:pt>
                <c:pt idx="1">
                  <c:v>4</c:v>
                </c:pt>
                <c:pt idx="2">
                  <c:v>24</c:v>
                </c:pt>
                <c:pt idx="3">
                  <c:v>74</c:v>
                </c:pt>
                <c:pt idx="4">
                  <c:v>102</c:v>
                </c:pt>
                <c:pt idx="5">
                  <c:v>121</c:v>
                </c:pt>
                <c:pt idx="6">
                  <c:v>147</c:v>
                </c:pt>
                <c:pt idx="7">
                  <c:v>185</c:v>
                </c:pt>
                <c:pt idx="8">
                  <c:v>211</c:v>
                </c:pt>
                <c:pt idx="9">
                  <c:v>253</c:v>
                </c:pt>
                <c:pt idx="10">
                  <c:v>297</c:v>
                </c:pt>
                <c:pt idx="11">
                  <c:v>322</c:v>
                </c:pt>
                <c:pt idx="12">
                  <c:v>345</c:v>
                </c:pt>
                <c:pt idx="13">
                  <c:v>364</c:v>
                </c:pt>
                <c:pt idx="14">
                  <c:v>398</c:v>
                </c:pt>
                <c:pt idx="15">
                  <c:v>415</c:v>
                </c:pt>
                <c:pt idx="16">
                  <c:v>429</c:v>
                </c:pt>
                <c:pt idx="17">
                  <c:v>428</c:v>
                </c:pt>
                <c:pt idx="18">
                  <c:v>428</c:v>
                </c:pt>
                <c:pt idx="19">
                  <c:v>428</c:v>
                </c:pt>
                <c:pt idx="20">
                  <c:v>428</c:v>
                </c:pt>
                <c:pt idx="21">
                  <c:v>428</c:v>
                </c:pt>
                <c:pt idx="22">
                  <c:v>428</c:v>
                </c:pt>
                <c:pt idx="23">
                  <c:v>428</c:v>
                </c:pt>
                <c:pt idx="24">
                  <c:v>428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849-4806-A872-FF724B53F178}"/>
            </c:ext>
          </c:extLst>
        </c:ser>
        <c:ser>
          <c:idx val="1"/>
          <c:order val="1"/>
          <c:tx>
            <c:strRef>
              <c:f>Blad1!$AIN$1</c:f>
              <c:strCache>
                <c:ptCount val="1"/>
                <c:pt idx="0">
                  <c:v>Boardposition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Blad1!$AIN$2:$AIN$26</c:f>
              <c:numCache>
                <c:formatCode>General</c:formatCode>
                <c:ptCount val="25"/>
                <c:pt idx="0">
                  <c:v>0</c:v>
                </c:pt>
                <c:pt idx="1">
                  <c:v>30</c:v>
                </c:pt>
                <c:pt idx="2">
                  <c:v>54</c:v>
                </c:pt>
                <c:pt idx="3">
                  <c:v>69</c:v>
                </c:pt>
                <c:pt idx="4">
                  <c:v>81</c:v>
                </c:pt>
                <c:pt idx="5">
                  <c:v>101</c:v>
                </c:pt>
                <c:pt idx="6">
                  <c:v>133</c:v>
                </c:pt>
                <c:pt idx="7">
                  <c:v>170</c:v>
                </c:pt>
                <c:pt idx="8">
                  <c:v>200</c:v>
                </c:pt>
                <c:pt idx="9">
                  <c:v>233</c:v>
                </c:pt>
                <c:pt idx="10">
                  <c:v>248</c:v>
                </c:pt>
                <c:pt idx="11">
                  <c:v>273</c:v>
                </c:pt>
                <c:pt idx="12">
                  <c:v>299</c:v>
                </c:pt>
                <c:pt idx="13">
                  <c:v>353</c:v>
                </c:pt>
                <c:pt idx="14">
                  <c:v>377</c:v>
                </c:pt>
                <c:pt idx="15">
                  <c:v>400</c:v>
                </c:pt>
                <c:pt idx="16">
                  <c:v>406</c:v>
                </c:pt>
                <c:pt idx="17">
                  <c:v>407</c:v>
                </c:pt>
                <c:pt idx="18">
                  <c:v>407</c:v>
                </c:pt>
                <c:pt idx="19">
                  <c:v>407</c:v>
                </c:pt>
                <c:pt idx="20">
                  <c:v>407</c:v>
                </c:pt>
                <c:pt idx="21">
                  <c:v>407</c:v>
                </c:pt>
                <c:pt idx="22">
                  <c:v>407</c:v>
                </c:pt>
                <c:pt idx="23">
                  <c:v>407</c:v>
                </c:pt>
                <c:pt idx="24">
                  <c:v>407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849-4806-A872-FF724B53F1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Blad1!$AIT$1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Blad1!$AIT$2:$AIT$26</c:f>
              <c:numCache>
                <c:formatCode>General</c:formatCode>
                <c:ptCount val="25"/>
                <c:pt idx="0">
                  <c:v>0</c:v>
                </c:pt>
                <c:pt idx="1">
                  <c:v>30</c:v>
                </c:pt>
                <c:pt idx="2">
                  <c:v>68</c:v>
                </c:pt>
                <c:pt idx="3">
                  <c:v>104</c:v>
                </c:pt>
                <c:pt idx="4">
                  <c:v>130</c:v>
                </c:pt>
                <c:pt idx="5">
                  <c:v>155</c:v>
                </c:pt>
                <c:pt idx="6">
                  <c:v>177</c:v>
                </c:pt>
                <c:pt idx="7">
                  <c:v>206</c:v>
                </c:pt>
                <c:pt idx="8">
                  <c:v>229</c:v>
                </c:pt>
                <c:pt idx="9">
                  <c:v>256</c:v>
                </c:pt>
                <c:pt idx="10">
                  <c:v>288</c:v>
                </c:pt>
                <c:pt idx="11">
                  <c:v>321</c:v>
                </c:pt>
                <c:pt idx="12">
                  <c:v>344</c:v>
                </c:pt>
                <c:pt idx="13">
                  <c:v>388</c:v>
                </c:pt>
                <c:pt idx="14">
                  <c:v>388</c:v>
                </c:pt>
                <c:pt idx="15">
                  <c:v>378</c:v>
                </c:pt>
                <c:pt idx="16">
                  <c:v>378</c:v>
                </c:pt>
                <c:pt idx="17">
                  <c:v>378</c:v>
                </c:pt>
                <c:pt idx="18">
                  <c:v>378</c:v>
                </c:pt>
                <c:pt idx="19">
                  <c:v>378</c:v>
                </c:pt>
                <c:pt idx="20">
                  <c:v>378</c:v>
                </c:pt>
                <c:pt idx="21">
                  <c:v>378</c:v>
                </c:pt>
                <c:pt idx="22">
                  <c:v>378</c:v>
                </c:pt>
                <c:pt idx="23">
                  <c:v>378</c:v>
                </c:pt>
                <c:pt idx="24">
                  <c:v>378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8FE-4923-9F69-AAE3AB44D1A1}"/>
            </c:ext>
          </c:extLst>
        </c:ser>
        <c:ser>
          <c:idx val="1"/>
          <c:order val="1"/>
          <c:tx>
            <c:strRef>
              <c:f>Blad1!$AIZ$1</c:f>
              <c:strCache>
                <c:ptCount val="1"/>
                <c:pt idx="0">
                  <c:v>Boardposition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Blad1!$AIZ$2:$AIZ$26</c:f>
              <c:numCache>
                <c:formatCode>General</c:formatCode>
                <c:ptCount val="25"/>
                <c:pt idx="0">
                  <c:v>0</c:v>
                </c:pt>
                <c:pt idx="1">
                  <c:v>36</c:v>
                </c:pt>
                <c:pt idx="2">
                  <c:v>71</c:v>
                </c:pt>
                <c:pt idx="3">
                  <c:v>110</c:v>
                </c:pt>
                <c:pt idx="4">
                  <c:v>132</c:v>
                </c:pt>
                <c:pt idx="5">
                  <c:v>156</c:v>
                </c:pt>
                <c:pt idx="6">
                  <c:v>216</c:v>
                </c:pt>
                <c:pt idx="7">
                  <c:v>240</c:v>
                </c:pt>
                <c:pt idx="8">
                  <c:v>263</c:v>
                </c:pt>
                <c:pt idx="9">
                  <c:v>296</c:v>
                </c:pt>
                <c:pt idx="10">
                  <c:v>318</c:v>
                </c:pt>
                <c:pt idx="11">
                  <c:v>399</c:v>
                </c:pt>
                <c:pt idx="12">
                  <c:v>437</c:v>
                </c:pt>
                <c:pt idx="13">
                  <c:v>447</c:v>
                </c:pt>
                <c:pt idx="14">
                  <c:v>447</c:v>
                </c:pt>
                <c:pt idx="15">
                  <c:v>442</c:v>
                </c:pt>
                <c:pt idx="16">
                  <c:v>442</c:v>
                </c:pt>
                <c:pt idx="17">
                  <c:v>442</c:v>
                </c:pt>
                <c:pt idx="18">
                  <c:v>442</c:v>
                </c:pt>
                <c:pt idx="19">
                  <c:v>442</c:v>
                </c:pt>
                <c:pt idx="20">
                  <c:v>442</c:v>
                </c:pt>
                <c:pt idx="21">
                  <c:v>442</c:v>
                </c:pt>
                <c:pt idx="22">
                  <c:v>442</c:v>
                </c:pt>
                <c:pt idx="23">
                  <c:v>442</c:v>
                </c:pt>
                <c:pt idx="24">
                  <c:v>442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8FE-4923-9F69-AAE3AB44D1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Blad1!$AJF$1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Blad1!$AJF$2:$AJF$26</c:f>
              <c:numCache>
                <c:formatCode>General</c:formatCode>
                <c:ptCount val="25"/>
                <c:pt idx="0">
                  <c:v>0</c:v>
                </c:pt>
                <c:pt idx="1">
                  <c:v>66</c:v>
                </c:pt>
                <c:pt idx="2">
                  <c:v>116</c:v>
                </c:pt>
                <c:pt idx="3">
                  <c:v>188</c:v>
                </c:pt>
                <c:pt idx="4">
                  <c:v>229</c:v>
                </c:pt>
                <c:pt idx="5">
                  <c:v>282</c:v>
                </c:pt>
                <c:pt idx="6">
                  <c:v>321</c:v>
                </c:pt>
                <c:pt idx="7">
                  <c:v>389</c:v>
                </c:pt>
                <c:pt idx="8">
                  <c:v>447</c:v>
                </c:pt>
                <c:pt idx="9">
                  <c:v>495</c:v>
                </c:pt>
                <c:pt idx="10">
                  <c:v>517</c:v>
                </c:pt>
                <c:pt idx="11">
                  <c:v>539</c:v>
                </c:pt>
                <c:pt idx="12">
                  <c:v>565</c:v>
                </c:pt>
                <c:pt idx="13">
                  <c:v>575</c:v>
                </c:pt>
                <c:pt idx="14">
                  <c:v>585</c:v>
                </c:pt>
                <c:pt idx="15">
                  <c:v>576</c:v>
                </c:pt>
                <c:pt idx="16">
                  <c:v>576</c:v>
                </c:pt>
                <c:pt idx="17">
                  <c:v>576</c:v>
                </c:pt>
                <c:pt idx="18">
                  <c:v>576</c:v>
                </c:pt>
                <c:pt idx="19">
                  <c:v>576</c:v>
                </c:pt>
                <c:pt idx="20">
                  <c:v>576</c:v>
                </c:pt>
                <c:pt idx="21">
                  <c:v>576</c:v>
                </c:pt>
                <c:pt idx="22">
                  <c:v>576</c:v>
                </c:pt>
                <c:pt idx="23">
                  <c:v>576</c:v>
                </c:pt>
                <c:pt idx="24">
                  <c:v>576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036-40C5-AE30-1C3E53D6013F}"/>
            </c:ext>
          </c:extLst>
        </c:ser>
        <c:ser>
          <c:idx val="1"/>
          <c:order val="1"/>
          <c:tx>
            <c:strRef>
              <c:f>Blad1!$AJL$1</c:f>
              <c:strCache>
                <c:ptCount val="1"/>
                <c:pt idx="0">
                  <c:v>Boardposition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Blad1!$AJL$2:$AJL$26</c:f>
              <c:numCache>
                <c:formatCode>General</c:formatCode>
                <c:ptCount val="25"/>
                <c:pt idx="0">
                  <c:v>0</c:v>
                </c:pt>
                <c:pt idx="1">
                  <c:v>32</c:v>
                </c:pt>
                <c:pt idx="2">
                  <c:v>59</c:v>
                </c:pt>
                <c:pt idx="3">
                  <c:v>95</c:v>
                </c:pt>
                <c:pt idx="4">
                  <c:v>148</c:v>
                </c:pt>
                <c:pt idx="5">
                  <c:v>196</c:v>
                </c:pt>
                <c:pt idx="6">
                  <c:v>226</c:v>
                </c:pt>
                <c:pt idx="7">
                  <c:v>268</c:v>
                </c:pt>
                <c:pt idx="8">
                  <c:v>291</c:v>
                </c:pt>
                <c:pt idx="9">
                  <c:v>321</c:v>
                </c:pt>
                <c:pt idx="10">
                  <c:v>342</c:v>
                </c:pt>
                <c:pt idx="11">
                  <c:v>373</c:v>
                </c:pt>
                <c:pt idx="12">
                  <c:v>387</c:v>
                </c:pt>
                <c:pt idx="13">
                  <c:v>394</c:v>
                </c:pt>
                <c:pt idx="14">
                  <c:v>397</c:v>
                </c:pt>
                <c:pt idx="15">
                  <c:v>406</c:v>
                </c:pt>
                <c:pt idx="16">
                  <c:v>406</c:v>
                </c:pt>
                <c:pt idx="17">
                  <c:v>406</c:v>
                </c:pt>
                <c:pt idx="18">
                  <c:v>406</c:v>
                </c:pt>
                <c:pt idx="19">
                  <c:v>406</c:v>
                </c:pt>
                <c:pt idx="20">
                  <c:v>406</c:v>
                </c:pt>
                <c:pt idx="21">
                  <c:v>406</c:v>
                </c:pt>
                <c:pt idx="22">
                  <c:v>406</c:v>
                </c:pt>
                <c:pt idx="23">
                  <c:v>406</c:v>
                </c:pt>
                <c:pt idx="24">
                  <c:v>406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036-40C5-AE30-1C3E53D601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Blad1!$AJR$1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Blad1!$AJR$2:$AJR$26</c:f>
              <c:numCache>
                <c:formatCode>General</c:formatCode>
                <c:ptCount val="25"/>
                <c:pt idx="0">
                  <c:v>0</c:v>
                </c:pt>
                <c:pt idx="1">
                  <c:v>32</c:v>
                </c:pt>
                <c:pt idx="2">
                  <c:v>65</c:v>
                </c:pt>
                <c:pt idx="3">
                  <c:v>145</c:v>
                </c:pt>
                <c:pt idx="4">
                  <c:v>181</c:v>
                </c:pt>
                <c:pt idx="5">
                  <c:v>213</c:v>
                </c:pt>
                <c:pt idx="6">
                  <c:v>238</c:v>
                </c:pt>
                <c:pt idx="7">
                  <c:v>277</c:v>
                </c:pt>
                <c:pt idx="8">
                  <c:v>312</c:v>
                </c:pt>
                <c:pt idx="9">
                  <c:v>337</c:v>
                </c:pt>
                <c:pt idx="10">
                  <c:v>390</c:v>
                </c:pt>
                <c:pt idx="11">
                  <c:v>419</c:v>
                </c:pt>
                <c:pt idx="12">
                  <c:v>443</c:v>
                </c:pt>
                <c:pt idx="13">
                  <c:v>457</c:v>
                </c:pt>
                <c:pt idx="14">
                  <c:v>470</c:v>
                </c:pt>
                <c:pt idx="15">
                  <c:v>468</c:v>
                </c:pt>
                <c:pt idx="16">
                  <c:v>468</c:v>
                </c:pt>
                <c:pt idx="17">
                  <c:v>468</c:v>
                </c:pt>
                <c:pt idx="18">
                  <c:v>468</c:v>
                </c:pt>
                <c:pt idx="19">
                  <c:v>468</c:v>
                </c:pt>
                <c:pt idx="20">
                  <c:v>468</c:v>
                </c:pt>
                <c:pt idx="21">
                  <c:v>468</c:v>
                </c:pt>
                <c:pt idx="22">
                  <c:v>468</c:v>
                </c:pt>
                <c:pt idx="23">
                  <c:v>468</c:v>
                </c:pt>
                <c:pt idx="24">
                  <c:v>468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09C-4B88-87A9-429B9FFBA320}"/>
            </c:ext>
          </c:extLst>
        </c:ser>
        <c:ser>
          <c:idx val="1"/>
          <c:order val="1"/>
          <c:tx>
            <c:strRef>
              <c:f>Blad1!$AJX$1</c:f>
              <c:strCache>
                <c:ptCount val="1"/>
                <c:pt idx="0">
                  <c:v>Boardposition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Blad1!$AJX$2:$AJX$26</c:f>
              <c:numCache>
                <c:formatCode>General</c:formatCode>
                <c:ptCount val="25"/>
                <c:pt idx="0">
                  <c:v>0</c:v>
                </c:pt>
                <c:pt idx="1">
                  <c:v>38</c:v>
                </c:pt>
                <c:pt idx="2">
                  <c:v>67</c:v>
                </c:pt>
                <c:pt idx="3">
                  <c:v>131</c:v>
                </c:pt>
                <c:pt idx="4">
                  <c:v>170</c:v>
                </c:pt>
                <c:pt idx="5">
                  <c:v>230</c:v>
                </c:pt>
                <c:pt idx="6">
                  <c:v>266</c:v>
                </c:pt>
                <c:pt idx="7">
                  <c:v>298</c:v>
                </c:pt>
                <c:pt idx="8">
                  <c:v>322</c:v>
                </c:pt>
                <c:pt idx="9">
                  <c:v>345</c:v>
                </c:pt>
                <c:pt idx="10">
                  <c:v>379</c:v>
                </c:pt>
                <c:pt idx="11">
                  <c:v>401</c:v>
                </c:pt>
                <c:pt idx="12">
                  <c:v>433</c:v>
                </c:pt>
                <c:pt idx="13">
                  <c:v>442</c:v>
                </c:pt>
                <c:pt idx="14">
                  <c:v>451</c:v>
                </c:pt>
                <c:pt idx="15">
                  <c:v>453</c:v>
                </c:pt>
                <c:pt idx="16">
                  <c:v>453</c:v>
                </c:pt>
                <c:pt idx="17">
                  <c:v>453</c:v>
                </c:pt>
                <c:pt idx="18">
                  <c:v>453</c:v>
                </c:pt>
                <c:pt idx="19">
                  <c:v>453</c:v>
                </c:pt>
                <c:pt idx="20">
                  <c:v>453</c:v>
                </c:pt>
                <c:pt idx="21">
                  <c:v>453</c:v>
                </c:pt>
                <c:pt idx="22">
                  <c:v>453</c:v>
                </c:pt>
                <c:pt idx="23">
                  <c:v>453</c:v>
                </c:pt>
                <c:pt idx="24">
                  <c:v>453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09C-4B88-87A9-429B9FFBA3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Blad1!$AKD$1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Blad1!$AKD$2:$AKD$26</c:f>
              <c:numCache>
                <c:formatCode>General</c:formatCode>
                <c:ptCount val="25"/>
                <c:pt idx="0">
                  <c:v>0</c:v>
                </c:pt>
                <c:pt idx="1">
                  <c:v>22</c:v>
                </c:pt>
                <c:pt idx="2">
                  <c:v>44</c:v>
                </c:pt>
                <c:pt idx="3">
                  <c:v>57</c:v>
                </c:pt>
                <c:pt idx="4">
                  <c:v>73</c:v>
                </c:pt>
                <c:pt idx="5">
                  <c:v>97</c:v>
                </c:pt>
                <c:pt idx="6">
                  <c:v>111</c:v>
                </c:pt>
                <c:pt idx="7">
                  <c:v>124</c:v>
                </c:pt>
                <c:pt idx="8">
                  <c:v>164</c:v>
                </c:pt>
                <c:pt idx="9">
                  <c:v>190</c:v>
                </c:pt>
                <c:pt idx="10">
                  <c:v>218</c:v>
                </c:pt>
                <c:pt idx="11">
                  <c:v>245</c:v>
                </c:pt>
                <c:pt idx="12">
                  <c:v>308</c:v>
                </c:pt>
                <c:pt idx="13">
                  <c:v>333</c:v>
                </c:pt>
                <c:pt idx="14">
                  <c:v>361</c:v>
                </c:pt>
                <c:pt idx="15">
                  <c:v>389</c:v>
                </c:pt>
                <c:pt idx="16">
                  <c:v>413</c:v>
                </c:pt>
                <c:pt idx="17">
                  <c:v>422</c:v>
                </c:pt>
                <c:pt idx="18">
                  <c:v>430</c:v>
                </c:pt>
                <c:pt idx="19">
                  <c:v>423</c:v>
                </c:pt>
                <c:pt idx="20">
                  <c:v>423</c:v>
                </c:pt>
                <c:pt idx="21">
                  <c:v>423</c:v>
                </c:pt>
                <c:pt idx="22">
                  <c:v>423</c:v>
                </c:pt>
                <c:pt idx="23">
                  <c:v>423</c:v>
                </c:pt>
                <c:pt idx="24">
                  <c:v>423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AA9-4AF1-80AB-4E34D9202A10}"/>
            </c:ext>
          </c:extLst>
        </c:ser>
        <c:ser>
          <c:idx val="1"/>
          <c:order val="1"/>
          <c:tx>
            <c:strRef>
              <c:f>Blad1!$AKJ$1</c:f>
              <c:strCache>
                <c:ptCount val="1"/>
                <c:pt idx="0">
                  <c:v>Boardposition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Blad1!$AKJ$2:$AKJ$26</c:f>
              <c:numCache>
                <c:formatCode>General</c:formatCode>
                <c:ptCount val="25"/>
                <c:pt idx="0">
                  <c:v>0</c:v>
                </c:pt>
                <c:pt idx="1">
                  <c:v>32</c:v>
                </c:pt>
                <c:pt idx="2">
                  <c:v>67</c:v>
                </c:pt>
                <c:pt idx="3">
                  <c:v>88</c:v>
                </c:pt>
                <c:pt idx="4">
                  <c:v>114</c:v>
                </c:pt>
                <c:pt idx="5">
                  <c:v>134</c:v>
                </c:pt>
                <c:pt idx="6">
                  <c:v>177</c:v>
                </c:pt>
                <c:pt idx="7">
                  <c:v>238</c:v>
                </c:pt>
                <c:pt idx="8">
                  <c:v>288</c:v>
                </c:pt>
                <c:pt idx="9">
                  <c:v>304</c:v>
                </c:pt>
                <c:pt idx="10">
                  <c:v>318</c:v>
                </c:pt>
                <c:pt idx="11">
                  <c:v>343</c:v>
                </c:pt>
                <c:pt idx="12">
                  <c:v>368</c:v>
                </c:pt>
                <c:pt idx="13">
                  <c:v>376</c:v>
                </c:pt>
                <c:pt idx="14">
                  <c:v>380</c:v>
                </c:pt>
                <c:pt idx="15">
                  <c:v>384</c:v>
                </c:pt>
                <c:pt idx="16">
                  <c:v>453</c:v>
                </c:pt>
                <c:pt idx="17">
                  <c:v>463</c:v>
                </c:pt>
                <c:pt idx="18">
                  <c:v>469</c:v>
                </c:pt>
                <c:pt idx="19">
                  <c:v>476</c:v>
                </c:pt>
                <c:pt idx="20">
                  <c:v>476</c:v>
                </c:pt>
                <c:pt idx="21">
                  <c:v>476</c:v>
                </c:pt>
                <c:pt idx="22">
                  <c:v>476</c:v>
                </c:pt>
                <c:pt idx="23">
                  <c:v>476</c:v>
                </c:pt>
                <c:pt idx="24">
                  <c:v>476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AA9-4AF1-80AB-4E34D9202A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Blad1!$AKP$1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Blad1!$AKP$2:$AKP$26</c:f>
              <c:numCache>
                <c:formatCode>General</c:formatCode>
                <c:ptCount val="25"/>
                <c:pt idx="0">
                  <c:v>0</c:v>
                </c:pt>
                <c:pt idx="1">
                  <c:v>22</c:v>
                </c:pt>
                <c:pt idx="2">
                  <c:v>100</c:v>
                </c:pt>
                <c:pt idx="3">
                  <c:v>138</c:v>
                </c:pt>
                <c:pt idx="4">
                  <c:v>162</c:v>
                </c:pt>
                <c:pt idx="5">
                  <c:v>180</c:v>
                </c:pt>
                <c:pt idx="6">
                  <c:v>204</c:v>
                </c:pt>
                <c:pt idx="7">
                  <c:v>236</c:v>
                </c:pt>
                <c:pt idx="8">
                  <c:v>263</c:v>
                </c:pt>
                <c:pt idx="9">
                  <c:v>284</c:v>
                </c:pt>
                <c:pt idx="10">
                  <c:v>301</c:v>
                </c:pt>
                <c:pt idx="11">
                  <c:v>320</c:v>
                </c:pt>
                <c:pt idx="12">
                  <c:v>338</c:v>
                </c:pt>
                <c:pt idx="13">
                  <c:v>356</c:v>
                </c:pt>
                <c:pt idx="14">
                  <c:v>380</c:v>
                </c:pt>
                <c:pt idx="15">
                  <c:v>389</c:v>
                </c:pt>
                <c:pt idx="16">
                  <c:v>399</c:v>
                </c:pt>
                <c:pt idx="17">
                  <c:v>406</c:v>
                </c:pt>
                <c:pt idx="18">
                  <c:v>394</c:v>
                </c:pt>
                <c:pt idx="19">
                  <c:v>394</c:v>
                </c:pt>
                <c:pt idx="20">
                  <c:v>394</c:v>
                </c:pt>
                <c:pt idx="21">
                  <c:v>394</c:v>
                </c:pt>
                <c:pt idx="22">
                  <c:v>394</c:v>
                </c:pt>
                <c:pt idx="23">
                  <c:v>394</c:v>
                </c:pt>
                <c:pt idx="24">
                  <c:v>394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C3D-43DA-B728-37D263BE3991}"/>
            </c:ext>
          </c:extLst>
        </c:ser>
        <c:ser>
          <c:idx val="1"/>
          <c:order val="1"/>
          <c:tx>
            <c:strRef>
              <c:f>Blad1!$AKV$1</c:f>
              <c:strCache>
                <c:ptCount val="1"/>
                <c:pt idx="0">
                  <c:v>Boardposition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Blad1!$AKV$2:$AKV$26</c:f>
              <c:numCache>
                <c:formatCode>General</c:formatCode>
                <c:ptCount val="25"/>
                <c:pt idx="0">
                  <c:v>0</c:v>
                </c:pt>
                <c:pt idx="1">
                  <c:v>30</c:v>
                </c:pt>
                <c:pt idx="2">
                  <c:v>66</c:v>
                </c:pt>
                <c:pt idx="3">
                  <c:v>103</c:v>
                </c:pt>
                <c:pt idx="4">
                  <c:v>139</c:v>
                </c:pt>
                <c:pt idx="5">
                  <c:v>157</c:v>
                </c:pt>
                <c:pt idx="6">
                  <c:v>232</c:v>
                </c:pt>
                <c:pt idx="7">
                  <c:v>264</c:v>
                </c:pt>
                <c:pt idx="8">
                  <c:v>316</c:v>
                </c:pt>
                <c:pt idx="9">
                  <c:v>343</c:v>
                </c:pt>
                <c:pt idx="10">
                  <c:v>367</c:v>
                </c:pt>
                <c:pt idx="11">
                  <c:v>395</c:v>
                </c:pt>
                <c:pt idx="12">
                  <c:v>415</c:v>
                </c:pt>
                <c:pt idx="13">
                  <c:v>422</c:v>
                </c:pt>
                <c:pt idx="14">
                  <c:v>448</c:v>
                </c:pt>
                <c:pt idx="15">
                  <c:v>467</c:v>
                </c:pt>
                <c:pt idx="16">
                  <c:v>476</c:v>
                </c:pt>
                <c:pt idx="17">
                  <c:v>484</c:v>
                </c:pt>
                <c:pt idx="18">
                  <c:v>496</c:v>
                </c:pt>
                <c:pt idx="19">
                  <c:v>496</c:v>
                </c:pt>
                <c:pt idx="20">
                  <c:v>496</c:v>
                </c:pt>
                <c:pt idx="21">
                  <c:v>496</c:v>
                </c:pt>
                <c:pt idx="22">
                  <c:v>496</c:v>
                </c:pt>
                <c:pt idx="23">
                  <c:v>496</c:v>
                </c:pt>
                <c:pt idx="24">
                  <c:v>496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C3D-43DA-B728-37D263BE39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Blad1!$ALB$1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Blad1!$ALB$2:$ALB$26</c:f>
              <c:numCache>
                <c:formatCode>General</c:formatCode>
                <c:ptCount val="25"/>
                <c:pt idx="0">
                  <c:v>0</c:v>
                </c:pt>
                <c:pt idx="1">
                  <c:v>36</c:v>
                </c:pt>
                <c:pt idx="2">
                  <c:v>70</c:v>
                </c:pt>
                <c:pt idx="3">
                  <c:v>119</c:v>
                </c:pt>
                <c:pt idx="4">
                  <c:v>179</c:v>
                </c:pt>
                <c:pt idx="5">
                  <c:v>213</c:v>
                </c:pt>
                <c:pt idx="6">
                  <c:v>246</c:v>
                </c:pt>
                <c:pt idx="7">
                  <c:v>317</c:v>
                </c:pt>
                <c:pt idx="8">
                  <c:v>347</c:v>
                </c:pt>
                <c:pt idx="9">
                  <c:v>376</c:v>
                </c:pt>
                <c:pt idx="10">
                  <c:v>407</c:v>
                </c:pt>
                <c:pt idx="11">
                  <c:v>440</c:v>
                </c:pt>
                <c:pt idx="12">
                  <c:v>503</c:v>
                </c:pt>
                <c:pt idx="13">
                  <c:v>520</c:v>
                </c:pt>
                <c:pt idx="14">
                  <c:v>529</c:v>
                </c:pt>
                <c:pt idx="15">
                  <c:v>529</c:v>
                </c:pt>
                <c:pt idx="16">
                  <c:v>529</c:v>
                </c:pt>
                <c:pt idx="17">
                  <c:v>519</c:v>
                </c:pt>
                <c:pt idx="18">
                  <c:v>519</c:v>
                </c:pt>
                <c:pt idx="19">
                  <c:v>519</c:v>
                </c:pt>
                <c:pt idx="20">
                  <c:v>519</c:v>
                </c:pt>
                <c:pt idx="21">
                  <c:v>519</c:v>
                </c:pt>
                <c:pt idx="22">
                  <c:v>519</c:v>
                </c:pt>
                <c:pt idx="23">
                  <c:v>519</c:v>
                </c:pt>
                <c:pt idx="24">
                  <c:v>519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6D2-4824-ADE3-806DFFE0757D}"/>
            </c:ext>
          </c:extLst>
        </c:ser>
        <c:ser>
          <c:idx val="1"/>
          <c:order val="1"/>
          <c:tx>
            <c:strRef>
              <c:f>Blad1!$ALH$1</c:f>
              <c:strCache>
                <c:ptCount val="1"/>
                <c:pt idx="0">
                  <c:v>Boardposition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Blad1!$ALH$2:$ALH$26</c:f>
              <c:numCache>
                <c:formatCode>General</c:formatCode>
                <c:ptCount val="25"/>
                <c:pt idx="0">
                  <c:v>0</c:v>
                </c:pt>
                <c:pt idx="1">
                  <c:v>48</c:v>
                </c:pt>
                <c:pt idx="2">
                  <c:v>125</c:v>
                </c:pt>
                <c:pt idx="3">
                  <c:v>153</c:v>
                </c:pt>
                <c:pt idx="4">
                  <c:v>191</c:v>
                </c:pt>
                <c:pt idx="5">
                  <c:v>253</c:v>
                </c:pt>
                <c:pt idx="6">
                  <c:v>280</c:v>
                </c:pt>
                <c:pt idx="7">
                  <c:v>301</c:v>
                </c:pt>
                <c:pt idx="8">
                  <c:v>326</c:v>
                </c:pt>
                <c:pt idx="9">
                  <c:v>405</c:v>
                </c:pt>
                <c:pt idx="10">
                  <c:v>432</c:v>
                </c:pt>
                <c:pt idx="11">
                  <c:v>436</c:v>
                </c:pt>
                <c:pt idx="12">
                  <c:v>470</c:v>
                </c:pt>
                <c:pt idx="13">
                  <c:v>480</c:v>
                </c:pt>
                <c:pt idx="14">
                  <c:v>490</c:v>
                </c:pt>
                <c:pt idx="15">
                  <c:v>498</c:v>
                </c:pt>
                <c:pt idx="16">
                  <c:v>505</c:v>
                </c:pt>
                <c:pt idx="17">
                  <c:v>515</c:v>
                </c:pt>
                <c:pt idx="18">
                  <c:v>515</c:v>
                </c:pt>
                <c:pt idx="19">
                  <c:v>515</c:v>
                </c:pt>
                <c:pt idx="20">
                  <c:v>515</c:v>
                </c:pt>
                <c:pt idx="21">
                  <c:v>515</c:v>
                </c:pt>
                <c:pt idx="22">
                  <c:v>515</c:v>
                </c:pt>
                <c:pt idx="23">
                  <c:v>515</c:v>
                </c:pt>
                <c:pt idx="24">
                  <c:v>515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6D2-4824-ADE3-806DFFE075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Blad1!$ALN$1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Blad1!$ALN$2:$ALN$26</c:f>
              <c:numCache>
                <c:formatCode>General</c:formatCode>
                <c:ptCount val="25"/>
                <c:pt idx="0">
                  <c:v>0</c:v>
                </c:pt>
                <c:pt idx="1">
                  <c:v>28</c:v>
                </c:pt>
                <c:pt idx="2">
                  <c:v>63</c:v>
                </c:pt>
                <c:pt idx="3">
                  <c:v>103</c:v>
                </c:pt>
                <c:pt idx="4">
                  <c:v>136</c:v>
                </c:pt>
                <c:pt idx="5">
                  <c:v>170</c:v>
                </c:pt>
                <c:pt idx="6">
                  <c:v>200</c:v>
                </c:pt>
                <c:pt idx="7">
                  <c:v>230</c:v>
                </c:pt>
                <c:pt idx="8">
                  <c:v>269</c:v>
                </c:pt>
                <c:pt idx="9">
                  <c:v>294</c:v>
                </c:pt>
                <c:pt idx="10">
                  <c:v>322</c:v>
                </c:pt>
                <c:pt idx="11">
                  <c:v>346</c:v>
                </c:pt>
                <c:pt idx="12">
                  <c:v>383</c:v>
                </c:pt>
                <c:pt idx="13">
                  <c:v>420</c:v>
                </c:pt>
                <c:pt idx="14">
                  <c:v>456</c:v>
                </c:pt>
                <c:pt idx="15">
                  <c:v>491</c:v>
                </c:pt>
                <c:pt idx="16">
                  <c:v>499</c:v>
                </c:pt>
                <c:pt idx="17">
                  <c:v>510</c:v>
                </c:pt>
                <c:pt idx="18">
                  <c:v>510</c:v>
                </c:pt>
                <c:pt idx="19">
                  <c:v>510</c:v>
                </c:pt>
                <c:pt idx="20">
                  <c:v>510</c:v>
                </c:pt>
                <c:pt idx="21">
                  <c:v>510</c:v>
                </c:pt>
                <c:pt idx="22">
                  <c:v>510</c:v>
                </c:pt>
                <c:pt idx="23">
                  <c:v>510</c:v>
                </c:pt>
                <c:pt idx="24">
                  <c:v>510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B42-4DD9-B2AE-15E6DA5409DD}"/>
            </c:ext>
          </c:extLst>
        </c:ser>
        <c:ser>
          <c:idx val="1"/>
          <c:order val="1"/>
          <c:tx>
            <c:strRef>
              <c:f>Blad1!$ALT$1</c:f>
              <c:strCache>
                <c:ptCount val="1"/>
                <c:pt idx="0">
                  <c:v>Boardposition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Blad1!$ALT$2:$ALT$26</c:f>
              <c:numCache>
                <c:formatCode>General</c:formatCode>
                <c:ptCount val="25"/>
                <c:pt idx="0">
                  <c:v>0</c:v>
                </c:pt>
                <c:pt idx="1">
                  <c:v>32</c:v>
                </c:pt>
                <c:pt idx="2">
                  <c:v>75</c:v>
                </c:pt>
                <c:pt idx="3">
                  <c:v>145</c:v>
                </c:pt>
                <c:pt idx="4">
                  <c:v>169</c:v>
                </c:pt>
                <c:pt idx="5">
                  <c:v>205</c:v>
                </c:pt>
                <c:pt idx="6">
                  <c:v>223</c:v>
                </c:pt>
                <c:pt idx="7">
                  <c:v>239</c:v>
                </c:pt>
                <c:pt idx="8">
                  <c:v>263</c:v>
                </c:pt>
                <c:pt idx="9">
                  <c:v>292</c:v>
                </c:pt>
                <c:pt idx="10">
                  <c:v>321</c:v>
                </c:pt>
                <c:pt idx="11">
                  <c:v>340</c:v>
                </c:pt>
                <c:pt idx="12">
                  <c:v>361</c:v>
                </c:pt>
                <c:pt idx="13">
                  <c:v>374</c:v>
                </c:pt>
                <c:pt idx="14">
                  <c:v>390</c:v>
                </c:pt>
                <c:pt idx="15">
                  <c:v>400</c:v>
                </c:pt>
                <c:pt idx="16">
                  <c:v>407</c:v>
                </c:pt>
                <c:pt idx="17">
                  <c:v>400</c:v>
                </c:pt>
                <c:pt idx="18">
                  <c:v>400</c:v>
                </c:pt>
                <c:pt idx="19">
                  <c:v>400</c:v>
                </c:pt>
                <c:pt idx="20">
                  <c:v>400</c:v>
                </c:pt>
                <c:pt idx="21">
                  <c:v>400</c:v>
                </c:pt>
                <c:pt idx="22">
                  <c:v>400</c:v>
                </c:pt>
                <c:pt idx="23">
                  <c:v>400</c:v>
                </c:pt>
                <c:pt idx="24">
                  <c:v>400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B42-4DD9-B2AE-15E6DA5409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Blad1!$ALZ$1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Blad1!$ALZ$2:$ALZ$26</c:f>
              <c:numCache>
                <c:formatCode>General</c:formatCode>
                <c:ptCount val="25"/>
                <c:pt idx="0">
                  <c:v>0</c:v>
                </c:pt>
                <c:pt idx="1">
                  <c:v>60</c:v>
                </c:pt>
                <c:pt idx="2">
                  <c:v>100</c:v>
                </c:pt>
                <c:pt idx="3">
                  <c:v>129</c:v>
                </c:pt>
                <c:pt idx="4">
                  <c:v>146</c:v>
                </c:pt>
                <c:pt idx="5">
                  <c:v>187</c:v>
                </c:pt>
                <c:pt idx="6">
                  <c:v>221</c:v>
                </c:pt>
                <c:pt idx="7">
                  <c:v>286</c:v>
                </c:pt>
                <c:pt idx="8">
                  <c:v>328</c:v>
                </c:pt>
                <c:pt idx="9">
                  <c:v>364</c:v>
                </c:pt>
                <c:pt idx="10">
                  <c:v>394</c:v>
                </c:pt>
                <c:pt idx="11">
                  <c:v>420</c:v>
                </c:pt>
                <c:pt idx="12">
                  <c:v>451</c:v>
                </c:pt>
                <c:pt idx="13">
                  <c:v>473</c:v>
                </c:pt>
                <c:pt idx="14">
                  <c:v>492</c:v>
                </c:pt>
                <c:pt idx="15">
                  <c:v>509</c:v>
                </c:pt>
                <c:pt idx="16">
                  <c:v>516</c:v>
                </c:pt>
                <c:pt idx="17">
                  <c:v>522</c:v>
                </c:pt>
                <c:pt idx="18">
                  <c:v>524</c:v>
                </c:pt>
                <c:pt idx="19">
                  <c:v>524</c:v>
                </c:pt>
                <c:pt idx="20">
                  <c:v>519</c:v>
                </c:pt>
                <c:pt idx="21">
                  <c:v>519</c:v>
                </c:pt>
                <c:pt idx="22">
                  <c:v>519</c:v>
                </c:pt>
                <c:pt idx="23">
                  <c:v>519</c:v>
                </c:pt>
                <c:pt idx="24">
                  <c:v>519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030-4F7D-B7B4-70973475C8C9}"/>
            </c:ext>
          </c:extLst>
        </c:ser>
        <c:ser>
          <c:idx val="1"/>
          <c:order val="1"/>
          <c:tx>
            <c:strRef>
              <c:f>Blad1!$AMF$1</c:f>
              <c:strCache>
                <c:ptCount val="1"/>
                <c:pt idx="0">
                  <c:v>Boardposition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Blad1!$AMF$2:$AMF$26</c:f>
              <c:numCache>
                <c:formatCode>General</c:formatCode>
                <c:ptCount val="25"/>
                <c:pt idx="0">
                  <c:v>0</c:v>
                </c:pt>
                <c:pt idx="1">
                  <c:v>36</c:v>
                </c:pt>
                <c:pt idx="2">
                  <c:v>53</c:v>
                </c:pt>
                <c:pt idx="3">
                  <c:v>86</c:v>
                </c:pt>
                <c:pt idx="4">
                  <c:v>110</c:v>
                </c:pt>
                <c:pt idx="5">
                  <c:v>140</c:v>
                </c:pt>
                <c:pt idx="6">
                  <c:v>166</c:v>
                </c:pt>
                <c:pt idx="7">
                  <c:v>191</c:v>
                </c:pt>
                <c:pt idx="8">
                  <c:v>230</c:v>
                </c:pt>
                <c:pt idx="9">
                  <c:v>262</c:v>
                </c:pt>
                <c:pt idx="10">
                  <c:v>284</c:v>
                </c:pt>
                <c:pt idx="11">
                  <c:v>323</c:v>
                </c:pt>
                <c:pt idx="12">
                  <c:v>344</c:v>
                </c:pt>
                <c:pt idx="13">
                  <c:v>374</c:v>
                </c:pt>
                <c:pt idx="14">
                  <c:v>398</c:v>
                </c:pt>
                <c:pt idx="15">
                  <c:v>409</c:v>
                </c:pt>
                <c:pt idx="16">
                  <c:v>414</c:v>
                </c:pt>
                <c:pt idx="17">
                  <c:v>414</c:v>
                </c:pt>
                <c:pt idx="18">
                  <c:v>414</c:v>
                </c:pt>
                <c:pt idx="19">
                  <c:v>414</c:v>
                </c:pt>
                <c:pt idx="20">
                  <c:v>404</c:v>
                </c:pt>
                <c:pt idx="21">
                  <c:v>404</c:v>
                </c:pt>
                <c:pt idx="22">
                  <c:v>404</c:v>
                </c:pt>
                <c:pt idx="23">
                  <c:v>404</c:v>
                </c:pt>
                <c:pt idx="24">
                  <c:v>404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030-4F7D-B7B4-70973475C8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Blad1!$AML$1</c:f>
              <c:strCache>
                <c:ptCount val="1"/>
                <c:pt idx="0">
                  <c:v>Boardposition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Blad1!$AML$2:$AML$26</c:f>
              <c:numCache>
                <c:formatCode>General</c:formatCode>
                <c:ptCount val="25"/>
                <c:pt idx="0">
                  <c:v>0</c:v>
                </c:pt>
                <c:pt idx="1">
                  <c:v>10</c:v>
                </c:pt>
                <c:pt idx="2">
                  <c:v>50</c:v>
                </c:pt>
                <c:pt idx="3">
                  <c:v>71</c:v>
                </c:pt>
                <c:pt idx="4">
                  <c:v>91</c:v>
                </c:pt>
                <c:pt idx="5">
                  <c:v>113</c:v>
                </c:pt>
                <c:pt idx="6">
                  <c:v>230</c:v>
                </c:pt>
                <c:pt idx="7">
                  <c:v>279</c:v>
                </c:pt>
                <c:pt idx="8">
                  <c:v>304</c:v>
                </c:pt>
                <c:pt idx="9">
                  <c:v>322</c:v>
                </c:pt>
                <c:pt idx="10">
                  <c:v>333</c:v>
                </c:pt>
                <c:pt idx="11">
                  <c:v>353</c:v>
                </c:pt>
                <c:pt idx="12">
                  <c:v>391</c:v>
                </c:pt>
                <c:pt idx="13">
                  <c:v>426</c:v>
                </c:pt>
                <c:pt idx="14">
                  <c:v>435</c:v>
                </c:pt>
                <c:pt idx="15">
                  <c:v>435</c:v>
                </c:pt>
                <c:pt idx="16">
                  <c:v>435</c:v>
                </c:pt>
                <c:pt idx="17">
                  <c:v>425</c:v>
                </c:pt>
                <c:pt idx="18">
                  <c:v>425</c:v>
                </c:pt>
                <c:pt idx="19">
                  <c:v>425</c:v>
                </c:pt>
                <c:pt idx="20">
                  <c:v>425</c:v>
                </c:pt>
                <c:pt idx="21">
                  <c:v>425</c:v>
                </c:pt>
                <c:pt idx="22">
                  <c:v>425</c:v>
                </c:pt>
                <c:pt idx="23">
                  <c:v>425</c:v>
                </c:pt>
                <c:pt idx="24">
                  <c:v>425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A51-4DC2-986C-F39558D5100B}"/>
            </c:ext>
          </c:extLst>
        </c:ser>
        <c:ser>
          <c:idx val="1"/>
          <c:order val="1"/>
          <c:tx>
            <c:strRef>
              <c:f>Blad1!$AMR$1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Blad1!$AMR$2:$AMR$26</c:f>
              <c:numCache>
                <c:formatCode>General</c:formatCode>
                <c:ptCount val="25"/>
                <c:pt idx="0">
                  <c:v>0</c:v>
                </c:pt>
                <c:pt idx="1">
                  <c:v>30</c:v>
                </c:pt>
                <c:pt idx="2">
                  <c:v>66</c:v>
                </c:pt>
                <c:pt idx="3">
                  <c:v>93</c:v>
                </c:pt>
                <c:pt idx="4">
                  <c:v>119</c:v>
                </c:pt>
                <c:pt idx="5">
                  <c:v>147</c:v>
                </c:pt>
                <c:pt idx="6">
                  <c:v>185</c:v>
                </c:pt>
                <c:pt idx="7">
                  <c:v>214</c:v>
                </c:pt>
                <c:pt idx="8">
                  <c:v>239</c:v>
                </c:pt>
                <c:pt idx="9">
                  <c:v>269</c:v>
                </c:pt>
                <c:pt idx="10">
                  <c:v>294</c:v>
                </c:pt>
                <c:pt idx="11">
                  <c:v>329</c:v>
                </c:pt>
                <c:pt idx="12">
                  <c:v>371</c:v>
                </c:pt>
                <c:pt idx="13">
                  <c:v>395</c:v>
                </c:pt>
                <c:pt idx="14">
                  <c:v>417</c:v>
                </c:pt>
                <c:pt idx="15">
                  <c:v>426</c:v>
                </c:pt>
                <c:pt idx="16">
                  <c:v>434</c:v>
                </c:pt>
                <c:pt idx="17">
                  <c:v>444</c:v>
                </c:pt>
                <c:pt idx="18">
                  <c:v>444</c:v>
                </c:pt>
                <c:pt idx="19">
                  <c:v>444</c:v>
                </c:pt>
                <c:pt idx="20">
                  <c:v>444</c:v>
                </c:pt>
                <c:pt idx="21">
                  <c:v>444</c:v>
                </c:pt>
                <c:pt idx="22">
                  <c:v>444</c:v>
                </c:pt>
                <c:pt idx="23">
                  <c:v>444</c:v>
                </c:pt>
                <c:pt idx="24">
                  <c:v>444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A51-4DC2-986C-F39558D510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Blad1!$B$48</c:f>
              <c:strCache>
                <c:ptCount val="1"/>
                <c:pt idx="0">
                  <c:v>Wins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B7D-4AD7-A8C9-2222018657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B7D-4AD7-A8C9-2222018657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B7D-4AD7-A8C9-22220186571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l-NL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Blad1!$A$49:$A$51</c:f>
              <c:strCache>
                <c:ptCount val="3"/>
                <c:pt idx="0">
                  <c:v>Boardpositionition</c:v>
                </c:pt>
                <c:pt idx="1">
                  <c:v>Greedy</c:v>
                </c:pt>
                <c:pt idx="2">
                  <c:v>Tie</c:v>
                </c:pt>
              </c:strCache>
            </c:strRef>
          </c:cat>
          <c:val>
            <c:numRef>
              <c:f>Blad1!$B$49:$B$51</c:f>
              <c:numCache>
                <c:formatCode>General</c:formatCode>
                <c:ptCount val="3"/>
                <c:pt idx="0">
                  <c:v>34</c:v>
                </c:pt>
                <c:pt idx="1">
                  <c:v>51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44-46A4-8165-BCA66D3EEC54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nl-NL"/>
              <a:t>Total score per move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Blad1!$F$1</c:f>
              <c:strCache>
                <c:ptCount val="1"/>
                <c:pt idx="0">
                  <c:v>Boardposition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Blad1!$B$57:$B$81</c:f>
              <c:numCache>
                <c:formatCode>0.0</c:formatCode>
                <c:ptCount val="25"/>
                <c:pt idx="0" formatCode="General">
                  <c:v>0</c:v>
                </c:pt>
                <c:pt idx="1">
                  <c:v>15.659090909090908</c:v>
                </c:pt>
                <c:pt idx="2">
                  <c:v>53.795454545454547</c:v>
                </c:pt>
                <c:pt idx="3">
                  <c:v>86.522727272727266</c:v>
                </c:pt>
                <c:pt idx="4">
                  <c:v>119.90909090909091</c:v>
                </c:pt>
                <c:pt idx="5">
                  <c:v>152.13636363636363</c:v>
                </c:pt>
                <c:pt idx="6">
                  <c:v>186.79545454545453</c:v>
                </c:pt>
                <c:pt idx="7">
                  <c:v>213.93181818181819</c:v>
                </c:pt>
                <c:pt idx="8">
                  <c:v>242.06818181818181</c:v>
                </c:pt>
                <c:pt idx="9">
                  <c:v>273.36363636363637</c:v>
                </c:pt>
                <c:pt idx="10">
                  <c:v>302.88636363636363</c:v>
                </c:pt>
                <c:pt idx="11">
                  <c:v>331.20454545454544</c:v>
                </c:pt>
                <c:pt idx="12">
                  <c:v>357.59090909090907</c:v>
                </c:pt>
                <c:pt idx="13">
                  <c:v>379.86363636363637</c:v>
                </c:pt>
                <c:pt idx="14">
                  <c:v>400.75</c:v>
                </c:pt>
                <c:pt idx="15">
                  <c:v>413.79545454545456</c:v>
                </c:pt>
                <c:pt idx="16">
                  <c:v>418.70454545454544</c:v>
                </c:pt>
                <c:pt idx="17">
                  <c:v>422.84090909090907</c:v>
                </c:pt>
                <c:pt idx="18">
                  <c:v>425.75</c:v>
                </c:pt>
                <c:pt idx="19">
                  <c:v>427.20454545454544</c:v>
                </c:pt>
                <c:pt idx="20">
                  <c:v>427.40909090909093</c:v>
                </c:pt>
                <c:pt idx="21">
                  <c:v>427</c:v>
                </c:pt>
                <c:pt idx="22">
                  <c:v>427</c:v>
                </c:pt>
                <c:pt idx="23">
                  <c:v>426.90909090909093</c:v>
                </c:pt>
                <c:pt idx="24">
                  <c:v>426.90909090909093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0F-4449-98E2-A08A2980C54B}"/>
            </c:ext>
          </c:extLst>
        </c:ser>
        <c:ser>
          <c:idx val="1"/>
          <c:order val="1"/>
          <c:tx>
            <c:strRef>
              <c:f>Blad1!$L$1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Blad1!$C$57:$C$81</c:f>
              <c:numCache>
                <c:formatCode>0.0</c:formatCode>
                <c:ptCount val="25"/>
                <c:pt idx="0" formatCode="General">
                  <c:v>0</c:v>
                </c:pt>
                <c:pt idx="1">
                  <c:v>30.727272727272727</c:v>
                </c:pt>
                <c:pt idx="2">
                  <c:v>71.068181818181813</c:v>
                </c:pt>
                <c:pt idx="3">
                  <c:v>108</c:v>
                </c:pt>
                <c:pt idx="4">
                  <c:v>143.06818181818181</c:v>
                </c:pt>
                <c:pt idx="5">
                  <c:v>182.5</c:v>
                </c:pt>
                <c:pt idx="6">
                  <c:v>214.97727272727272</c:v>
                </c:pt>
                <c:pt idx="7">
                  <c:v>249.36363636363637</c:v>
                </c:pt>
                <c:pt idx="8">
                  <c:v>278.59090909090907</c:v>
                </c:pt>
                <c:pt idx="9">
                  <c:v>306</c:v>
                </c:pt>
                <c:pt idx="10">
                  <c:v>333.15909090909093</c:v>
                </c:pt>
                <c:pt idx="11">
                  <c:v>361.84090909090907</c:v>
                </c:pt>
                <c:pt idx="12">
                  <c:v>388.61363636363637</c:v>
                </c:pt>
                <c:pt idx="13">
                  <c:v>407.31818181818181</c:v>
                </c:pt>
                <c:pt idx="14">
                  <c:v>421.77272727272725</c:v>
                </c:pt>
                <c:pt idx="15">
                  <c:v>428.75</c:v>
                </c:pt>
                <c:pt idx="16">
                  <c:v>435.04545454545456</c:v>
                </c:pt>
                <c:pt idx="17">
                  <c:v>437.43181818181819</c:v>
                </c:pt>
                <c:pt idx="18">
                  <c:v>438.22727272727275</c:v>
                </c:pt>
                <c:pt idx="19">
                  <c:v>438.29545454545456</c:v>
                </c:pt>
                <c:pt idx="20">
                  <c:v>438.38636363636363</c:v>
                </c:pt>
                <c:pt idx="21">
                  <c:v>438.06818181818181</c:v>
                </c:pt>
                <c:pt idx="22">
                  <c:v>438.06818181818181</c:v>
                </c:pt>
                <c:pt idx="23">
                  <c:v>438.02272727272725</c:v>
                </c:pt>
                <c:pt idx="24">
                  <c:v>438.02272727272725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0F-4449-98E2-A08A2980C5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Blad1!$TB$1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Blad1!$SX$57:$SX$81</c:f>
              <c:numCache>
                <c:formatCode>0.0</c:formatCode>
                <c:ptCount val="25"/>
                <c:pt idx="0" formatCode="General">
                  <c:v>0</c:v>
                </c:pt>
                <c:pt idx="1">
                  <c:v>26.547619047619047</c:v>
                </c:pt>
                <c:pt idx="2">
                  <c:v>65.714285714285708</c:v>
                </c:pt>
                <c:pt idx="3">
                  <c:v>103.9047619047619</c:v>
                </c:pt>
                <c:pt idx="4">
                  <c:v>141.66666666666666</c:v>
                </c:pt>
                <c:pt idx="5">
                  <c:v>176.33333333333334</c:v>
                </c:pt>
                <c:pt idx="6">
                  <c:v>207.73809523809524</c:v>
                </c:pt>
                <c:pt idx="7">
                  <c:v>242.28571428571428</c:v>
                </c:pt>
                <c:pt idx="8">
                  <c:v>276.59523809523807</c:v>
                </c:pt>
                <c:pt idx="9">
                  <c:v>305.57142857142856</c:v>
                </c:pt>
                <c:pt idx="10">
                  <c:v>333.88095238095241</c:v>
                </c:pt>
                <c:pt idx="11">
                  <c:v>362.04761904761904</c:v>
                </c:pt>
                <c:pt idx="12">
                  <c:v>392.16666666666669</c:v>
                </c:pt>
                <c:pt idx="13">
                  <c:v>416.66666666666669</c:v>
                </c:pt>
                <c:pt idx="14">
                  <c:v>436.09523809523807</c:v>
                </c:pt>
                <c:pt idx="15">
                  <c:v>449.95238095238096</c:v>
                </c:pt>
                <c:pt idx="16">
                  <c:v>456.76190476190476</c:v>
                </c:pt>
                <c:pt idx="17">
                  <c:v>459.07142857142856</c:v>
                </c:pt>
                <c:pt idx="18">
                  <c:v>459.90476190476193</c:v>
                </c:pt>
                <c:pt idx="19">
                  <c:v>459.78571428571428</c:v>
                </c:pt>
                <c:pt idx="20">
                  <c:v>459.35714285714283</c:v>
                </c:pt>
                <c:pt idx="21">
                  <c:v>459.40476190476193</c:v>
                </c:pt>
                <c:pt idx="22">
                  <c:v>459.40476190476193</c:v>
                </c:pt>
                <c:pt idx="23">
                  <c:v>459.40476190476193</c:v>
                </c:pt>
                <c:pt idx="24">
                  <c:v>459.40476190476193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8CC-4FC6-93D8-856B09E09AFF}"/>
            </c:ext>
          </c:extLst>
        </c:ser>
        <c:ser>
          <c:idx val="1"/>
          <c:order val="1"/>
          <c:tx>
            <c:strRef>
              <c:f>Blad1!$TH$1</c:f>
              <c:strCache>
                <c:ptCount val="1"/>
                <c:pt idx="0">
                  <c:v>Boardposition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Blad1!$SY$57:$SY$81</c:f>
              <c:numCache>
                <c:formatCode>0.0</c:formatCode>
                <c:ptCount val="25"/>
                <c:pt idx="0" formatCode="General">
                  <c:v>0</c:v>
                </c:pt>
                <c:pt idx="1">
                  <c:v>32.452380952380949</c:v>
                </c:pt>
                <c:pt idx="2">
                  <c:v>65.285714285714292</c:v>
                </c:pt>
                <c:pt idx="3">
                  <c:v>102.54761904761905</c:v>
                </c:pt>
                <c:pt idx="4">
                  <c:v>131.83333333333334</c:v>
                </c:pt>
                <c:pt idx="5">
                  <c:v>169.73809523809524</c:v>
                </c:pt>
                <c:pt idx="6">
                  <c:v>200.92857142857142</c:v>
                </c:pt>
                <c:pt idx="7">
                  <c:v>235.45238095238096</c:v>
                </c:pt>
                <c:pt idx="8">
                  <c:v>268.6904761904762</c:v>
                </c:pt>
                <c:pt idx="9">
                  <c:v>296.23809523809524</c:v>
                </c:pt>
                <c:pt idx="10">
                  <c:v>321.73809523809524</c:v>
                </c:pt>
                <c:pt idx="11">
                  <c:v>352.16666666666669</c:v>
                </c:pt>
                <c:pt idx="12">
                  <c:v>379.95238095238096</c:v>
                </c:pt>
                <c:pt idx="13">
                  <c:v>401.3095238095238</c:v>
                </c:pt>
                <c:pt idx="14">
                  <c:v>416.28571428571428</c:v>
                </c:pt>
                <c:pt idx="15">
                  <c:v>427.8095238095238</c:v>
                </c:pt>
                <c:pt idx="16">
                  <c:v>434.88095238095241</c:v>
                </c:pt>
                <c:pt idx="17">
                  <c:v>437.52380952380952</c:v>
                </c:pt>
                <c:pt idx="18">
                  <c:v>438.8095238095238</c:v>
                </c:pt>
                <c:pt idx="19">
                  <c:v>439.61904761904759</c:v>
                </c:pt>
                <c:pt idx="20">
                  <c:v>439.52380952380952</c:v>
                </c:pt>
                <c:pt idx="21">
                  <c:v>439.1904761904762</c:v>
                </c:pt>
                <c:pt idx="22">
                  <c:v>439.1904761904762</c:v>
                </c:pt>
                <c:pt idx="23">
                  <c:v>439.1904761904762</c:v>
                </c:pt>
                <c:pt idx="24">
                  <c:v>439.1904761904762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8CC-4FC6-93D8-856B09E09A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chart" Target="../charts/chart26.xml"/><Relationship Id="rId21" Type="http://schemas.openxmlformats.org/officeDocument/2006/relationships/chart" Target="../charts/chart21.xml"/><Relationship Id="rId42" Type="http://schemas.openxmlformats.org/officeDocument/2006/relationships/chart" Target="../charts/chart42.xml"/><Relationship Id="rId47" Type="http://schemas.openxmlformats.org/officeDocument/2006/relationships/chart" Target="../charts/chart47.xml"/><Relationship Id="rId63" Type="http://schemas.openxmlformats.org/officeDocument/2006/relationships/chart" Target="../charts/chart63.xml"/><Relationship Id="rId68" Type="http://schemas.openxmlformats.org/officeDocument/2006/relationships/chart" Target="../charts/chart68.xml"/><Relationship Id="rId84" Type="http://schemas.openxmlformats.org/officeDocument/2006/relationships/chart" Target="../charts/chart84.xml"/><Relationship Id="rId89" Type="http://schemas.openxmlformats.org/officeDocument/2006/relationships/chart" Target="../charts/chart89.xml"/><Relationship Id="rId16" Type="http://schemas.openxmlformats.org/officeDocument/2006/relationships/chart" Target="../charts/chart16.xml"/><Relationship Id="rId11" Type="http://schemas.openxmlformats.org/officeDocument/2006/relationships/chart" Target="../charts/chart11.xml"/><Relationship Id="rId32" Type="http://schemas.openxmlformats.org/officeDocument/2006/relationships/chart" Target="../charts/chart32.xml"/><Relationship Id="rId37" Type="http://schemas.openxmlformats.org/officeDocument/2006/relationships/chart" Target="../charts/chart37.xml"/><Relationship Id="rId53" Type="http://schemas.openxmlformats.org/officeDocument/2006/relationships/chart" Target="../charts/chart53.xml"/><Relationship Id="rId58" Type="http://schemas.openxmlformats.org/officeDocument/2006/relationships/chart" Target="../charts/chart58.xml"/><Relationship Id="rId74" Type="http://schemas.openxmlformats.org/officeDocument/2006/relationships/chart" Target="../charts/chart74.xml"/><Relationship Id="rId79" Type="http://schemas.openxmlformats.org/officeDocument/2006/relationships/chart" Target="../charts/chart79.xml"/><Relationship Id="rId5" Type="http://schemas.openxmlformats.org/officeDocument/2006/relationships/chart" Target="../charts/chart5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Relationship Id="rId35" Type="http://schemas.openxmlformats.org/officeDocument/2006/relationships/chart" Target="../charts/chart35.xml"/><Relationship Id="rId43" Type="http://schemas.openxmlformats.org/officeDocument/2006/relationships/chart" Target="../charts/chart43.xml"/><Relationship Id="rId48" Type="http://schemas.openxmlformats.org/officeDocument/2006/relationships/chart" Target="../charts/chart48.xml"/><Relationship Id="rId56" Type="http://schemas.openxmlformats.org/officeDocument/2006/relationships/chart" Target="../charts/chart56.xml"/><Relationship Id="rId64" Type="http://schemas.openxmlformats.org/officeDocument/2006/relationships/chart" Target="../charts/chart64.xml"/><Relationship Id="rId69" Type="http://schemas.openxmlformats.org/officeDocument/2006/relationships/chart" Target="../charts/chart69.xml"/><Relationship Id="rId77" Type="http://schemas.openxmlformats.org/officeDocument/2006/relationships/chart" Target="../charts/chart77.xml"/><Relationship Id="rId8" Type="http://schemas.openxmlformats.org/officeDocument/2006/relationships/chart" Target="../charts/chart8.xml"/><Relationship Id="rId51" Type="http://schemas.openxmlformats.org/officeDocument/2006/relationships/chart" Target="../charts/chart51.xml"/><Relationship Id="rId72" Type="http://schemas.openxmlformats.org/officeDocument/2006/relationships/chart" Target="../charts/chart72.xml"/><Relationship Id="rId80" Type="http://schemas.openxmlformats.org/officeDocument/2006/relationships/chart" Target="../charts/chart80.xml"/><Relationship Id="rId85" Type="http://schemas.openxmlformats.org/officeDocument/2006/relationships/chart" Target="../charts/chart85.xml"/><Relationship Id="rId3" Type="http://schemas.openxmlformats.org/officeDocument/2006/relationships/chart" Target="../charts/chart3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38" Type="http://schemas.openxmlformats.org/officeDocument/2006/relationships/chart" Target="../charts/chart38.xml"/><Relationship Id="rId46" Type="http://schemas.openxmlformats.org/officeDocument/2006/relationships/chart" Target="../charts/chart46.xml"/><Relationship Id="rId59" Type="http://schemas.openxmlformats.org/officeDocument/2006/relationships/chart" Target="../charts/chart59.xml"/><Relationship Id="rId67" Type="http://schemas.openxmlformats.org/officeDocument/2006/relationships/chart" Target="../charts/chart67.xml"/><Relationship Id="rId20" Type="http://schemas.openxmlformats.org/officeDocument/2006/relationships/chart" Target="../charts/chart20.xml"/><Relationship Id="rId41" Type="http://schemas.openxmlformats.org/officeDocument/2006/relationships/chart" Target="../charts/chart41.xml"/><Relationship Id="rId54" Type="http://schemas.openxmlformats.org/officeDocument/2006/relationships/chart" Target="../charts/chart54.xml"/><Relationship Id="rId62" Type="http://schemas.openxmlformats.org/officeDocument/2006/relationships/chart" Target="../charts/chart62.xml"/><Relationship Id="rId70" Type="http://schemas.openxmlformats.org/officeDocument/2006/relationships/chart" Target="../charts/chart70.xml"/><Relationship Id="rId75" Type="http://schemas.openxmlformats.org/officeDocument/2006/relationships/chart" Target="../charts/chart75.xml"/><Relationship Id="rId83" Type="http://schemas.openxmlformats.org/officeDocument/2006/relationships/chart" Target="../charts/chart83.xml"/><Relationship Id="rId88" Type="http://schemas.openxmlformats.org/officeDocument/2006/relationships/chart" Target="../charts/chart88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36" Type="http://schemas.openxmlformats.org/officeDocument/2006/relationships/chart" Target="../charts/chart36.xml"/><Relationship Id="rId49" Type="http://schemas.openxmlformats.org/officeDocument/2006/relationships/chart" Target="../charts/chart49.xml"/><Relationship Id="rId57" Type="http://schemas.openxmlformats.org/officeDocument/2006/relationships/chart" Target="../charts/chart57.xml"/><Relationship Id="rId10" Type="http://schemas.openxmlformats.org/officeDocument/2006/relationships/chart" Target="../charts/chart10.xml"/><Relationship Id="rId31" Type="http://schemas.openxmlformats.org/officeDocument/2006/relationships/chart" Target="../charts/chart31.xml"/><Relationship Id="rId44" Type="http://schemas.openxmlformats.org/officeDocument/2006/relationships/chart" Target="../charts/chart44.xml"/><Relationship Id="rId52" Type="http://schemas.openxmlformats.org/officeDocument/2006/relationships/chart" Target="../charts/chart52.xml"/><Relationship Id="rId60" Type="http://schemas.openxmlformats.org/officeDocument/2006/relationships/chart" Target="../charts/chart60.xml"/><Relationship Id="rId65" Type="http://schemas.openxmlformats.org/officeDocument/2006/relationships/chart" Target="../charts/chart65.xml"/><Relationship Id="rId73" Type="http://schemas.openxmlformats.org/officeDocument/2006/relationships/chart" Target="../charts/chart73.xml"/><Relationship Id="rId78" Type="http://schemas.openxmlformats.org/officeDocument/2006/relationships/chart" Target="../charts/chart78.xml"/><Relationship Id="rId81" Type="http://schemas.openxmlformats.org/officeDocument/2006/relationships/chart" Target="../charts/chart81.xml"/><Relationship Id="rId86" Type="http://schemas.openxmlformats.org/officeDocument/2006/relationships/chart" Target="../charts/chart86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9" Type="http://schemas.openxmlformats.org/officeDocument/2006/relationships/chart" Target="../charts/chart39.xml"/><Relationship Id="rId34" Type="http://schemas.openxmlformats.org/officeDocument/2006/relationships/chart" Target="../charts/chart34.xml"/><Relationship Id="rId50" Type="http://schemas.openxmlformats.org/officeDocument/2006/relationships/chart" Target="../charts/chart50.xml"/><Relationship Id="rId55" Type="http://schemas.openxmlformats.org/officeDocument/2006/relationships/chart" Target="../charts/chart55.xml"/><Relationship Id="rId76" Type="http://schemas.openxmlformats.org/officeDocument/2006/relationships/chart" Target="../charts/chart76.xml"/><Relationship Id="rId7" Type="http://schemas.openxmlformats.org/officeDocument/2006/relationships/chart" Target="../charts/chart7.xml"/><Relationship Id="rId71" Type="http://schemas.openxmlformats.org/officeDocument/2006/relationships/chart" Target="../charts/chart71.xml"/><Relationship Id="rId2" Type="http://schemas.openxmlformats.org/officeDocument/2006/relationships/chart" Target="../charts/chart2.xml"/><Relationship Id="rId29" Type="http://schemas.openxmlformats.org/officeDocument/2006/relationships/chart" Target="../charts/chart29.xml"/><Relationship Id="rId24" Type="http://schemas.openxmlformats.org/officeDocument/2006/relationships/chart" Target="../charts/chart24.xml"/><Relationship Id="rId40" Type="http://schemas.openxmlformats.org/officeDocument/2006/relationships/chart" Target="../charts/chart40.xml"/><Relationship Id="rId45" Type="http://schemas.openxmlformats.org/officeDocument/2006/relationships/chart" Target="../charts/chart45.xml"/><Relationship Id="rId66" Type="http://schemas.openxmlformats.org/officeDocument/2006/relationships/chart" Target="../charts/chart66.xml"/><Relationship Id="rId87" Type="http://schemas.openxmlformats.org/officeDocument/2006/relationships/chart" Target="../charts/chart87.xml"/><Relationship Id="rId61" Type="http://schemas.openxmlformats.org/officeDocument/2006/relationships/chart" Target="../charts/chart61.xml"/><Relationship Id="rId82" Type="http://schemas.openxmlformats.org/officeDocument/2006/relationships/chart" Target="../charts/chart82.xml"/><Relationship Id="rId19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419100</xdr:colOff>
      <xdr:row>28</xdr:row>
      <xdr:rowOff>161925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13</xdr:col>
      <xdr:colOff>0</xdr:colOff>
      <xdr:row>28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25</xdr:col>
      <xdr:colOff>0</xdr:colOff>
      <xdr:row>28</xdr:row>
      <xdr:rowOff>0</xdr:rowOff>
    </xdr:from>
    <xdr:ext cx="540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37</xdr:col>
      <xdr:colOff>0</xdr:colOff>
      <xdr:row>28</xdr:row>
      <xdr:rowOff>0</xdr:rowOff>
    </xdr:from>
    <xdr:ext cx="5400000" cy="27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49</xdr:col>
      <xdr:colOff>0</xdr:colOff>
      <xdr:row>28</xdr:row>
      <xdr:rowOff>0</xdr:rowOff>
    </xdr:from>
    <xdr:ext cx="5400000" cy="270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61</xdr:col>
      <xdr:colOff>0</xdr:colOff>
      <xdr:row>28</xdr:row>
      <xdr:rowOff>0</xdr:rowOff>
    </xdr:from>
    <xdr:ext cx="5400000" cy="270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73</xdr:col>
      <xdr:colOff>0</xdr:colOff>
      <xdr:row>28</xdr:row>
      <xdr:rowOff>0</xdr:rowOff>
    </xdr:from>
    <xdr:ext cx="5400000" cy="270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85</xdr:col>
      <xdr:colOff>0</xdr:colOff>
      <xdr:row>28</xdr:row>
      <xdr:rowOff>0</xdr:rowOff>
    </xdr:from>
    <xdr:ext cx="5400000" cy="270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97</xdr:col>
      <xdr:colOff>0</xdr:colOff>
      <xdr:row>28</xdr:row>
      <xdr:rowOff>0</xdr:rowOff>
    </xdr:from>
    <xdr:ext cx="5400000" cy="27000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109</xdr:col>
      <xdr:colOff>76200</xdr:colOff>
      <xdr:row>28</xdr:row>
      <xdr:rowOff>66675</xdr:rowOff>
    </xdr:from>
    <xdr:ext cx="5400000" cy="270000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121</xdr:col>
      <xdr:colOff>219075</xdr:colOff>
      <xdr:row>28</xdr:row>
      <xdr:rowOff>133350</xdr:rowOff>
    </xdr:from>
    <xdr:ext cx="5400000" cy="270000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133</xdr:col>
      <xdr:colOff>0</xdr:colOff>
      <xdr:row>28</xdr:row>
      <xdr:rowOff>0</xdr:rowOff>
    </xdr:from>
    <xdr:ext cx="5400000" cy="270000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oneCellAnchor>
    <xdr:from>
      <xdr:col>145</xdr:col>
      <xdr:colOff>0</xdr:colOff>
      <xdr:row>28</xdr:row>
      <xdr:rowOff>0</xdr:rowOff>
    </xdr:from>
    <xdr:ext cx="5400000" cy="2700000"/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oneCellAnchor>
  <xdr:oneCellAnchor>
    <xdr:from>
      <xdr:col>157</xdr:col>
      <xdr:colOff>0</xdr:colOff>
      <xdr:row>28</xdr:row>
      <xdr:rowOff>0</xdr:rowOff>
    </xdr:from>
    <xdr:ext cx="5400000" cy="2700000"/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oneCellAnchor>
  <xdr:oneCellAnchor>
    <xdr:from>
      <xdr:col>169</xdr:col>
      <xdr:colOff>0</xdr:colOff>
      <xdr:row>28</xdr:row>
      <xdr:rowOff>0</xdr:rowOff>
    </xdr:from>
    <xdr:ext cx="5400000" cy="2700000"/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oneCellAnchor>
  <xdr:oneCellAnchor>
    <xdr:from>
      <xdr:col>181</xdr:col>
      <xdr:colOff>0</xdr:colOff>
      <xdr:row>28</xdr:row>
      <xdr:rowOff>0</xdr:rowOff>
    </xdr:from>
    <xdr:ext cx="5400000" cy="2700000"/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oneCellAnchor>
  <xdr:oneCellAnchor>
    <xdr:from>
      <xdr:col>193</xdr:col>
      <xdr:colOff>0</xdr:colOff>
      <xdr:row>28</xdr:row>
      <xdr:rowOff>0</xdr:rowOff>
    </xdr:from>
    <xdr:ext cx="5400000" cy="2700000"/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oneCellAnchor>
  <xdr:oneCellAnchor>
    <xdr:from>
      <xdr:col>205</xdr:col>
      <xdr:colOff>0</xdr:colOff>
      <xdr:row>28</xdr:row>
      <xdr:rowOff>0</xdr:rowOff>
    </xdr:from>
    <xdr:ext cx="5400000" cy="2700000"/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oneCellAnchor>
  <xdr:oneCellAnchor>
    <xdr:from>
      <xdr:col>217</xdr:col>
      <xdr:colOff>0</xdr:colOff>
      <xdr:row>28</xdr:row>
      <xdr:rowOff>0</xdr:rowOff>
    </xdr:from>
    <xdr:ext cx="5400000" cy="2700000"/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oneCellAnchor>
  <xdr:oneCellAnchor>
    <xdr:from>
      <xdr:col>229</xdr:col>
      <xdr:colOff>0</xdr:colOff>
      <xdr:row>28</xdr:row>
      <xdr:rowOff>0</xdr:rowOff>
    </xdr:from>
    <xdr:ext cx="5400000" cy="2700000"/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oneCellAnchor>
  <xdr:oneCellAnchor>
    <xdr:from>
      <xdr:col>241</xdr:col>
      <xdr:colOff>0</xdr:colOff>
      <xdr:row>28</xdr:row>
      <xdr:rowOff>0</xdr:rowOff>
    </xdr:from>
    <xdr:ext cx="5400000" cy="2700000"/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oneCellAnchor>
  <xdr:oneCellAnchor>
    <xdr:from>
      <xdr:col>253</xdr:col>
      <xdr:colOff>0</xdr:colOff>
      <xdr:row>28</xdr:row>
      <xdr:rowOff>0</xdr:rowOff>
    </xdr:from>
    <xdr:ext cx="5400000" cy="2700000"/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oneCellAnchor>
  <xdr:oneCellAnchor>
    <xdr:from>
      <xdr:col>265</xdr:col>
      <xdr:colOff>0</xdr:colOff>
      <xdr:row>28</xdr:row>
      <xdr:rowOff>0</xdr:rowOff>
    </xdr:from>
    <xdr:ext cx="5400000" cy="2700000"/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oneCellAnchor>
  <xdr:oneCellAnchor>
    <xdr:from>
      <xdr:col>277</xdr:col>
      <xdr:colOff>0</xdr:colOff>
      <xdr:row>28</xdr:row>
      <xdr:rowOff>0</xdr:rowOff>
    </xdr:from>
    <xdr:ext cx="5400000" cy="2700000"/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oneCellAnchor>
  <xdr:oneCellAnchor>
    <xdr:from>
      <xdr:col>289</xdr:col>
      <xdr:colOff>0</xdr:colOff>
      <xdr:row>28</xdr:row>
      <xdr:rowOff>0</xdr:rowOff>
    </xdr:from>
    <xdr:ext cx="5400000" cy="2700000"/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oneCellAnchor>
  <xdr:oneCellAnchor>
    <xdr:from>
      <xdr:col>301</xdr:col>
      <xdr:colOff>0</xdr:colOff>
      <xdr:row>28</xdr:row>
      <xdr:rowOff>0</xdr:rowOff>
    </xdr:from>
    <xdr:ext cx="5400000" cy="2700000"/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oneCellAnchor>
  <xdr:oneCellAnchor>
    <xdr:from>
      <xdr:col>313</xdr:col>
      <xdr:colOff>0</xdr:colOff>
      <xdr:row>28</xdr:row>
      <xdr:rowOff>0</xdr:rowOff>
    </xdr:from>
    <xdr:ext cx="5400000" cy="2700000"/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oneCellAnchor>
  <xdr:oneCellAnchor>
    <xdr:from>
      <xdr:col>325</xdr:col>
      <xdr:colOff>0</xdr:colOff>
      <xdr:row>28</xdr:row>
      <xdr:rowOff>0</xdr:rowOff>
    </xdr:from>
    <xdr:ext cx="5400000" cy="2700000"/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oneCellAnchor>
  <xdr:oneCellAnchor>
    <xdr:from>
      <xdr:col>337</xdr:col>
      <xdr:colOff>0</xdr:colOff>
      <xdr:row>28</xdr:row>
      <xdr:rowOff>0</xdr:rowOff>
    </xdr:from>
    <xdr:ext cx="5400000" cy="2700000"/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oneCellAnchor>
  <xdr:oneCellAnchor>
    <xdr:from>
      <xdr:col>349</xdr:col>
      <xdr:colOff>0</xdr:colOff>
      <xdr:row>28</xdr:row>
      <xdr:rowOff>0</xdr:rowOff>
    </xdr:from>
    <xdr:ext cx="5400000" cy="2700000"/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oneCellAnchor>
  <xdr:oneCellAnchor>
    <xdr:from>
      <xdr:col>361</xdr:col>
      <xdr:colOff>0</xdr:colOff>
      <xdr:row>28</xdr:row>
      <xdr:rowOff>0</xdr:rowOff>
    </xdr:from>
    <xdr:ext cx="5400000" cy="2700000"/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oneCellAnchor>
  <xdr:oneCellAnchor>
    <xdr:from>
      <xdr:col>373</xdr:col>
      <xdr:colOff>0</xdr:colOff>
      <xdr:row>28</xdr:row>
      <xdr:rowOff>0</xdr:rowOff>
    </xdr:from>
    <xdr:ext cx="5400000" cy="2700000"/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oneCellAnchor>
  <xdr:oneCellAnchor>
    <xdr:from>
      <xdr:col>385</xdr:col>
      <xdr:colOff>0</xdr:colOff>
      <xdr:row>28</xdr:row>
      <xdr:rowOff>0</xdr:rowOff>
    </xdr:from>
    <xdr:ext cx="5400000" cy="2700000"/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oneCellAnchor>
  <xdr:oneCellAnchor>
    <xdr:from>
      <xdr:col>397</xdr:col>
      <xdr:colOff>0</xdr:colOff>
      <xdr:row>28</xdr:row>
      <xdr:rowOff>0</xdr:rowOff>
    </xdr:from>
    <xdr:ext cx="5400000" cy="2700000"/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oneCellAnchor>
  <xdr:oneCellAnchor>
    <xdr:from>
      <xdr:col>409</xdr:col>
      <xdr:colOff>0</xdr:colOff>
      <xdr:row>28</xdr:row>
      <xdr:rowOff>0</xdr:rowOff>
    </xdr:from>
    <xdr:ext cx="5400000" cy="2700000"/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oneCellAnchor>
  <xdr:oneCellAnchor>
    <xdr:from>
      <xdr:col>421</xdr:col>
      <xdr:colOff>0</xdr:colOff>
      <xdr:row>28</xdr:row>
      <xdr:rowOff>0</xdr:rowOff>
    </xdr:from>
    <xdr:ext cx="5400000" cy="2700000"/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oneCellAnchor>
  <xdr:oneCellAnchor>
    <xdr:from>
      <xdr:col>433</xdr:col>
      <xdr:colOff>0</xdr:colOff>
      <xdr:row>28</xdr:row>
      <xdr:rowOff>0</xdr:rowOff>
    </xdr:from>
    <xdr:ext cx="5400000" cy="2700000"/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oneCellAnchor>
  <xdr:oneCellAnchor>
    <xdr:from>
      <xdr:col>445</xdr:col>
      <xdr:colOff>0</xdr:colOff>
      <xdr:row>28</xdr:row>
      <xdr:rowOff>0</xdr:rowOff>
    </xdr:from>
    <xdr:ext cx="5400000" cy="2700000"/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oneCellAnchor>
  <xdr:oneCellAnchor>
    <xdr:from>
      <xdr:col>457</xdr:col>
      <xdr:colOff>0</xdr:colOff>
      <xdr:row>28</xdr:row>
      <xdr:rowOff>0</xdr:rowOff>
    </xdr:from>
    <xdr:ext cx="5400000" cy="2700000"/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oneCellAnchor>
  <xdr:oneCellAnchor>
    <xdr:from>
      <xdr:col>469</xdr:col>
      <xdr:colOff>0</xdr:colOff>
      <xdr:row>28</xdr:row>
      <xdr:rowOff>0</xdr:rowOff>
    </xdr:from>
    <xdr:ext cx="5400000" cy="2700000"/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oneCellAnchor>
  <xdr:oneCellAnchor>
    <xdr:from>
      <xdr:col>481</xdr:col>
      <xdr:colOff>0</xdr:colOff>
      <xdr:row>28</xdr:row>
      <xdr:rowOff>0</xdr:rowOff>
    </xdr:from>
    <xdr:ext cx="5400000" cy="2700000"/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oneCellAnchor>
  <xdr:oneCellAnchor>
    <xdr:from>
      <xdr:col>493</xdr:col>
      <xdr:colOff>0</xdr:colOff>
      <xdr:row>28</xdr:row>
      <xdr:rowOff>0</xdr:rowOff>
    </xdr:from>
    <xdr:ext cx="5400000" cy="2700000"/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oneCellAnchor>
  <xdr:oneCellAnchor>
    <xdr:from>
      <xdr:col>505</xdr:col>
      <xdr:colOff>0</xdr:colOff>
      <xdr:row>28</xdr:row>
      <xdr:rowOff>0</xdr:rowOff>
    </xdr:from>
    <xdr:ext cx="5400000" cy="2700000"/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oneCellAnchor>
  <xdr:oneCellAnchor>
    <xdr:from>
      <xdr:col>517</xdr:col>
      <xdr:colOff>19050</xdr:colOff>
      <xdr:row>25</xdr:row>
      <xdr:rowOff>47625</xdr:rowOff>
    </xdr:from>
    <xdr:ext cx="5400000" cy="2700000"/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oneCellAnchor>
  <xdr:oneCellAnchor>
    <xdr:from>
      <xdr:col>529</xdr:col>
      <xdr:colOff>0</xdr:colOff>
      <xdr:row>28</xdr:row>
      <xdr:rowOff>0</xdr:rowOff>
    </xdr:from>
    <xdr:ext cx="5400000" cy="2700000"/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oneCellAnchor>
  <xdr:oneCellAnchor>
    <xdr:from>
      <xdr:col>541</xdr:col>
      <xdr:colOff>0</xdr:colOff>
      <xdr:row>28</xdr:row>
      <xdr:rowOff>0</xdr:rowOff>
    </xdr:from>
    <xdr:ext cx="5400000" cy="2700000"/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oneCellAnchor>
  <xdr:oneCellAnchor>
    <xdr:from>
      <xdr:col>553</xdr:col>
      <xdr:colOff>0</xdr:colOff>
      <xdr:row>28</xdr:row>
      <xdr:rowOff>0</xdr:rowOff>
    </xdr:from>
    <xdr:ext cx="5400000" cy="2700000"/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oneCellAnchor>
  <xdr:oneCellAnchor>
    <xdr:from>
      <xdr:col>565</xdr:col>
      <xdr:colOff>0</xdr:colOff>
      <xdr:row>28</xdr:row>
      <xdr:rowOff>0</xdr:rowOff>
    </xdr:from>
    <xdr:ext cx="5400000" cy="2700000"/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oneCellAnchor>
  <xdr:oneCellAnchor>
    <xdr:from>
      <xdr:col>577</xdr:col>
      <xdr:colOff>0</xdr:colOff>
      <xdr:row>28</xdr:row>
      <xdr:rowOff>0</xdr:rowOff>
    </xdr:from>
    <xdr:ext cx="5400000" cy="2700000"/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oneCellAnchor>
  <xdr:oneCellAnchor>
    <xdr:from>
      <xdr:col>589</xdr:col>
      <xdr:colOff>0</xdr:colOff>
      <xdr:row>28</xdr:row>
      <xdr:rowOff>0</xdr:rowOff>
    </xdr:from>
    <xdr:ext cx="5400000" cy="2700000"/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oneCellAnchor>
  <xdr:oneCellAnchor>
    <xdr:from>
      <xdr:col>601</xdr:col>
      <xdr:colOff>0</xdr:colOff>
      <xdr:row>28</xdr:row>
      <xdr:rowOff>0</xdr:rowOff>
    </xdr:from>
    <xdr:ext cx="5400000" cy="2700000"/>
    <xdr:graphicFrame macro="">
      <xdr:nvGraphicFramePr>
        <xdr:cNvPr id="52" name="Chart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oneCellAnchor>
  <xdr:oneCellAnchor>
    <xdr:from>
      <xdr:col>613</xdr:col>
      <xdr:colOff>0</xdr:colOff>
      <xdr:row>28</xdr:row>
      <xdr:rowOff>0</xdr:rowOff>
    </xdr:from>
    <xdr:ext cx="5400000" cy="2700000"/>
    <xdr:graphicFrame macro="">
      <xdr:nvGraphicFramePr>
        <xdr:cNvPr id="53" name="Chart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oneCellAnchor>
  <xdr:oneCellAnchor>
    <xdr:from>
      <xdr:col>625</xdr:col>
      <xdr:colOff>0</xdr:colOff>
      <xdr:row>28</xdr:row>
      <xdr:rowOff>0</xdr:rowOff>
    </xdr:from>
    <xdr:ext cx="5400000" cy="2700000"/>
    <xdr:graphicFrame macro="">
      <xdr:nvGraphicFramePr>
        <xdr:cNvPr id="54" name="Chart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oneCellAnchor>
  <xdr:oneCellAnchor>
    <xdr:from>
      <xdr:col>637</xdr:col>
      <xdr:colOff>0</xdr:colOff>
      <xdr:row>28</xdr:row>
      <xdr:rowOff>0</xdr:rowOff>
    </xdr:from>
    <xdr:ext cx="5400000" cy="2700000"/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oneCellAnchor>
  <xdr:oneCellAnchor>
    <xdr:from>
      <xdr:col>649</xdr:col>
      <xdr:colOff>0</xdr:colOff>
      <xdr:row>28</xdr:row>
      <xdr:rowOff>0</xdr:rowOff>
    </xdr:from>
    <xdr:ext cx="5400000" cy="2700000"/>
    <xdr:graphicFrame macro="">
      <xdr:nvGraphicFramePr>
        <xdr:cNvPr id="56" name="Chart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oneCellAnchor>
  <xdr:oneCellAnchor>
    <xdr:from>
      <xdr:col>661</xdr:col>
      <xdr:colOff>0</xdr:colOff>
      <xdr:row>28</xdr:row>
      <xdr:rowOff>0</xdr:rowOff>
    </xdr:from>
    <xdr:ext cx="5400000" cy="2700000"/>
    <xdr:graphicFrame macro="">
      <xdr:nvGraphicFramePr>
        <xdr:cNvPr id="57" name="Chart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oneCellAnchor>
  <xdr:oneCellAnchor>
    <xdr:from>
      <xdr:col>673</xdr:col>
      <xdr:colOff>0</xdr:colOff>
      <xdr:row>28</xdr:row>
      <xdr:rowOff>0</xdr:rowOff>
    </xdr:from>
    <xdr:ext cx="5400000" cy="2700000"/>
    <xdr:graphicFrame macro="">
      <xdr:nvGraphicFramePr>
        <xdr:cNvPr id="58" name="Chart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oneCellAnchor>
  <xdr:oneCellAnchor>
    <xdr:from>
      <xdr:col>685</xdr:col>
      <xdr:colOff>0</xdr:colOff>
      <xdr:row>28</xdr:row>
      <xdr:rowOff>0</xdr:rowOff>
    </xdr:from>
    <xdr:ext cx="5400000" cy="2700000"/>
    <xdr:graphicFrame macro="">
      <xdr:nvGraphicFramePr>
        <xdr:cNvPr id="59" name="Chart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xdr:graphicFrame>
    <xdr:clientData/>
  </xdr:oneCellAnchor>
  <xdr:oneCellAnchor>
    <xdr:from>
      <xdr:col>697</xdr:col>
      <xdr:colOff>0</xdr:colOff>
      <xdr:row>28</xdr:row>
      <xdr:rowOff>0</xdr:rowOff>
    </xdr:from>
    <xdr:ext cx="5400000" cy="2700000"/>
    <xdr:graphicFrame macro="">
      <xdr:nvGraphicFramePr>
        <xdr:cNvPr id="60" name="Chart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xdr:graphicFrame>
    <xdr:clientData/>
  </xdr:oneCellAnchor>
  <xdr:oneCellAnchor>
    <xdr:from>
      <xdr:col>709</xdr:col>
      <xdr:colOff>0</xdr:colOff>
      <xdr:row>28</xdr:row>
      <xdr:rowOff>0</xdr:rowOff>
    </xdr:from>
    <xdr:ext cx="5400000" cy="2700000"/>
    <xdr:graphicFrame macro="">
      <xdr:nvGraphicFramePr>
        <xdr:cNvPr id="61" name="Chart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xdr:graphicFrame>
    <xdr:clientData/>
  </xdr:oneCellAnchor>
  <xdr:oneCellAnchor>
    <xdr:from>
      <xdr:col>721</xdr:col>
      <xdr:colOff>0</xdr:colOff>
      <xdr:row>28</xdr:row>
      <xdr:rowOff>0</xdr:rowOff>
    </xdr:from>
    <xdr:ext cx="5400000" cy="2700000"/>
    <xdr:graphicFrame macro="">
      <xdr:nvGraphicFramePr>
        <xdr:cNvPr id="62" name="Chart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xdr:graphicFrame>
    <xdr:clientData/>
  </xdr:oneCellAnchor>
  <xdr:oneCellAnchor>
    <xdr:from>
      <xdr:col>733</xdr:col>
      <xdr:colOff>0</xdr:colOff>
      <xdr:row>28</xdr:row>
      <xdr:rowOff>0</xdr:rowOff>
    </xdr:from>
    <xdr:ext cx="5400000" cy="2700000"/>
    <xdr:graphicFrame macro="">
      <xdr:nvGraphicFramePr>
        <xdr:cNvPr id="63" name="Chart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xdr:graphicFrame>
    <xdr:clientData/>
  </xdr:oneCellAnchor>
  <xdr:oneCellAnchor>
    <xdr:from>
      <xdr:col>745</xdr:col>
      <xdr:colOff>0</xdr:colOff>
      <xdr:row>28</xdr:row>
      <xdr:rowOff>0</xdr:rowOff>
    </xdr:from>
    <xdr:ext cx="5400000" cy="2700000"/>
    <xdr:graphicFrame macro="">
      <xdr:nvGraphicFramePr>
        <xdr:cNvPr id="64" name="Chart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xdr:graphicFrame>
    <xdr:clientData/>
  </xdr:oneCellAnchor>
  <xdr:oneCellAnchor>
    <xdr:from>
      <xdr:col>757</xdr:col>
      <xdr:colOff>0</xdr:colOff>
      <xdr:row>28</xdr:row>
      <xdr:rowOff>0</xdr:rowOff>
    </xdr:from>
    <xdr:ext cx="5400000" cy="2700000"/>
    <xdr:graphicFrame macro="">
      <xdr:nvGraphicFramePr>
        <xdr:cNvPr id="65" name="Chart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xdr:graphicFrame>
    <xdr:clientData/>
  </xdr:oneCellAnchor>
  <xdr:oneCellAnchor>
    <xdr:from>
      <xdr:col>769</xdr:col>
      <xdr:colOff>0</xdr:colOff>
      <xdr:row>28</xdr:row>
      <xdr:rowOff>0</xdr:rowOff>
    </xdr:from>
    <xdr:ext cx="5400000" cy="2700000"/>
    <xdr:graphicFrame macro="">
      <xdr:nvGraphicFramePr>
        <xdr:cNvPr id="66" name="Chart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xdr:graphicFrame>
    <xdr:clientData/>
  </xdr:oneCellAnchor>
  <xdr:oneCellAnchor>
    <xdr:from>
      <xdr:col>781</xdr:col>
      <xdr:colOff>0</xdr:colOff>
      <xdr:row>28</xdr:row>
      <xdr:rowOff>0</xdr:rowOff>
    </xdr:from>
    <xdr:ext cx="5400000" cy="2700000"/>
    <xdr:graphicFrame macro="">
      <xdr:nvGraphicFramePr>
        <xdr:cNvPr id="67" name="Chart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xdr:graphicFrame>
    <xdr:clientData/>
  </xdr:oneCellAnchor>
  <xdr:oneCellAnchor>
    <xdr:from>
      <xdr:col>793</xdr:col>
      <xdr:colOff>0</xdr:colOff>
      <xdr:row>28</xdr:row>
      <xdr:rowOff>0</xdr:rowOff>
    </xdr:from>
    <xdr:ext cx="5400000" cy="2700000"/>
    <xdr:graphicFrame macro="">
      <xdr:nvGraphicFramePr>
        <xdr:cNvPr id="68" name="Chart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xdr:graphicFrame>
    <xdr:clientData/>
  </xdr:oneCellAnchor>
  <xdr:oneCellAnchor>
    <xdr:from>
      <xdr:col>805</xdr:col>
      <xdr:colOff>0</xdr:colOff>
      <xdr:row>28</xdr:row>
      <xdr:rowOff>0</xdr:rowOff>
    </xdr:from>
    <xdr:ext cx="5400000" cy="2700000"/>
    <xdr:graphicFrame macro="">
      <xdr:nvGraphicFramePr>
        <xdr:cNvPr id="69" name="Chart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xdr:graphicFrame>
    <xdr:clientData/>
  </xdr:oneCellAnchor>
  <xdr:oneCellAnchor>
    <xdr:from>
      <xdr:col>817</xdr:col>
      <xdr:colOff>0</xdr:colOff>
      <xdr:row>28</xdr:row>
      <xdr:rowOff>0</xdr:rowOff>
    </xdr:from>
    <xdr:ext cx="5400000" cy="2700000"/>
    <xdr:graphicFrame macro="">
      <xdr:nvGraphicFramePr>
        <xdr:cNvPr id="70" name="Chart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xdr:graphicFrame>
    <xdr:clientData/>
  </xdr:oneCellAnchor>
  <xdr:oneCellAnchor>
    <xdr:from>
      <xdr:col>829</xdr:col>
      <xdr:colOff>0</xdr:colOff>
      <xdr:row>28</xdr:row>
      <xdr:rowOff>0</xdr:rowOff>
    </xdr:from>
    <xdr:ext cx="5400000" cy="2700000"/>
    <xdr:graphicFrame macro="">
      <xdr:nvGraphicFramePr>
        <xdr:cNvPr id="71" name="Chart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xdr:graphicFrame>
    <xdr:clientData/>
  </xdr:oneCellAnchor>
  <xdr:oneCellAnchor>
    <xdr:from>
      <xdr:col>841</xdr:col>
      <xdr:colOff>0</xdr:colOff>
      <xdr:row>28</xdr:row>
      <xdr:rowOff>0</xdr:rowOff>
    </xdr:from>
    <xdr:ext cx="5400000" cy="2700000"/>
    <xdr:graphicFrame macro="">
      <xdr:nvGraphicFramePr>
        <xdr:cNvPr id="72" name="Chart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xdr:graphicFrame>
    <xdr:clientData/>
  </xdr:oneCellAnchor>
  <xdr:oneCellAnchor>
    <xdr:from>
      <xdr:col>853</xdr:col>
      <xdr:colOff>0</xdr:colOff>
      <xdr:row>28</xdr:row>
      <xdr:rowOff>0</xdr:rowOff>
    </xdr:from>
    <xdr:ext cx="5400000" cy="2700000"/>
    <xdr:graphicFrame macro="">
      <xdr:nvGraphicFramePr>
        <xdr:cNvPr id="73" name="Chart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xdr:graphicFrame>
    <xdr:clientData/>
  </xdr:oneCellAnchor>
  <xdr:oneCellAnchor>
    <xdr:from>
      <xdr:col>865</xdr:col>
      <xdr:colOff>0</xdr:colOff>
      <xdr:row>28</xdr:row>
      <xdr:rowOff>0</xdr:rowOff>
    </xdr:from>
    <xdr:ext cx="5400000" cy="2700000"/>
    <xdr:graphicFrame macro="">
      <xdr:nvGraphicFramePr>
        <xdr:cNvPr id="74" name="Chart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xdr:graphicFrame>
    <xdr:clientData/>
  </xdr:oneCellAnchor>
  <xdr:oneCellAnchor>
    <xdr:from>
      <xdr:col>877</xdr:col>
      <xdr:colOff>0</xdr:colOff>
      <xdr:row>28</xdr:row>
      <xdr:rowOff>0</xdr:rowOff>
    </xdr:from>
    <xdr:ext cx="5400000" cy="2700000"/>
    <xdr:graphicFrame macro="">
      <xdr:nvGraphicFramePr>
        <xdr:cNvPr id="75" name="Chart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xdr:graphicFrame>
    <xdr:clientData/>
  </xdr:oneCellAnchor>
  <xdr:oneCellAnchor>
    <xdr:from>
      <xdr:col>889</xdr:col>
      <xdr:colOff>0</xdr:colOff>
      <xdr:row>28</xdr:row>
      <xdr:rowOff>0</xdr:rowOff>
    </xdr:from>
    <xdr:ext cx="5400000" cy="2700000"/>
    <xdr:graphicFrame macro="">
      <xdr:nvGraphicFramePr>
        <xdr:cNvPr id="76" name="Chart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xdr:graphicFrame>
    <xdr:clientData/>
  </xdr:oneCellAnchor>
  <xdr:oneCellAnchor>
    <xdr:from>
      <xdr:col>901</xdr:col>
      <xdr:colOff>0</xdr:colOff>
      <xdr:row>28</xdr:row>
      <xdr:rowOff>0</xdr:rowOff>
    </xdr:from>
    <xdr:ext cx="5400000" cy="2700000"/>
    <xdr:graphicFrame macro="">
      <xdr:nvGraphicFramePr>
        <xdr:cNvPr id="77" name="Chart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xdr:graphicFrame>
    <xdr:clientData/>
  </xdr:oneCellAnchor>
  <xdr:oneCellAnchor>
    <xdr:from>
      <xdr:col>913</xdr:col>
      <xdr:colOff>0</xdr:colOff>
      <xdr:row>28</xdr:row>
      <xdr:rowOff>0</xdr:rowOff>
    </xdr:from>
    <xdr:ext cx="5400000" cy="2700000"/>
    <xdr:graphicFrame macro="">
      <xdr:nvGraphicFramePr>
        <xdr:cNvPr id="78" name="Chart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xdr:graphicFrame>
    <xdr:clientData/>
  </xdr:oneCellAnchor>
  <xdr:oneCellAnchor>
    <xdr:from>
      <xdr:col>925</xdr:col>
      <xdr:colOff>0</xdr:colOff>
      <xdr:row>28</xdr:row>
      <xdr:rowOff>0</xdr:rowOff>
    </xdr:from>
    <xdr:ext cx="5400000" cy="2700000"/>
    <xdr:graphicFrame macro="">
      <xdr:nvGraphicFramePr>
        <xdr:cNvPr id="79" name="Chart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xdr:graphicFrame>
    <xdr:clientData/>
  </xdr:oneCellAnchor>
  <xdr:oneCellAnchor>
    <xdr:from>
      <xdr:col>937</xdr:col>
      <xdr:colOff>0</xdr:colOff>
      <xdr:row>28</xdr:row>
      <xdr:rowOff>0</xdr:rowOff>
    </xdr:from>
    <xdr:ext cx="5400000" cy="2700000"/>
    <xdr:graphicFrame macro="">
      <xdr:nvGraphicFramePr>
        <xdr:cNvPr id="80" name="Chart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xdr:graphicFrame>
    <xdr:clientData/>
  </xdr:oneCellAnchor>
  <xdr:oneCellAnchor>
    <xdr:from>
      <xdr:col>949</xdr:col>
      <xdr:colOff>0</xdr:colOff>
      <xdr:row>28</xdr:row>
      <xdr:rowOff>0</xdr:rowOff>
    </xdr:from>
    <xdr:ext cx="5400000" cy="2700000"/>
    <xdr:graphicFrame macro="">
      <xdr:nvGraphicFramePr>
        <xdr:cNvPr id="81" name="Chart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xdr:graphicFrame>
    <xdr:clientData/>
  </xdr:oneCellAnchor>
  <xdr:oneCellAnchor>
    <xdr:from>
      <xdr:col>961</xdr:col>
      <xdr:colOff>0</xdr:colOff>
      <xdr:row>28</xdr:row>
      <xdr:rowOff>0</xdr:rowOff>
    </xdr:from>
    <xdr:ext cx="5400000" cy="2700000"/>
    <xdr:graphicFrame macro="">
      <xdr:nvGraphicFramePr>
        <xdr:cNvPr id="82" name="Chart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xdr:graphicFrame>
    <xdr:clientData/>
  </xdr:oneCellAnchor>
  <xdr:oneCellAnchor>
    <xdr:from>
      <xdr:col>973</xdr:col>
      <xdr:colOff>0</xdr:colOff>
      <xdr:row>28</xdr:row>
      <xdr:rowOff>0</xdr:rowOff>
    </xdr:from>
    <xdr:ext cx="5400000" cy="2700000"/>
    <xdr:graphicFrame macro="">
      <xdr:nvGraphicFramePr>
        <xdr:cNvPr id="83" name="Chart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2"/>
        </a:graphicData>
      </a:graphic>
    </xdr:graphicFrame>
    <xdr:clientData/>
  </xdr:oneCellAnchor>
  <xdr:oneCellAnchor>
    <xdr:from>
      <xdr:col>985</xdr:col>
      <xdr:colOff>0</xdr:colOff>
      <xdr:row>28</xdr:row>
      <xdr:rowOff>0</xdr:rowOff>
    </xdr:from>
    <xdr:ext cx="5400000" cy="2700000"/>
    <xdr:graphicFrame macro="">
      <xdr:nvGraphicFramePr>
        <xdr:cNvPr id="84" name="Chart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3"/>
        </a:graphicData>
      </a:graphic>
    </xdr:graphicFrame>
    <xdr:clientData/>
  </xdr:oneCellAnchor>
  <xdr:oneCellAnchor>
    <xdr:from>
      <xdr:col>997</xdr:col>
      <xdr:colOff>0</xdr:colOff>
      <xdr:row>28</xdr:row>
      <xdr:rowOff>0</xdr:rowOff>
    </xdr:from>
    <xdr:ext cx="5400000" cy="2700000"/>
    <xdr:graphicFrame macro="">
      <xdr:nvGraphicFramePr>
        <xdr:cNvPr id="85" name="Chart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4"/>
        </a:graphicData>
      </a:graphic>
    </xdr:graphicFrame>
    <xdr:clientData/>
  </xdr:oneCellAnchor>
  <xdr:oneCellAnchor>
    <xdr:from>
      <xdr:col>1009</xdr:col>
      <xdr:colOff>0</xdr:colOff>
      <xdr:row>28</xdr:row>
      <xdr:rowOff>0</xdr:rowOff>
    </xdr:from>
    <xdr:ext cx="5400000" cy="2700000"/>
    <xdr:graphicFrame macro="">
      <xdr:nvGraphicFramePr>
        <xdr:cNvPr id="86" name="Chart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5"/>
        </a:graphicData>
      </a:graphic>
    </xdr:graphicFrame>
    <xdr:clientData/>
  </xdr:oneCellAnchor>
  <xdr:oneCellAnchor>
    <xdr:from>
      <xdr:col>1021</xdr:col>
      <xdr:colOff>19050</xdr:colOff>
      <xdr:row>28</xdr:row>
      <xdr:rowOff>47625</xdr:rowOff>
    </xdr:from>
    <xdr:ext cx="5400000" cy="2700000"/>
    <xdr:graphicFrame macro="">
      <xdr:nvGraphicFramePr>
        <xdr:cNvPr id="87" name="Chart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6"/>
        </a:graphicData>
      </a:graphic>
    </xdr:graphicFrame>
    <xdr:clientData/>
  </xdr:oneCellAnchor>
  <xdr:twoCellAnchor>
    <xdr:from>
      <xdr:col>13</xdr:col>
      <xdr:colOff>314325</xdr:colOff>
      <xdr:row>43</xdr:row>
      <xdr:rowOff>176212</xdr:rowOff>
    </xdr:from>
    <xdr:to>
      <xdr:col>21</xdr:col>
      <xdr:colOff>9525</xdr:colOff>
      <xdr:row>58</xdr:row>
      <xdr:rowOff>61912</xdr:rowOff>
    </xdr:to>
    <xdr:graphicFrame macro="">
      <xdr:nvGraphicFramePr>
        <xdr:cNvPr id="88" name="Grafiek 87">
          <a:extLst>
            <a:ext uri="{FF2B5EF4-FFF2-40B4-BE49-F238E27FC236}">
              <a16:creationId xmlns:a16="http://schemas.microsoft.com/office/drawing/2014/main" id="{18ED1C2F-B185-76E0-9234-51275A72C2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7"/>
        </a:graphicData>
      </a:graphic>
    </xdr:graphicFrame>
    <xdr:clientData/>
  </xdr:twoCellAnchor>
  <xdr:oneCellAnchor>
    <xdr:from>
      <xdr:col>3</xdr:col>
      <xdr:colOff>333375</xdr:colOff>
      <xdr:row>54</xdr:row>
      <xdr:rowOff>28575</xdr:rowOff>
    </xdr:from>
    <xdr:ext cx="5400000" cy="2700000"/>
    <xdr:graphicFrame macro="">
      <xdr:nvGraphicFramePr>
        <xdr:cNvPr id="89" name="Chart 1">
          <a:extLst>
            <a:ext uri="{FF2B5EF4-FFF2-40B4-BE49-F238E27FC236}">
              <a16:creationId xmlns:a16="http://schemas.microsoft.com/office/drawing/2014/main" id="{8BB09D6E-2981-4169-86C0-22A2E7E5BF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8"/>
        </a:graphicData>
      </a:graphic>
    </xdr:graphicFrame>
    <xdr:clientData/>
  </xdr:oneCellAnchor>
  <xdr:oneCellAnchor>
    <xdr:from>
      <xdr:col>520</xdr:col>
      <xdr:colOff>0</xdr:colOff>
      <xdr:row>57</xdr:row>
      <xdr:rowOff>0</xdr:rowOff>
    </xdr:from>
    <xdr:ext cx="5400000" cy="2700000"/>
    <xdr:graphicFrame macro="">
      <xdr:nvGraphicFramePr>
        <xdr:cNvPr id="90" name="Chart 44">
          <a:extLst>
            <a:ext uri="{FF2B5EF4-FFF2-40B4-BE49-F238E27FC236}">
              <a16:creationId xmlns:a16="http://schemas.microsoft.com/office/drawing/2014/main" id="{7F9631A2-7216-4247-BEA3-7173C0FF61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9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S110"/>
  <sheetViews>
    <sheetView tabSelected="1" workbookViewId="0">
      <selection activeCell="L51" sqref="L51"/>
    </sheetView>
  </sheetViews>
  <sheetFormatPr defaultRowHeight="15" x14ac:dyDescent="0.25"/>
  <cols>
    <col min="2" max="2" width="13.5703125" bestFit="1" customWidth="1"/>
    <col min="3" max="5" width="13.140625" bestFit="1" customWidth="1"/>
    <col min="6" max="6" width="9.42578125" bestFit="1" customWidth="1"/>
  </cols>
  <sheetData>
    <row r="1" spans="1:1033" x14ac:dyDescent="0.25">
      <c r="B1" t="s">
        <v>0</v>
      </c>
      <c r="C1" t="s">
        <v>4340</v>
      </c>
      <c r="D1" t="s">
        <v>4341</v>
      </c>
      <c r="E1" t="str">
        <f>"Move time "&amp;F1</f>
        <v>Move time Boardposition</v>
      </c>
      <c r="F1" t="s">
        <v>4342</v>
      </c>
      <c r="H1" t="s">
        <v>0</v>
      </c>
      <c r="I1" t="s">
        <v>4340</v>
      </c>
      <c r="J1" t="s">
        <v>4341</v>
      </c>
      <c r="K1" t="str">
        <f>"Move time "&amp;L1</f>
        <v>Move time Greedy</v>
      </c>
      <c r="L1" t="s">
        <v>1</v>
      </c>
      <c r="N1" t="s">
        <v>0</v>
      </c>
      <c r="O1" t="s">
        <v>4340</v>
      </c>
      <c r="P1" t="s">
        <v>4341</v>
      </c>
      <c r="Q1" t="str">
        <f>"Move time "&amp;R1</f>
        <v>Move time Boardposition</v>
      </c>
      <c r="R1" t="s">
        <v>4342</v>
      </c>
      <c r="T1" t="s">
        <v>0</v>
      </c>
      <c r="U1" t="s">
        <v>4340</v>
      </c>
      <c r="V1" t="s">
        <v>4341</v>
      </c>
      <c r="W1" t="str">
        <f>"Move time "&amp;X1</f>
        <v>Move time Greedy</v>
      </c>
      <c r="X1" t="s">
        <v>1</v>
      </c>
      <c r="Z1" t="s">
        <v>0</v>
      </c>
      <c r="AA1" t="s">
        <v>4340</v>
      </c>
      <c r="AB1" t="s">
        <v>4341</v>
      </c>
      <c r="AC1" t="str">
        <f>"Move time "&amp;AD1</f>
        <v>Move time Boardposition</v>
      </c>
      <c r="AD1" t="s">
        <v>4342</v>
      </c>
      <c r="AF1" t="s">
        <v>0</v>
      </c>
      <c r="AG1" t="s">
        <v>4340</v>
      </c>
      <c r="AH1" t="s">
        <v>4341</v>
      </c>
      <c r="AI1" t="str">
        <f>"Move time "&amp;AJ1</f>
        <v>Move time Greedy</v>
      </c>
      <c r="AJ1" t="s">
        <v>1</v>
      </c>
      <c r="AL1" t="s">
        <v>0</v>
      </c>
      <c r="AM1" t="s">
        <v>4340</v>
      </c>
      <c r="AN1" t="s">
        <v>4341</v>
      </c>
      <c r="AO1" t="str">
        <f>"Move time "&amp;AP1</f>
        <v>Move time Boardposition</v>
      </c>
      <c r="AP1" t="s">
        <v>4342</v>
      </c>
      <c r="AR1" t="s">
        <v>0</v>
      </c>
      <c r="AS1" t="s">
        <v>4340</v>
      </c>
      <c r="AT1" t="s">
        <v>4341</v>
      </c>
      <c r="AU1" t="str">
        <f>"Move time "&amp;AV1</f>
        <v>Move time Greedy</v>
      </c>
      <c r="AV1" t="s">
        <v>1</v>
      </c>
      <c r="AX1" t="s">
        <v>0</v>
      </c>
      <c r="AY1" t="s">
        <v>4340</v>
      </c>
      <c r="AZ1" t="s">
        <v>4341</v>
      </c>
      <c r="BA1" t="str">
        <f>"Move time "&amp;BB1</f>
        <v>Move time Boardposition</v>
      </c>
      <c r="BB1" t="s">
        <v>4342</v>
      </c>
      <c r="BD1" t="s">
        <v>0</v>
      </c>
      <c r="BE1" t="s">
        <v>4340</v>
      </c>
      <c r="BF1" t="s">
        <v>4341</v>
      </c>
      <c r="BG1" t="str">
        <f>"Move time "&amp;BH1</f>
        <v>Move time Greedy</v>
      </c>
      <c r="BH1" t="s">
        <v>1</v>
      </c>
      <c r="BJ1" t="s">
        <v>0</v>
      </c>
      <c r="BK1" t="s">
        <v>4340</v>
      </c>
      <c r="BL1" t="s">
        <v>4341</v>
      </c>
      <c r="BM1" t="str">
        <f>"Move time "&amp;BN1</f>
        <v>Move time Boardposition</v>
      </c>
      <c r="BN1" t="s">
        <v>4342</v>
      </c>
      <c r="BP1" t="s">
        <v>0</v>
      </c>
      <c r="BQ1" t="s">
        <v>4340</v>
      </c>
      <c r="BR1" t="s">
        <v>4341</v>
      </c>
      <c r="BS1" t="str">
        <f>"Move time "&amp;BT1</f>
        <v>Move time Greedy</v>
      </c>
      <c r="BT1" t="s">
        <v>1</v>
      </c>
      <c r="BV1" t="s">
        <v>0</v>
      </c>
      <c r="BW1" t="s">
        <v>4340</v>
      </c>
      <c r="BX1" t="s">
        <v>4341</v>
      </c>
      <c r="BY1" t="str">
        <f>"Move time "&amp;BZ1</f>
        <v>Move time Boardposition</v>
      </c>
      <c r="BZ1" t="s">
        <v>4342</v>
      </c>
      <c r="CB1" t="s">
        <v>0</v>
      </c>
      <c r="CC1" t="s">
        <v>4340</v>
      </c>
      <c r="CD1" t="s">
        <v>4341</v>
      </c>
      <c r="CE1" t="str">
        <f>"Move time "&amp;CF1</f>
        <v>Move time Greedy</v>
      </c>
      <c r="CF1" t="s">
        <v>1</v>
      </c>
      <c r="CH1" t="s">
        <v>0</v>
      </c>
      <c r="CI1" t="s">
        <v>4340</v>
      </c>
      <c r="CJ1" t="s">
        <v>4341</v>
      </c>
      <c r="CK1" t="str">
        <f>"Move time "&amp;CL1</f>
        <v>Move time Boardposition</v>
      </c>
      <c r="CL1" t="s">
        <v>4342</v>
      </c>
      <c r="CN1" t="s">
        <v>0</v>
      </c>
      <c r="CO1" t="s">
        <v>4340</v>
      </c>
      <c r="CP1" t="s">
        <v>4341</v>
      </c>
      <c r="CQ1" t="str">
        <f>"Move time "&amp;CR1</f>
        <v>Move time Greedy</v>
      </c>
      <c r="CR1" t="s">
        <v>1</v>
      </c>
      <c r="CT1" t="s">
        <v>0</v>
      </c>
      <c r="CU1" t="s">
        <v>4340</v>
      </c>
      <c r="CV1" t="s">
        <v>4341</v>
      </c>
      <c r="CW1" t="str">
        <f>"Move time "&amp;CX1</f>
        <v>Move time Boardposition</v>
      </c>
      <c r="CX1" t="s">
        <v>4342</v>
      </c>
      <c r="CZ1" t="s">
        <v>0</v>
      </c>
      <c r="DA1" t="s">
        <v>4340</v>
      </c>
      <c r="DB1" t="s">
        <v>4341</v>
      </c>
      <c r="DC1" t="str">
        <f>"Move time "&amp;DD1</f>
        <v>Move time Greedy</v>
      </c>
      <c r="DD1" t="s">
        <v>1</v>
      </c>
      <c r="DF1" t="s">
        <v>0</v>
      </c>
      <c r="DG1" t="s">
        <v>4340</v>
      </c>
      <c r="DH1" t="s">
        <v>4341</v>
      </c>
      <c r="DI1" t="str">
        <f>"Move time "&amp;DJ1</f>
        <v>Move time Boardposition</v>
      </c>
      <c r="DJ1" t="s">
        <v>4342</v>
      </c>
      <c r="DL1" t="s">
        <v>0</v>
      </c>
      <c r="DM1" t="s">
        <v>4340</v>
      </c>
      <c r="DN1" t="s">
        <v>4341</v>
      </c>
      <c r="DO1" t="str">
        <f>"Move time "&amp;DP1</f>
        <v>Move time Greedy</v>
      </c>
      <c r="DP1" t="s">
        <v>1</v>
      </c>
      <c r="DR1" t="s">
        <v>0</v>
      </c>
      <c r="DS1" t="s">
        <v>4340</v>
      </c>
      <c r="DT1" t="s">
        <v>4341</v>
      </c>
      <c r="DU1" t="str">
        <f>"Move time "&amp;DV1</f>
        <v>Move time Boardposition</v>
      </c>
      <c r="DV1" t="s">
        <v>4342</v>
      </c>
      <c r="DX1" t="s">
        <v>0</v>
      </c>
      <c r="DY1" t="s">
        <v>4340</v>
      </c>
      <c r="DZ1" t="s">
        <v>4341</v>
      </c>
      <c r="EA1" t="str">
        <f>"Move time "&amp;EB1</f>
        <v>Move time Greedy</v>
      </c>
      <c r="EB1" t="s">
        <v>1</v>
      </c>
      <c r="ED1" t="s">
        <v>0</v>
      </c>
      <c r="EE1" t="s">
        <v>4340</v>
      </c>
      <c r="EF1" t="s">
        <v>4341</v>
      </c>
      <c r="EG1" t="str">
        <f>"Move time "&amp;EH1</f>
        <v>Move time Boardposition</v>
      </c>
      <c r="EH1" t="s">
        <v>4342</v>
      </c>
      <c r="EJ1" t="s">
        <v>0</v>
      </c>
      <c r="EK1" t="s">
        <v>4340</v>
      </c>
      <c r="EL1" t="s">
        <v>4341</v>
      </c>
      <c r="EM1" t="str">
        <f>"Move time "&amp;EN1</f>
        <v>Move time Greedy</v>
      </c>
      <c r="EN1" t="s">
        <v>1</v>
      </c>
      <c r="EP1" t="s">
        <v>0</v>
      </c>
      <c r="EQ1" t="s">
        <v>4340</v>
      </c>
      <c r="ER1" t="s">
        <v>4341</v>
      </c>
      <c r="ES1" t="str">
        <f>"Move time "&amp;ET1</f>
        <v>Move time Boardposition</v>
      </c>
      <c r="ET1" t="s">
        <v>4342</v>
      </c>
      <c r="EV1" t="s">
        <v>0</v>
      </c>
      <c r="EW1" t="s">
        <v>4340</v>
      </c>
      <c r="EX1" t="s">
        <v>4341</v>
      </c>
      <c r="EY1" t="str">
        <f>"Move time "&amp;EZ1</f>
        <v>Move time Greedy</v>
      </c>
      <c r="EZ1" t="s">
        <v>1</v>
      </c>
      <c r="FB1" t="s">
        <v>0</v>
      </c>
      <c r="FC1" t="s">
        <v>4340</v>
      </c>
      <c r="FD1" t="s">
        <v>4341</v>
      </c>
      <c r="FE1" t="str">
        <f>"Move time "&amp;FF1</f>
        <v>Move time Boardposition</v>
      </c>
      <c r="FF1" t="s">
        <v>4342</v>
      </c>
      <c r="FH1" t="s">
        <v>0</v>
      </c>
      <c r="FI1" t="s">
        <v>4340</v>
      </c>
      <c r="FJ1" t="s">
        <v>4341</v>
      </c>
      <c r="FK1" t="str">
        <f>"Move time "&amp;FL1</f>
        <v>Move time Greedy</v>
      </c>
      <c r="FL1" t="s">
        <v>1</v>
      </c>
      <c r="FN1" t="s">
        <v>0</v>
      </c>
      <c r="FO1" t="s">
        <v>4340</v>
      </c>
      <c r="FP1" t="s">
        <v>4341</v>
      </c>
      <c r="FQ1" t="str">
        <f>"Move time "&amp;FR1</f>
        <v>Move time Boardposition</v>
      </c>
      <c r="FR1" t="s">
        <v>4342</v>
      </c>
      <c r="FT1" t="s">
        <v>0</v>
      </c>
      <c r="FU1" t="s">
        <v>4340</v>
      </c>
      <c r="FV1" t="s">
        <v>4341</v>
      </c>
      <c r="FW1" t="str">
        <f>"Move time "&amp;FX1</f>
        <v>Move time Greedy</v>
      </c>
      <c r="FX1" t="s">
        <v>1</v>
      </c>
      <c r="FZ1" t="s">
        <v>0</v>
      </c>
      <c r="GA1" t="s">
        <v>4340</v>
      </c>
      <c r="GB1" t="s">
        <v>4341</v>
      </c>
      <c r="GC1" t="str">
        <f>"Move time "&amp;GD1</f>
        <v>Move time Boardposition</v>
      </c>
      <c r="GD1" t="s">
        <v>4342</v>
      </c>
      <c r="GF1" t="s">
        <v>0</v>
      </c>
      <c r="GG1" t="s">
        <v>4340</v>
      </c>
      <c r="GH1" t="s">
        <v>4341</v>
      </c>
      <c r="GI1" t="str">
        <f>"Move time "&amp;GJ1</f>
        <v>Move time Greedy</v>
      </c>
      <c r="GJ1" t="s">
        <v>1</v>
      </c>
      <c r="GL1" t="s">
        <v>0</v>
      </c>
      <c r="GM1" t="s">
        <v>4340</v>
      </c>
      <c r="GN1" t="s">
        <v>4341</v>
      </c>
      <c r="GO1" t="str">
        <f>"Move time "&amp;GP1</f>
        <v>Move time Boardposition</v>
      </c>
      <c r="GP1" t="s">
        <v>4342</v>
      </c>
      <c r="GR1" t="s">
        <v>0</v>
      </c>
      <c r="GS1" t="s">
        <v>4340</v>
      </c>
      <c r="GT1" t="s">
        <v>4341</v>
      </c>
      <c r="GU1" t="str">
        <f>"Move time "&amp;GV1</f>
        <v>Move time Greedy</v>
      </c>
      <c r="GV1" t="s">
        <v>1</v>
      </c>
      <c r="GX1" t="s">
        <v>0</v>
      </c>
      <c r="GY1" t="s">
        <v>4340</v>
      </c>
      <c r="GZ1" t="s">
        <v>4341</v>
      </c>
      <c r="HA1" t="str">
        <f>"Move time "&amp;HB1</f>
        <v>Move time Boardposition</v>
      </c>
      <c r="HB1" t="s">
        <v>4342</v>
      </c>
      <c r="HD1" t="s">
        <v>0</v>
      </c>
      <c r="HE1" t="s">
        <v>4340</v>
      </c>
      <c r="HF1" t="s">
        <v>4341</v>
      </c>
      <c r="HG1" t="str">
        <f>"Move time "&amp;HH1</f>
        <v>Move time Greedy</v>
      </c>
      <c r="HH1" t="s">
        <v>1</v>
      </c>
      <c r="HJ1" t="s">
        <v>0</v>
      </c>
      <c r="HK1" t="s">
        <v>4340</v>
      </c>
      <c r="HL1" t="s">
        <v>4341</v>
      </c>
      <c r="HM1" t="str">
        <f>"Move time "&amp;HN1</f>
        <v>Move time Boardposition</v>
      </c>
      <c r="HN1" t="s">
        <v>4342</v>
      </c>
      <c r="HP1" t="s">
        <v>0</v>
      </c>
      <c r="HQ1" t="s">
        <v>4340</v>
      </c>
      <c r="HR1" t="s">
        <v>4341</v>
      </c>
      <c r="HS1" t="str">
        <f>"Move time "&amp;HT1</f>
        <v>Move time Greedy</v>
      </c>
      <c r="HT1" t="s">
        <v>1</v>
      </c>
      <c r="HV1" t="s">
        <v>0</v>
      </c>
      <c r="HW1" t="s">
        <v>4340</v>
      </c>
      <c r="HX1" t="s">
        <v>4341</v>
      </c>
      <c r="HY1" t="str">
        <f>"Move time "&amp;HZ1</f>
        <v>Move time Boardposition</v>
      </c>
      <c r="HZ1" t="s">
        <v>4342</v>
      </c>
      <c r="IB1" t="s">
        <v>0</v>
      </c>
      <c r="IC1" t="s">
        <v>4340</v>
      </c>
      <c r="ID1" t="s">
        <v>4341</v>
      </c>
      <c r="IE1" t="str">
        <f>"Move time "&amp;IF1</f>
        <v>Move time Greedy</v>
      </c>
      <c r="IF1" t="s">
        <v>1</v>
      </c>
      <c r="IH1" t="s">
        <v>0</v>
      </c>
      <c r="II1" t="s">
        <v>4340</v>
      </c>
      <c r="IJ1" t="s">
        <v>4341</v>
      </c>
      <c r="IK1" t="str">
        <f>"Move time "&amp;IL1</f>
        <v>Move time Boardposition</v>
      </c>
      <c r="IL1" t="s">
        <v>4342</v>
      </c>
      <c r="IN1" t="s">
        <v>0</v>
      </c>
      <c r="IO1" t="s">
        <v>4340</v>
      </c>
      <c r="IP1" t="s">
        <v>4341</v>
      </c>
      <c r="IQ1" t="str">
        <f>"Move time "&amp;IR1</f>
        <v>Move time Greedy</v>
      </c>
      <c r="IR1" t="s">
        <v>1</v>
      </c>
      <c r="IT1" t="s">
        <v>0</v>
      </c>
      <c r="IU1" t="s">
        <v>4340</v>
      </c>
      <c r="IV1" t="s">
        <v>4341</v>
      </c>
      <c r="IW1" t="str">
        <f>"Move time "&amp;IX1</f>
        <v>Move time Boardposition</v>
      </c>
      <c r="IX1" t="s">
        <v>4342</v>
      </c>
      <c r="IZ1" t="s">
        <v>0</v>
      </c>
      <c r="JA1" t="s">
        <v>4340</v>
      </c>
      <c r="JB1" t="s">
        <v>4341</v>
      </c>
      <c r="JC1" t="str">
        <f>"Move time "&amp;JD1</f>
        <v>Move time Greedy</v>
      </c>
      <c r="JD1" t="s">
        <v>1</v>
      </c>
      <c r="JF1" t="s">
        <v>0</v>
      </c>
      <c r="JG1" t="s">
        <v>4340</v>
      </c>
      <c r="JH1" t="s">
        <v>4341</v>
      </c>
      <c r="JI1" t="str">
        <f>"Move time "&amp;JJ1</f>
        <v>Move time Boardposition</v>
      </c>
      <c r="JJ1" t="s">
        <v>4342</v>
      </c>
      <c r="JL1" t="s">
        <v>0</v>
      </c>
      <c r="JM1" t="s">
        <v>4340</v>
      </c>
      <c r="JN1" t="s">
        <v>4341</v>
      </c>
      <c r="JO1" t="str">
        <f>"Move time "&amp;JP1</f>
        <v>Move time Greedy</v>
      </c>
      <c r="JP1" t="s">
        <v>1</v>
      </c>
      <c r="JR1" t="s">
        <v>0</v>
      </c>
      <c r="JS1" t="s">
        <v>4340</v>
      </c>
      <c r="JT1" t="s">
        <v>4341</v>
      </c>
      <c r="JU1" t="str">
        <f>"Move time "&amp;JV1</f>
        <v>Move time Boardposition</v>
      </c>
      <c r="JV1" t="s">
        <v>4342</v>
      </c>
      <c r="JX1" t="s">
        <v>0</v>
      </c>
      <c r="JY1" t="s">
        <v>4340</v>
      </c>
      <c r="JZ1" t="s">
        <v>4341</v>
      </c>
      <c r="KA1" t="str">
        <f>"Move time "&amp;KB1</f>
        <v>Move time Greedy</v>
      </c>
      <c r="KB1" t="s">
        <v>1</v>
      </c>
      <c r="KD1" t="s">
        <v>0</v>
      </c>
      <c r="KE1" t="s">
        <v>4340</v>
      </c>
      <c r="KF1" t="s">
        <v>4341</v>
      </c>
      <c r="KG1" t="str">
        <f>"Move time "&amp;KH1</f>
        <v>Move time Boardposition</v>
      </c>
      <c r="KH1" t="s">
        <v>4342</v>
      </c>
      <c r="KJ1" t="s">
        <v>0</v>
      </c>
      <c r="KK1" t="s">
        <v>4340</v>
      </c>
      <c r="KL1" t="s">
        <v>4341</v>
      </c>
      <c r="KM1" t="str">
        <f>"Move time "&amp;KN1</f>
        <v>Move time Greedy</v>
      </c>
      <c r="KN1" t="s">
        <v>1</v>
      </c>
      <c r="KP1" t="s">
        <v>0</v>
      </c>
      <c r="KQ1" t="s">
        <v>4340</v>
      </c>
      <c r="KR1" t="s">
        <v>4341</v>
      </c>
      <c r="KS1" t="str">
        <f>"Move time "&amp;KT1</f>
        <v>Move time Boardposition</v>
      </c>
      <c r="KT1" t="s">
        <v>4342</v>
      </c>
      <c r="KV1" t="s">
        <v>0</v>
      </c>
      <c r="KW1" t="s">
        <v>4340</v>
      </c>
      <c r="KX1" t="s">
        <v>4341</v>
      </c>
      <c r="KY1" t="str">
        <f>"Move time "&amp;KZ1</f>
        <v>Move time Greedy</v>
      </c>
      <c r="KZ1" t="s">
        <v>1</v>
      </c>
      <c r="LB1" t="s">
        <v>0</v>
      </c>
      <c r="LC1" t="s">
        <v>4340</v>
      </c>
      <c r="LD1" t="s">
        <v>4341</v>
      </c>
      <c r="LE1" t="str">
        <f>"Move time "&amp;LF1</f>
        <v>Move time Boardposition</v>
      </c>
      <c r="LF1" t="s">
        <v>4342</v>
      </c>
      <c r="LH1" t="s">
        <v>0</v>
      </c>
      <c r="LI1" t="s">
        <v>4340</v>
      </c>
      <c r="LJ1" t="s">
        <v>4341</v>
      </c>
      <c r="LK1" t="str">
        <f>"Move time "&amp;LL1</f>
        <v>Move time Greedy</v>
      </c>
      <c r="LL1" t="s">
        <v>1</v>
      </c>
      <c r="LN1" t="s">
        <v>0</v>
      </c>
      <c r="LO1" t="s">
        <v>4340</v>
      </c>
      <c r="LP1" t="s">
        <v>4341</v>
      </c>
      <c r="LQ1" t="str">
        <f>"Move time "&amp;LR1</f>
        <v>Move time Boardposition</v>
      </c>
      <c r="LR1" t="s">
        <v>4342</v>
      </c>
      <c r="LT1" t="s">
        <v>0</v>
      </c>
      <c r="LU1" t="s">
        <v>4340</v>
      </c>
      <c r="LV1" t="s">
        <v>4341</v>
      </c>
      <c r="LW1" t="str">
        <f>"Move time "&amp;LX1</f>
        <v>Move time Greedy</v>
      </c>
      <c r="LX1" t="s">
        <v>1</v>
      </c>
      <c r="LZ1" t="s">
        <v>0</v>
      </c>
      <c r="MA1" t="s">
        <v>4340</v>
      </c>
      <c r="MB1" t="s">
        <v>4341</v>
      </c>
      <c r="MC1" t="str">
        <f>"Move time "&amp;MD1</f>
        <v>Move time Boardposition</v>
      </c>
      <c r="MD1" t="s">
        <v>4342</v>
      </c>
      <c r="MF1" t="s">
        <v>0</v>
      </c>
      <c r="MG1" t="s">
        <v>4340</v>
      </c>
      <c r="MH1" t="s">
        <v>4341</v>
      </c>
      <c r="MI1" t="str">
        <f>"Move time "&amp;MJ1</f>
        <v>Move time Greedy</v>
      </c>
      <c r="MJ1" t="s">
        <v>1</v>
      </c>
      <c r="ML1" t="s">
        <v>0</v>
      </c>
      <c r="MM1" t="s">
        <v>4340</v>
      </c>
      <c r="MN1" t="s">
        <v>4341</v>
      </c>
      <c r="MO1" t="str">
        <f>"Move time "&amp;MP1</f>
        <v>Move time Boardposition</v>
      </c>
      <c r="MP1" t="s">
        <v>4342</v>
      </c>
      <c r="MR1" t="s">
        <v>0</v>
      </c>
      <c r="MS1" t="s">
        <v>4340</v>
      </c>
      <c r="MT1" t="s">
        <v>4341</v>
      </c>
      <c r="MU1" t="str">
        <f>"Move time "&amp;MV1</f>
        <v>Move time Greedy</v>
      </c>
      <c r="MV1" t="s">
        <v>1</v>
      </c>
      <c r="MX1" t="s">
        <v>0</v>
      </c>
      <c r="MY1" t="s">
        <v>4340</v>
      </c>
      <c r="MZ1" t="s">
        <v>4341</v>
      </c>
      <c r="NA1" t="str">
        <f>"Move time "&amp;NB1</f>
        <v>Move time Boardposition</v>
      </c>
      <c r="NB1" t="s">
        <v>4342</v>
      </c>
      <c r="ND1" t="s">
        <v>0</v>
      </c>
      <c r="NE1" t="s">
        <v>4340</v>
      </c>
      <c r="NF1" t="s">
        <v>4341</v>
      </c>
      <c r="NG1" t="str">
        <f>"Move time "&amp;NH1</f>
        <v>Move time Greedy</v>
      </c>
      <c r="NH1" t="s">
        <v>1</v>
      </c>
      <c r="NJ1" t="s">
        <v>0</v>
      </c>
      <c r="NK1" t="s">
        <v>4340</v>
      </c>
      <c r="NL1" t="s">
        <v>4341</v>
      </c>
      <c r="NM1" t="str">
        <f>"Move time "&amp;NN1</f>
        <v>Move time Boardposition</v>
      </c>
      <c r="NN1" t="s">
        <v>4342</v>
      </c>
      <c r="NP1" t="s">
        <v>0</v>
      </c>
      <c r="NQ1" t="s">
        <v>4340</v>
      </c>
      <c r="NR1" t="s">
        <v>4341</v>
      </c>
      <c r="NS1" t="str">
        <f>"Move time "&amp;NT1</f>
        <v>Move time Greedy</v>
      </c>
      <c r="NT1" t="s">
        <v>1</v>
      </c>
      <c r="NV1" t="s">
        <v>0</v>
      </c>
      <c r="NW1" t="s">
        <v>4340</v>
      </c>
      <c r="NX1" t="s">
        <v>4341</v>
      </c>
      <c r="NY1" t="str">
        <f>"Move time "&amp;NZ1</f>
        <v>Move time Boardposition</v>
      </c>
      <c r="NZ1" t="s">
        <v>4342</v>
      </c>
      <c r="OB1" t="s">
        <v>0</v>
      </c>
      <c r="OC1" t="s">
        <v>4340</v>
      </c>
      <c r="OD1" t="s">
        <v>4341</v>
      </c>
      <c r="OE1" t="str">
        <f>"Move time "&amp;OF1</f>
        <v>Move time Greedy</v>
      </c>
      <c r="OF1" t="s">
        <v>1</v>
      </c>
      <c r="OH1" t="s">
        <v>0</v>
      </c>
      <c r="OI1" t="s">
        <v>4340</v>
      </c>
      <c r="OJ1" t="s">
        <v>4341</v>
      </c>
      <c r="OK1" t="str">
        <f>"Move time "&amp;OL1</f>
        <v>Move time Boardposition</v>
      </c>
      <c r="OL1" t="s">
        <v>4342</v>
      </c>
      <c r="ON1" t="s">
        <v>0</v>
      </c>
      <c r="OO1" t="s">
        <v>4340</v>
      </c>
      <c r="OP1" t="s">
        <v>4341</v>
      </c>
      <c r="OQ1" t="str">
        <f>"Move time "&amp;OR1</f>
        <v>Move time Greedy</v>
      </c>
      <c r="OR1" t="s">
        <v>1</v>
      </c>
      <c r="OT1" t="s">
        <v>0</v>
      </c>
      <c r="OU1" t="s">
        <v>4340</v>
      </c>
      <c r="OV1" t="s">
        <v>4341</v>
      </c>
      <c r="OW1" t="str">
        <f>"Move time "&amp;OX1</f>
        <v>Move time Boardposition</v>
      </c>
      <c r="OX1" t="s">
        <v>4342</v>
      </c>
      <c r="OZ1" t="s">
        <v>0</v>
      </c>
      <c r="PA1" t="s">
        <v>4340</v>
      </c>
      <c r="PB1" t="s">
        <v>4341</v>
      </c>
      <c r="PC1" t="str">
        <f>"Move time "&amp;PD1</f>
        <v>Move time Greedy</v>
      </c>
      <c r="PD1" t="s">
        <v>1</v>
      </c>
      <c r="PF1" t="s">
        <v>0</v>
      </c>
      <c r="PG1" t="s">
        <v>4340</v>
      </c>
      <c r="PH1" t="s">
        <v>4341</v>
      </c>
      <c r="PI1" t="str">
        <f>"Move time "&amp;PJ1</f>
        <v>Move time Boardposition</v>
      </c>
      <c r="PJ1" t="s">
        <v>4342</v>
      </c>
      <c r="PL1" t="s">
        <v>0</v>
      </c>
      <c r="PM1" t="s">
        <v>4340</v>
      </c>
      <c r="PN1" t="s">
        <v>4341</v>
      </c>
      <c r="PO1" t="str">
        <f>"Move time "&amp;PP1</f>
        <v>Move time Greedy</v>
      </c>
      <c r="PP1" t="s">
        <v>1</v>
      </c>
      <c r="PR1" t="s">
        <v>0</v>
      </c>
      <c r="PS1" t="s">
        <v>4340</v>
      </c>
      <c r="PT1" t="s">
        <v>4341</v>
      </c>
      <c r="PU1" t="str">
        <f>"Move time "&amp;PV1</f>
        <v>Move time Boardposition</v>
      </c>
      <c r="PV1" t="s">
        <v>4342</v>
      </c>
      <c r="PX1" t="s">
        <v>0</v>
      </c>
      <c r="PY1" t="s">
        <v>4340</v>
      </c>
      <c r="PZ1" t="s">
        <v>4341</v>
      </c>
      <c r="QA1" t="str">
        <f>"Move time "&amp;QB1</f>
        <v>Move time Greedy</v>
      </c>
      <c r="QB1" t="s">
        <v>1</v>
      </c>
      <c r="QD1" t="s">
        <v>0</v>
      </c>
      <c r="QE1" t="s">
        <v>4340</v>
      </c>
      <c r="QF1" t="s">
        <v>4341</v>
      </c>
      <c r="QG1" t="str">
        <f>"Move time "&amp;QH1</f>
        <v>Move time Boardposition</v>
      </c>
      <c r="QH1" t="s">
        <v>4342</v>
      </c>
      <c r="QJ1" t="s">
        <v>0</v>
      </c>
      <c r="QK1" t="s">
        <v>4340</v>
      </c>
      <c r="QL1" t="s">
        <v>4341</v>
      </c>
      <c r="QM1" t="str">
        <f>"Move time "&amp;QN1</f>
        <v>Move time Greedy</v>
      </c>
      <c r="QN1" t="s">
        <v>1</v>
      </c>
      <c r="QP1" t="s">
        <v>0</v>
      </c>
      <c r="QQ1" t="s">
        <v>4340</v>
      </c>
      <c r="QR1" t="s">
        <v>4341</v>
      </c>
      <c r="QS1" t="str">
        <f>"Move time "&amp;QT1</f>
        <v>Move time Boardposition</v>
      </c>
      <c r="QT1" t="s">
        <v>4342</v>
      </c>
      <c r="QV1" t="s">
        <v>0</v>
      </c>
      <c r="QW1" t="s">
        <v>4340</v>
      </c>
      <c r="QX1" t="s">
        <v>4341</v>
      </c>
      <c r="QY1" t="str">
        <f>"Move time "&amp;QZ1</f>
        <v>Move time Greedy</v>
      </c>
      <c r="QZ1" t="s">
        <v>1</v>
      </c>
      <c r="RB1" t="s">
        <v>0</v>
      </c>
      <c r="RC1" t="s">
        <v>4340</v>
      </c>
      <c r="RD1" t="s">
        <v>4341</v>
      </c>
      <c r="RE1" t="str">
        <f>"Move time "&amp;RF1</f>
        <v>Move time Boardposition</v>
      </c>
      <c r="RF1" t="s">
        <v>4342</v>
      </c>
      <c r="RH1" t="s">
        <v>0</v>
      </c>
      <c r="RI1" t="s">
        <v>4340</v>
      </c>
      <c r="RJ1" t="s">
        <v>4341</v>
      </c>
      <c r="RK1" t="str">
        <f>"Move time "&amp;RL1</f>
        <v>Move time Greedy</v>
      </c>
      <c r="RL1" t="s">
        <v>1</v>
      </c>
      <c r="RN1" t="s">
        <v>0</v>
      </c>
      <c r="RO1" t="s">
        <v>4340</v>
      </c>
      <c r="RP1" t="s">
        <v>4341</v>
      </c>
      <c r="RQ1" t="str">
        <f>"Move time "&amp;RR1</f>
        <v>Move time Boardposition</v>
      </c>
      <c r="RR1" t="s">
        <v>4342</v>
      </c>
      <c r="RT1" t="s">
        <v>0</v>
      </c>
      <c r="RU1" t="s">
        <v>4340</v>
      </c>
      <c r="RV1" t="s">
        <v>4341</v>
      </c>
      <c r="RW1" t="str">
        <f>"Move time "&amp;RX1</f>
        <v>Move time Greedy</v>
      </c>
      <c r="RX1" t="s">
        <v>1</v>
      </c>
      <c r="RZ1" t="s">
        <v>0</v>
      </c>
      <c r="SA1" t="s">
        <v>4340</v>
      </c>
      <c r="SB1" t="s">
        <v>4341</v>
      </c>
      <c r="SC1" t="str">
        <f>"Move time "&amp;SD1</f>
        <v>Move time Boardposition</v>
      </c>
      <c r="SD1" t="s">
        <v>4342</v>
      </c>
      <c r="SF1" t="s">
        <v>0</v>
      </c>
      <c r="SG1" t="s">
        <v>4340</v>
      </c>
      <c r="SH1" t="s">
        <v>4341</v>
      </c>
      <c r="SI1" t="str">
        <f>"Move time "&amp;SJ1</f>
        <v>Move time Greedy</v>
      </c>
      <c r="SJ1" t="s">
        <v>1</v>
      </c>
      <c r="SL1" t="s">
        <v>0</v>
      </c>
      <c r="SM1" t="s">
        <v>4340</v>
      </c>
      <c r="SN1" t="s">
        <v>4341</v>
      </c>
      <c r="SO1" t="str">
        <f>"Move time "&amp;SP1</f>
        <v>Move time Boardposition</v>
      </c>
      <c r="SP1" t="s">
        <v>4342</v>
      </c>
      <c r="SR1" t="s">
        <v>0</v>
      </c>
      <c r="SS1" t="s">
        <v>4340</v>
      </c>
      <c r="ST1" t="s">
        <v>4341</v>
      </c>
      <c r="SU1" t="str">
        <f>"Move time "&amp;SV1</f>
        <v>Move time Greedy</v>
      </c>
      <c r="SV1" t="s">
        <v>1</v>
      </c>
      <c r="SX1" t="s">
        <v>0</v>
      </c>
      <c r="SY1" t="s">
        <v>4340</v>
      </c>
      <c r="SZ1" t="s">
        <v>4341</v>
      </c>
      <c r="TA1" t="str">
        <f>"Move time "&amp;TB1</f>
        <v>Move time Greedy</v>
      </c>
      <c r="TB1" t="s">
        <v>1</v>
      </c>
      <c r="TD1" t="s">
        <v>0</v>
      </c>
      <c r="TE1" t="s">
        <v>4340</v>
      </c>
      <c r="TF1" t="s">
        <v>4341</v>
      </c>
      <c r="TG1" t="str">
        <f>"Move time "&amp;TH1</f>
        <v>Move time Boardposition</v>
      </c>
      <c r="TH1" t="s">
        <v>4342</v>
      </c>
      <c r="TJ1" t="s">
        <v>0</v>
      </c>
      <c r="TK1" t="s">
        <v>4340</v>
      </c>
      <c r="TL1" t="s">
        <v>4341</v>
      </c>
      <c r="TM1" t="str">
        <f>"Move time "&amp;TN1</f>
        <v>Move time Greedy</v>
      </c>
      <c r="TN1" t="s">
        <v>1</v>
      </c>
      <c r="TP1" t="s">
        <v>0</v>
      </c>
      <c r="TQ1" t="s">
        <v>4340</v>
      </c>
      <c r="TR1" t="s">
        <v>4341</v>
      </c>
      <c r="TS1" t="str">
        <f>"Move time "&amp;TT1</f>
        <v>Move time Boardposition</v>
      </c>
      <c r="TT1" t="s">
        <v>4342</v>
      </c>
      <c r="TV1" t="s">
        <v>0</v>
      </c>
      <c r="TW1" t="s">
        <v>4340</v>
      </c>
      <c r="TX1" t="s">
        <v>4341</v>
      </c>
      <c r="TY1" t="str">
        <f>"Move time "&amp;TZ1</f>
        <v>Move time Greedy</v>
      </c>
      <c r="TZ1" t="s">
        <v>1</v>
      </c>
      <c r="UB1" t="s">
        <v>0</v>
      </c>
      <c r="UC1" t="s">
        <v>4340</v>
      </c>
      <c r="UD1" t="s">
        <v>4341</v>
      </c>
      <c r="UE1" t="str">
        <f>"Move time "&amp;UF1</f>
        <v>Move time Boardposition</v>
      </c>
      <c r="UF1" t="s">
        <v>4342</v>
      </c>
      <c r="UH1" t="s">
        <v>0</v>
      </c>
      <c r="UI1" t="s">
        <v>4340</v>
      </c>
      <c r="UJ1" t="s">
        <v>4341</v>
      </c>
      <c r="UK1" t="str">
        <f>"Move time "&amp;UL1</f>
        <v>Move time Greedy</v>
      </c>
      <c r="UL1" t="s">
        <v>1</v>
      </c>
      <c r="UN1" t="s">
        <v>0</v>
      </c>
      <c r="UO1" t="s">
        <v>4340</v>
      </c>
      <c r="UP1" t="s">
        <v>4341</v>
      </c>
      <c r="UQ1" t="str">
        <f>"Move time "&amp;UR1</f>
        <v>Move time Boardposition</v>
      </c>
      <c r="UR1" t="s">
        <v>4342</v>
      </c>
      <c r="UT1" t="s">
        <v>0</v>
      </c>
      <c r="UU1" t="s">
        <v>4340</v>
      </c>
      <c r="UV1" t="s">
        <v>4341</v>
      </c>
      <c r="UW1" t="str">
        <f>"Move time "&amp;UX1</f>
        <v>Move time Greedy</v>
      </c>
      <c r="UX1" t="s">
        <v>1</v>
      </c>
      <c r="UZ1" t="s">
        <v>0</v>
      </c>
      <c r="VA1" t="s">
        <v>4340</v>
      </c>
      <c r="VB1" t="s">
        <v>4341</v>
      </c>
      <c r="VC1" t="str">
        <f>"Move time "&amp;VD1</f>
        <v>Move time Boardposition</v>
      </c>
      <c r="VD1" t="s">
        <v>4342</v>
      </c>
      <c r="VF1" t="s">
        <v>0</v>
      </c>
      <c r="VG1" t="s">
        <v>4340</v>
      </c>
      <c r="VH1" t="s">
        <v>4341</v>
      </c>
      <c r="VI1" t="str">
        <f>"Move time "&amp;VJ1</f>
        <v>Move time Greedy</v>
      </c>
      <c r="VJ1" t="s">
        <v>1</v>
      </c>
      <c r="VL1" t="s">
        <v>0</v>
      </c>
      <c r="VM1" t="s">
        <v>4340</v>
      </c>
      <c r="VN1" t="s">
        <v>4341</v>
      </c>
      <c r="VO1" t="str">
        <f>"Move time "&amp;VP1</f>
        <v>Move time Boardposition</v>
      </c>
      <c r="VP1" t="s">
        <v>4342</v>
      </c>
      <c r="VR1" t="s">
        <v>0</v>
      </c>
      <c r="VS1" t="s">
        <v>4340</v>
      </c>
      <c r="VT1" t="s">
        <v>4341</v>
      </c>
      <c r="VU1" t="str">
        <f>"Move time "&amp;VV1</f>
        <v>Move time Greedy</v>
      </c>
      <c r="VV1" t="s">
        <v>1</v>
      </c>
      <c r="VX1" t="s">
        <v>0</v>
      </c>
      <c r="VY1" t="s">
        <v>4340</v>
      </c>
      <c r="VZ1" t="s">
        <v>4341</v>
      </c>
      <c r="WA1" t="str">
        <f>"Move time "&amp;WB1</f>
        <v>Move time Boardposition</v>
      </c>
      <c r="WB1" t="s">
        <v>4342</v>
      </c>
      <c r="WD1" t="s">
        <v>0</v>
      </c>
      <c r="WE1" t="s">
        <v>4340</v>
      </c>
      <c r="WF1" t="s">
        <v>4341</v>
      </c>
      <c r="WG1" t="str">
        <f>"Move time "&amp;WH1</f>
        <v>Move time Greedy</v>
      </c>
      <c r="WH1" t="s">
        <v>1</v>
      </c>
      <c r="WJ1" t="s">
        <v>0</v>
      </c>
      <c r="WK1" t="s">
        <v>4340</v>
      </c>
      <c r="WL1" t="s">
        <v>4341</v>
      </c>
      <c r="WM1" t="str">
        <f>"Move time "&amp;WN1</f>
        <v>Move time Boardposition</v>
      </c>
      <c r="WN1" t="s">
        <v>4342</v>
      </c>
      <c r="WP1" t="s">
        <v>0</v>
      </c>
      <c r="WQ1" t="s">
        <v>4340</v>
      </c>
      <c r="WR1" t="s">
        <v>4341</v>
      </c>
      <c r="WS1" t="str">
        <f>"Move time "&amp;WT1</f>
        <v>Move time Greedy</v>
      </c>
      <c r="WT1" t="s">
        <v>1</v>
      </c>
      <c r="WV1" t="s">
        <v>0</v>
      </c>
      <c r="WW1" t="s">
        <v>4340</v>
      </c>
      <c r="WX1" t="s">
        <v>4341</v>
      </c>
      <c r="WY1" t="str">
        <f>"Move time "&amp;WZ1</f>
        <v>Move time Boardposition</v>
      </c>
      <c r="WZ1" t="s">
        <v>4342</v>
      </c>
      <c r="XB1" t="s">
        <v>0</v>
      </c>
      <c r="XC1" t="s">
        <v>4340</v>
      </c>
      <c r="XD1" t="s">
        <v>4341</v>
      </c>
      <c r="XE1" t="str">
        <f>"Move time "&amp;XF1</f>
        <v>Move time Greedy</v>
      </c>
      <c r="XF1" t="s">
        <v>1</v>
      </c>
      <c r="XH1" t="s">
        <v>0</v>
      </c>
      <c r="XI1" t="s">
        <v>4340</v>
      </c>
      <c r="XJ1" t="s">
        <v>4341</v>
      </c>
      <c r="XK1" t="str">
        <f>"Move time "&amp;XL1</f>
        <v>Move time Boardposition</v>
      </c>
      <c r="XL1" t="s">
        <v>4342</v>
      </c>
      <c r="XN1" t="s">
        <v>0</v>
      </c>
      <c r="XO1" t="s">
        <v>4340</v>
      </c>
      <c r="XP1" t="s">
        <v>4341</v>
      </c>
      <c r="XQ1" t="str">
        <f>"Move time "&amp;XR1</f>
        <v>Move time Greedy</v>
      </c>
      <c r="XR1" t="s">
        <v>1</v>
      </c>
      <c r="XT1" t="s">
        <v>0</v>
      </c>
      <c r="XU1" t="s">
        <v>4340</v>
      </c>
      <c r="XV1" t="s">
        <v>4341</v>
      </c>
      <c r="XW1" t="str">
        <f>"Move time "&amp;XX1</f>
        <v>Move time Boardposition</v>
      </c>
      <c r="XX1" t="s">
        <v>4342</v>
      </c>
      <c r="XZ1" t="s">
        <v>0</v>
      </c>
      <c r="YA1" t="s">
        <v>4340</v>
      </c>
      <c r="YB1" t="s">
        <v>4341</v>
      </c>
      <c r="YC1" t="str">
        <f>"Move time "&amp;YD1</f>
        <v>Move time Greedy</v>
      </c>
      <c r="YD1" t="s">
        <v>1</v>
      </c>
      <c r="YF1" t="s">
        <v>0</v>
      </c>
      <c r="YG1" t="s">
        <v>4340</v>
      </c>
      <c r="YH1" t="s">
        <v>4341</v>
      </c>
      <c r="YI1" t="str">
        <f>"Move time "&amp;YJ1</f>
        <v>Move time Boardposition</v>
      </c>
      <c r="YJ1" t="s">
        <v>4342</v>
      </c>
      <c r="YL1" t="s">
        <v>0</v>
      </c>
      <c r="YM1" t="s">
        <v>4340</v>
      </c>
      <c r="YN1" t="s">
        <v>4341</v>
      </c>
      <c r="YO1" t="str">
        <f>"Move time "&amp;YP1</f>
        <v>Move time Greedy</v>
      </c>
      <c r="YP1" t="s">
        <v>1</v>
      </c>
      <c r="YR1" t="s">
        <v>0</v>
      </c>
      <c r="YS1" t="s">
        <v>4340</v>
      </c>
      <c r="YT1" t="s">
        <v>4341</v>
      </c>
      <c r="YU1" t="str">
        <f>"Move time "&amp;YV1</f>
        <v>Move time Boardposition</v>
      </c>
      <c r="YV1" t="s">
        <v>4342</v>
      </c>
      <c r="YX1" t="s">
        <v>0</v>
      </c>
      <c r="YY1" t="s">
        <v>4340</v>
      </c>
      <c r="YZ1" t="s">
        <v>4341</v>
      </c>
      <c r="ZA1" t="str">
        <f>"Move time "&amp;ZB1</f>
        <v>Move time Greedy</v>
      </c>
      <c r="ZB1" t="s">
        <v>1</v>
      </c>
      <c r="ZD1" t="s">
        <v>0</v>
      </c>
      <c r="ZE1" t="s">
        <v>4340</v>
      </c>
      <c r="ZF1" t="s">
        <v>4341</v>
      </c>
      <c r="ZG1" t="str">
        <f>"Move time "&amp;ZH1</f>
        <v>Move time Boardposition</v>
      </c>
      <c r="ZH1" t="s">
        <v>4342</v>
      </c>
      <c r="ZJ1" t="s">
        <v>0</v>
      </c>
      <c r="ZK1" t="s">
        <v>4340</v>
      </c>
      <c r="ZL1" t="s">
        <v>4341</v>
      </c>
      <c r="ZM1" t="str">
        <f>"Move time "&amp;ZN1</f>
        <v>Move time Greedy</v>
      </c>
      <c r="ZN1" t="s">
        <v>1</v>
      </c>
      <c r="ZP1" t="s">
        <v>0</v>
      </c>
      <c r="ZQ1" t="s">
        <v>4340</v>
      </c>
      <c r="ZR1" t="s">
        <v>4341</v>
      </c>
      <c r="ZS1" t="str">
        <f>"Move time "&amp;ZT1</f>
        <v>Move time Boardposition</v>
      </c>
      <c r="ZT1" t="s">
        <v>4342</v>
      </c>
      <c r="ZV1" t="s">
        <v>0</v>
      </c>
      <c r="ZW1" t="s">
        <v>4340</v>
      </c>
      <c r="ZX1" t="s">
        <v>4341</v>
      </c>
      <c r="ZY1" t="str">
        <f>"Move time "&amp;ZZ1</f>
        <v>Move time Greedy</v>
      </c>
      <c r="ZZ1" t="s">
        <v>1</v>
      </c>
      <c r="AAB1" t="s">
        <v>0</v>
      </c>
      <c r="AAC1" t="s">
        <v>4340</v>
      </c>
      <c r="AAD1" t="s">
        <v>4341</v>
      </c>
      <c r="AAE1" t="str">
        <f>"Move time "&amp;AAF1</f>
        <v>Move time Boardposition</v>
      </c>
      <c r="AAF1" t="s">
        <v>4342</v>
      </c>
      <c r="AAH1" t="s">
        <v>0</v>
      </c>
      <c r="AAI1" t="s">
        <v>4340</v>
      </c>
      <c r="AAJ1" t="s">
        <v>4341</v>
      </c>
      <c r="AAK1" t="str">
        <f>"Move time "&amp;AAL1</f>
        <v>Move time Greedy</v>
      </c>
      <c r="AAL1" t="s">
        <v>1</v>
      </c>
      <c r="AAN1" t="s">
        <v>0</v>
      </c>
      <c r="AAO1" t="s">
        <v>4340</v>
      </c>
      <c r="AAP1" t="s">
        <v>4341</v>
      </c>
      <c r="AAQ1" t="str">
        <f>"Move time "&amp;AAR1</f>
        <v>Move time Boardposition</v>
      </c>
      <c r="AAR1" t="s">
        <v>4342</v>
      </c>
      <c r="AAT1" t="s">
        <v>0</v>
      </c>
      <c r="AAU1" t="s">
        <v>4340</v>
      </c>
      <c r="AAV1" t="s">
        <v>4341</v>
      </c>
      <c r="AAW1" t="str">
        <f>"Move time "&amp;AAX1</f>
        <v>Move time Greedy</v>
      </c>
      <c r="AAX1" t="s">
        <v>1</v>
      </c>
      <c r="AAZ1" t="s">
        <v>0</v>
      </c>
      <c r="ABA1" t="s">
        <v>4340</v>
      </c>
      <c r="ABB1" t="s">
        <v>4341</v>
      </c>
      <c r="ABC1" t="str">
        <f>"Move time "&amp;ABD1</f>
        <v>Move time Boardposition</v>
      </c>
      <c r="ABD1" t="s">
        <v>4342</v>
      </c>
      <c r="ABF1" t="s">
        <v>0</v>
      </c>
      <c r="ABG1" t="s">
        <v>4340</v>
      </c>
      <c r="ABH1" t="s">
        <v>4341</v>
      </c>
      <c r="ABI1" t="str">
        <f>"Move time "&amp;ABJ1</f>
        <v>Move time Greedy</v>
      </c>
      <c r="ABJ1" t="s">
        <v>1</v>
      </c>
      <c r="ABL1" t="s">
        <v>0</v>
      </c>
      <c r="ABM1" t="s">
        <v>4340</v>
      </c>
      <c r="ABN1" t="s">
        <v>4341</v>
      </c>
      <c r="ABO1" t="str">
        <f>"Move time "&amp;ABP1</f>
        <v>Move time Boardposition</v>
      </c>
      <c r="ABP1" t="s">
        <v>4342</v>
      </c>
      <c r="ABR1" t="s">
        <v>0</v>
      </c>
      <c r="ABS1" t="s">
        <v>4340</v>
      </c>
      <c r="ABT1" t="s">
        <v>4341</v>
      </c>
      <c r="ABU1" t="str">
        <f>"Move time "&amp;ABV1</f>
        <v>Move time Greedy</v>
      </c>
      <c r="ABV1" t="s">
        <v>1</v>
      </c>
      <c r="ABX1" t="s">
        <v>0</v>
      </c>
      <c r="ABY1" t="s">
        <v>4340</v>
      </c>
      <c r="ABZ1" t="s">
        <v>4341</v>
      </c>
      <c r="ACA1" t="str">
        <f>"Move time "&amp;ACB1</f>
        <v>Move time Boardposition</v>
      </c>
      <c r="ACB1" t="s">
        <v>4342</v>
      </c>
      <c r="ACD1" t="s">
        <v>0</v>
      </c>
      <c r="ACE1" t="s">
        <v>4340</v>
      </c>
      <c r="ACF1" t="s">
        <v>4341</v>
      </c>
      <c r="ACG1" t="str">
        <f>"Move time "&amp;ACH1</f>
        <v>Move time Greedy</v>
      </c>
      <c r="ACH1" t="s">
        <v>1</v>
      </c>
      <c r="ACJ1" t="s">
        <v>0</v>
      </c>
      <c r="ACK1" t="s">
        <v>4340</v>
      </c>
      <c r="ACL1" t="s">
        <v>4341</v>
      </c>
      <c r="ACM1" t="str">
        <f>"Move time "&amp;ACN1</f>
        <v>Move time Boardposition</v>
      </c>
      <c r="ACN1" t="s">
        <v>4342</v>
      </c>
      <c r="ACP1" t="s">
        <v>0</v>
      </c>
      <c r="ACQ1" t="s">
        <v>4340</v>
      </c>
      <c r="ACR1" t="s">
        <v>4341</v>
      </c>
      <c r="ACS1" t="str">
        <f>"Move time "&amp;ACT1</f>
        <v>Move time Greedy</v>
      </c>
      <c r="ACT1" t="s">
        <v>1</v>
      </c>
      <c r="ACV1" t="s">
        <v>0</v>
      </c>
      <c r="ACW1" t="s">
        <v>4340</v>
      </c>
      <c r="ACX1" t="s">
        <v>4341</v>
      </c>
      <c r="ACY1" t="str">
        <f>"Move time "&amp;ACZ1</f>
        <v>Move time Boardposition</v>
      </c>
      <c r="ACZ1" t="s">
        <v>4342</v>
      </c>
      <c r="ADB1" t="s">
        <v>0</v>
      </c>
      <c r="ADC1" t="s">
        <v>4340</v>
      </c>
      <c r="ADD1" t="s">
        <v>4341</v>
      </c>
      <c r="ADE1" t="str">
        <f>"Move time "&amp;ADF1</f>
        <v>Move time Greedy</v>
      </c>
      <c r="ADF1" t="s">
        <v>1</v>
      </c>
      <c r="ADH1" t="s">
        <v>0</v>
      </c>
      <c r="ADI1" t="s">
        <v>4340</v>
      </c>
      <c r="ADJ1" t="s">
        <v>4341</v>
      </c>
      <c r="ADK1" t="str">
        <f>"Move time "&amp;ADL1</f>
        <v>Move time Boardposition</v>
      </c>
      <c r="ADL1" t="s">
        <v>4342</v>
      </c>
      <c r="ADN1" t="s">
        <v>0</v>
      </c>
      <c r="ADO1" t="s">
        <v>4340</v>
      </c>
      <c r="ADP1" t="s">
        <v>4341</v>
      </c>
      <c r="ADQ1" t="str">
        <f>"Move time "&amp;ADR1</f>
        <v>Move time Greedy</v>
      </c>
      <c r="ADR1" t="s">
        <v>1</v>
      </c>
      <c r="ADT1" t="s">
        <v>0</v>
      </c>
      <c r="ADU1" t="s">
        <v>4340</v>
      </c>
      <c r="ADV1" t="s">
        <v>4341</v>
      </c>
      <c r="ADW1" t="str">
        <f>"Move time "&amp;ADX1</f>
        <v>Move time Boardposition</v>
      </c>
      <c r="ADX1" t="s">
        <v>4342</v>
      </c>
      <c r="ADZ1" t="s">
        <v>0</v>
      </c>
      <c r="AEA1" t="s">
        <v>4340</v>
      </c>
      <c r="AEB1" t="s">
        <v>4341</v>
      </c>
      <c r="AEC1" t="str">
        <f>"Move time "&amp;AED1</f>
        <v>Move time Greedy</v>
      </c>
      <c r="AED1" t="s">
        <v>1</v>
      </c>
      <c r="AEF1" t="s">
        <v>0</v>
      </c>
      <c r="AEG1" t="s">
        <v>4340</v>
      </c>
      <c r="AEH1" t="s">
        <v>4341</v>
      </c>
      <c r="AEI1" t="str">
        <f>"Move time "&amp;AEJ1</f>
        <v>Move time Boardposition</v>
      </c>
      <c r="AEJ1" t="s">
        <v>4342</v>
      </c>
      <c r="AEL1" t="s">
        <v>0</v>
      </c>
      <c r="AEM1" t="s">
        <v>4340</v>
      </c>
      <c r="AEN1" t="s">
        <v>4341</v>
      </c>
      <c r="AEO1" t="str">
        <f>"Move time "&amp;AEP1</f>
        <v>Move time Greedy</v>
      </c>
      <c r="AEP1" t="s">
        <v>1</v>
      </c>
      <c r="AER1" t="s">
        <v>0</v>
      </c>
      <c r="AES1" t="s">
        <v>4340</v>
      </c>
      <c r="AET1" t="s">
        <v>4341</v>
      </c>
      <c r="AEU1" t="str">
        <f>"Move time "&amp;AEV1</f>
        <v>Move time Boardposition</v>
      </c>
      <c r="AEV1" t="s">
        <v>4342</v>
      </c>
      <c r="AEX1" t="s">
        <v>0</v>
      </c>
      <c r="AEY1" t="s">
        <v>4340</v>
      </c>
      <c r="AEZ1" t="s">
        <v>4341</v>
      </c>
      <c r="AFA1" t="str">
        <f>"Move time "&amp;AFB1</f>
        <v>Move time Greedy</v>
      </c>
      <c r="AFB1" t="s">
        <v>1</v>
      </c>
      <c r="AFD1" t="s">
        <v>0</v>
      </c>
      <c r="AFE1" t="s">
        <v>4340</v>
      </c>
      <c r="AFF1" t="s">
        <v>4341</v>
      </c>
      <c r="AFG1" t="str">
        <f>"Move time "&amp;AFH1</f>
        <v>Move time Boardposition</v>
      </c>
      <c r="AFH1" t="s">
        <v>4342</v>
      </c>
      <c r="AFJ1" t="s">
        <v>0</v>
      </c>
      <c r="AFK1" t="s">
        <v>4340</v>
      </c>
      <c r="AFL1" t="s">
        <v>4341</v>
      </c>
      <c r="AFM1" t="str">
        <f>"Move time "&amp;AFN1</f>
        <v>Move time Greedy</v>
      </c>
      <c r="AFN1" t="s">
        <v>1</v>
      </c>
      <c r="AFP1" t="s">
        <v>0</v>
      </c>
      <c r="AFQ1" t="s">
        <v>4340</v>
      </c>
      <c r="AFR1" t="s">
        <v>4341</v>
      </c>
      <c r="AFS1" t="str">
        <f>"Move time "&amp;AFT1</f>
        <v>Move time Boardposition</v>
      </c>
      <c r="AFT1" t="s">
        <v>4342</v>
      </c>
      <c r="AFV1" t="s">
        <v>0</v>
      </c>
      <c r="AFW1" t="s">
        <v>4340</v>
      </c>
      <c r="AFX1" t="s">
        <v>4341</v>
      </c>
      <c r="AFY1" t="str">
        <f>"Move time "&amp;AFZ1</f>
        <v>Move time Greedy</v>
      </c>
      <c r="AFZ1" t="s">
        <v>1</v>
      </c>
      <c r="AGB1" t="s">
        <v>0</v>
      </c>
      <c r="AGC1" t="s">
        <v>4340</v>
      </c>
      <c r="AGD1" t="s">
        <v>4341</v>
      </c>
      <c r="AGE1" t="str">
        <f>"Move time "&amp;AGF1</f>
        <v>Move time Boardposition</v>
      </c>
      <c r="AGF1" t="s">
        <v>4342</v>
      </c>
      <c r="AGH1" t="s">
        <v>0</v>
      </c>
      <c r="AGI1" t="s">
        <v>4340</v>
      </c>
      <c r="AGJ1" t="s">
        <v>4341</v>
      </c>
      <c r="AGK1" t="str">
        <f>"Move time "&amp;AGL1</f>
        <v>Move time Greedy</v>
      </c>
      <c r="AGL1" t="s">
        <v>1</v>
      </c>
      <c r="AGN1" t="s">
        <v>0</v>
      </c>
      <c r="AGO1" t="s">
        <v>4340</v>
      </c>
      <c r="AGP1" t="s">
        <v>4341</v>
      </c>
      <c r="AGQ1" t="str">
        <f>"Move time "&amp;AGR1</f>
        <v>Move time Boardposition</v>
      </c>
      <c r="AGR1" t="s">
        <v>4342</v>
      </c>
      <c r="AGT1" t="s">
        <v>0</v>
      </c>
      <c r="AGU1" t="s">
        <v>4340</v>
      </c>
      <c r="AGV1" t="s">
        <v>4341</v>
      </c>
      <c r="AGW1" t="str">
        <f>"Move time "&amp;AGX1</f>
        <v>Move time Greedy</v>
      </c>
      <c r="AGX1" t="s">
        <v>1</v>
      </c>
      <c r="AGZ1" t="s">
        <v>0</v>
      </c>
      <c r="AHA1" t="s">
        <v>4340</v>
      </c>
      <c r="AHB1" t="s">
        <v>4341</v>
      </c>
      <c r="AHC1" t="str">
        <f>"Move time "&amp;AHD1</f>
        <v>Move time Boardposition</v>
      </c>
      <c r="AHD1" t="s">
        <v>4342</v>
      </c>
      <c r="AHF1" t="s">
        <v>0</v>
      </c>
      <c r="AHG1" t="s">
        <v>4340</v>
      </c>
      <c r="AHH1" t="s">
        <v>4341</v>
      </c>
      <c r="AHI1" t="str">
        <f>"Move time "&amp;AHJ1</f>
        <v>Move time Greedy</v>
      </c>
      <c r="AHJ1" t="s">
        <v>1</v>
      </c>
      <c r="AHL1" t="s">
        <v>0</v>
      </c>
      <c r="AHM1" t="s">
        <v>4340</v>
      </c>
      <c r="AHN1" t="s">
        <v>4341</v>
      </c>
      <c r="AHO1" t="str">
        <f>"Move time "&amp;AHP1</f>
        <v>Move time Boardposition</v>
      </c>
      <c r="AHP1" t="s">
        <v>4342</v>
      </c>
      <c r="AHR1" t="s">
        <v>0</v>
      </c>
      <c r="AHS1" t="s">
        <v>4340</v>
      </c>
      <c r="AHT1" t="s">
        <v>4341</v>
      </c>
      <c r="AHU1" t="str">
        <f>"Move time "&amp;AHV1</f>
        <v>Move time Greedy</v>
      </c>
      <c r="AHV1" t="s">
        <v>1</v>
      </c>
      <c r="AHX1" t="s">
        <v>0</v>
      </c>
      <c r="AHY1" t="s">
        <v>4340</v>
      </c>
      <c r="AHZ1" t="s">
        <v>4341</v>
      </c>
      <c r="AIA1" t="str">
        <f>"Move time "&amp;AIB1</f>
        <v>Move time Boardposition</v>
      </c>
      <c r="AIB1" t="s">
        <v>4342</v>
      </c>
      <c r="AID1" t="s">
        <v>0</v>
      </c>
      <c r="AIE1" t="s">
        <v>4340</v>
      </c>
      <c r="AIF1" t="s">
        <v>4341</v>
      </c>
      <c r="AIG1" t="str">
        <f>"Move time "&amp;AIH1</f>
        <v>Move time Greedy</v>
      </c>
      <c r="AIH1" t="s">
        <v>1</v>
      </c>
      <c r="AIJ1" t="s">
        <v>0</v>
      </c>
      <c r="AIK1" t="s">
        <v>4340</v>
      </c>
      <c r="AIL1" t="s">
        <v>4341</v>
      </c>
      <c r="AIM1" t="str">
        <f>"Move time "&amp;AIN1</f>
        <v>Move time Boardposition</v>
      </c>
      <c r="AIN1" t="s">
        <v>4342</v>
      </c>
      <c r="AIP1" t="s">
        <v>0</v>
      </c>
      <c r="AIQ1" t="s">
        <v>4340</v>
      </c>
      <c r="AIR1" t="s">
        <v>4341</v>
      </c>
      <c r="AIS1" t="str">
        <f>"Move time "&amp;AIT1</f>
        <v>Move time Greedy</v>
      </c>
      <c r="AIT1" t="s">
        <v>1</v>
      </c>
      <c r="AIV1" t="s">
        <v>0</v>
      </c>
      <c r="AIW1" t="s">
        <v>4340</v>
      </c>
      <c r="AIX1" t="s">
        <v>4341</v>
      </c>
      <c r="AIY1" t="str">
        <f>"Move time "&amp;AIZ1</f>
        <v>Move time Boardposition</v>
      </c>
      <c r="AIZ1" t="s">
        <v>4342</v>
      </c>
      <c r="AJB1" t="s">
        <v>0</v>
      </c>
      <c r="AJC1" t="s">
        <v>4340</v>
      </c>
      <c r="AJD1" t="s">
        <v>4341</v>
      </c>
      <c r="AJE1" t="str">
        <f>"Move time "&amp;AJF1</f>
        <v>Move time Greedy</v>
      </c>
      <c r="AJF1" t="s">
        <v>1</v>
      </c>
      <c r="AJH1" t="s">
        <v>0</v>
      </c>
      <c r="AJI1" t="s">
        <v>4340</v>
      </c>
      <c r="AJJ1" t="s">
        <v>4341</v>
      </c>
      <c r="AJK1" t="str">
        <f>"Move time "&amp;AJL1</f>
        <v>Move time Boardposition</v>
      </c>
      <c r="AJL1" t="s">
        <v>4342</v>
      </c>
      <c r="AJN1" t="s">
        <v>0</v>
      </c>
      <c r="AJO1" t="s">
        <v>4340</v>
      </c>
      <c r="AJP1" t="s">
        <v>4341</v>
      </c>
      <c r="AJQ1" t="str">
        <f>"Move time "&amp;AJR1</f>
        <v>Move time Greedy</v>
      </c>
      <c r="AJR1" t="s">
        <v>1</v>
      </c>
      <c r="AJT1" t="s">
        <v>0</v>
      </c>
      <c r="AJU1" t="s">
        <v>4340</v>
      </c>
      <c r="AJV1" t="s">
        <v>4341</v>
      </c>
      <c r="AJW1" t="str">
        <f>"Move time "&amp;AJX1</f>
        <v>Move time Boardposition</v>
      </c>
      <c r="AJX1" t="s">
        <v>4342</v>
      </c>
      <c r="AJZ1" t="s">
        <v>0</v>
      </c>
      <c r="AKA1" t="s">
        <v>4340</v>
      </c>
      <c r="AKB1" t="s">
        <v>4341</v>
      </c>
      <c r="AKC1" t="str">
        <f>"Move time "&amp;AKD1</f>
        <v>Move time Greedy</v>
      </c>
      <c r="AKD1" t="s">
        <v>1</v>
      </c>
      <c r="AKF1" t="s">
        <v>0</v>
      </c>
      <c r="AKG1" t="s">
        <v>4340</v>
      </c>
      <c r="AKH1" t="s">
        <v>4341</v>
      </c>
      <c r="AKI1" t="str">
        <f>"Move time "&amp;AKJ1</f>
        <v>Move time Boardposition</v>
      </c>
      <c r="AKJ1" t="s">
        <v>4342</v>
      </c>
      <c r="AKL1" t="s">
        <v>0</v>
      </c>
      <c r="AKM1" t="s">
        <v>4340</v>
      </c>
      <c r="AKN1" t="s">
        <v>4341</v>
      </c>
      <c r="AKO1" t="str">
        <f>"Move time "&amp;AKP1</f>
        <v>Move time Greedy</v>
      </c>
      <c r="AKP1" t="s">
        <v>1</v>
      </c>
      <c r="AKR1" t="s">
        <v>0</v>
      </c>
      <c r="AKS1" t="s">
        <v>4340</v>
      </c>
      <c r="AKT1" t="s">
        <v>4341</v>
      </c>
      <c r="AKU1" t="str">
        <f>"Move time "&amp;AKV1</f>
        <v>Move time Boardposition</v>
      </c>
      <c r="AKV1" t="s">
        <v>4342</v>
      </c>
      <c r="AKX1" t="s">
        <v>0</v>
      </c>
      <c r="AKY1" t="s">
        <v>4340</v>
      </c>
      <c r="AKZ1" t="s">
        <v>4341</v>
      </c>
      <c r="ALA1" t="str">
        <f>"Move time "&amp;ALB1</f>
        <v>Move time Greedy</v>
      </c>
      <c r="ALB1" t="s">
        <v>1</v>
      </c>
      <c r="ALD1" t="s">
        <v>0</v>
      </c>
      <c r="ALE1" t="s">
        <v>4340</v>
      </c>
      <c r="ALF1" t="s">
        <v>4341</v>
      </c>
      <c r="ALG1" t="str">
        <f>"Move time "&amp;ALH1</f>
        <v>Move time Boardposition</v>
      </c>
      <c r="ALH1" t="s">
        <v>4342</v>
      </c>
      <c r="ALJ1" t="s">
        <v>0</v>
      </c>
      <c r="ALK1" t="s">
        <v>4340</v>
      </c>
      <c r="ALL1" t="s">
        <v>4341</v>
      </c>
      <c r="ALM1" t="str">
        <f>"Move time "&amp;ALN1</f>
        <v>Move time Greedy</v>
      </c>
      <c r="ALN1" t="s">
        <v>1</v>
      </c>
      <c r="ALP1" t="s">
        <v>0</v>
      </c>
      <c r="ALQ1" t="s">
        <v>4340</v>
      </c>
      <c r="ALR1" t="s">
        <v>4341</v>
      </c>
      <c r="ALS1" t="str">
        <f>"Move time "&amp;ALT1</f>
        <v>Move time Boardposition</v>
      </c>
      <c r="ALT1" t="s">
        <v>4342</v>
      </c>
      <c r="ALV1" t="s">
        <v>0</v>
      </c>
      <c r="ALW1" t="s">
        <v>4340</v>
      </c>
      <c r="ALX1" t="s">
        <v>4341</v>
      </c>
      <c r="ALY1" t="str">
        <f>"Move time "&amp;ALZ1</f>
        <v>Move time Greedy</v>
      </c>
      <c r="ALZ1" t="s">
        <v>1</v>
      </c>
      <c r="AMB1" t="s">
        <v>0</v>
      </c>
      <c r="AMC1" t="s">
        <v>4340</v>
      </c>
      <c r="AMD1" t="s">
        <v>4341</v>
      </c>
      <c r="AME1" t="str">
        <f>"Move time "&amp;AMF1</f>
        <v>Move time Boardposition</v>
      </c>
      <c r="AMF1" t="s">
        <v>4342</v>
      </c>
      <c r="AMH1" t="s">
        <v>0</v>
      </c>
      <c r="AMI1" t="s">
        <v>4340</v>
      </c>
      <c r="AMJ1" t="s">
        <v>4341</v>
      </c>
      <c r="AMK1" t="str">
        <f>"Move time "&amp;AML1</f>
        <v>Move time Boardposition</v>
      </c>
      <c r="AML1" t="s">
        <v>4342</v>
      </c>
      <c r="AMN1" t="s">
        <v>0</v>
      </c>
      <c r="AMO1" t="s">
        <v>4340</v>
      </c>
      <c r="AMP1" t="s">
        <v>4341</v>
      </c>
      <c r="AMQ1" t="str">
        <f>"Move time "&amp;AMR1</f>
        <v>Move time Greedy</v>
      </c>
      <c r="AMR1" t="s">
        <v>1</v>
      </c>
    </row>
    <row r="2" spans="1:1033" x14ac:dyDescent="0.25">
      <c r="A2">
        <v>0</v>
      </c>
      <c r="F2">
        <v>0</v>
      </c>
      <c r="L2">
        <v>0</v>
      </c>
      <c r="R2">
        <v>0</v>
      </c>
      <c r="X2">
        <v>0</v>
      </c>
      <c r="AD2">
        <v>0</v>
      </c>
      <c r="AJ2">
        <v>0</v>
      </c>
      <c r="AP2">
        <v>0</v>
      </c>
      <c r="AV2">
        <v>0</v>
      </c>
      <c r="BB2">
        <v>0</v>
      </c>
      <c r="BH2">
        <v>0</v>
      </c>
      <c r="BN2">
        <v>0</v>
      </c>
      <c r="BT2">
        <v>0</v>
      </c>
      <c r="BZ2">
        <v>0</v>
      </c>
      <c r="CF2">
        <v>0</v>
      </c>
      <c r="CL2">
        <v>0</v>
      </c>
      <c r="CR2">
        <v>0</v>
      </c>
      <c r="CX2">
        <v>0</v>
      </c>
      <c r="DD2">
        <v>0</v>
      </c>
      <c r="DJ2">
        <v>0</v>
      </c>
      <c r="DP2">
        <v>0</v>
      </c>
      <c r="DV2">
        <v>0</v>
      </c>
      <c r="EB2">
        <v>0</v>
      </c>
      <c r="EH2">
        <v>0</v>
      </c>
      <c r="EN2">
        <v>0</v>
      </c>
      <c r="ET2">
        <v>0</v>
      </c>
      <c r="EZ2">
        <v>0</v>
      </c>
      <c r="FF2">
        <v>0</v>
      </c>
      <c r="FL2">
        <v>0</v>
      </c>
      <c r="FR2">
        <v>0</v>
      </c>
      <c r="FX2">
        <v>0</v>
      </c>
      <c r="GD2">
        <v>0</v>
      </c>
      <c r="GJ2">
        <v>0</v>
      </c>
      <c r="GP2">
        <v>0</v>
      </c>
      <c r="GV2">
        <v>0</v>
      </c>
      <c r="HB2">
        <v>0</v>
      </c>
      <c r="HH2">
        <v>0</v>
      </c>
      <c r="HN2">
        <v>0</v>
      </c>
      <c r="HT2">
        <v>0</v>
      </c>
      <c r="HZ2">
        <v>0</v>
      </c>
      <c r="IF2">
        <v>0</v>
      </c>
      <c r="IL2">
        <v>0</v>
      </c>
      <c r="IR2">
        <v>0</v>
      </c>
      <c r="IX2">
        <v>0</v>
      </c>
      <c r="JD2">
        <v>0</v>
      </c>
      <c r="JJ2">
        <v>0</v>
      </c>
      <c r="JP2">
        <v>0</v>
      </c>
      <c r="JV2">
        <v>0</v>
      </c>
      <c r="KB2">
        <v>0</v>
      </c>
      <c r="KH2">
        <v>0</v>
      </c>
      <c r="KN2">
        <v>0</v>
      </c>
      <c r="KT2">
        <v>0</v>
      </c>
      <c r="KZ2">
        <v>0</v>
      </c>
      <c r="LF2">
        <v>0</v>
      </c>
      <c r="LL2">
        <v>0</v>
      </c>
      <c r="LR2">
        <v>0</v>
      </c>
      <c r="LX2">
        <v>0</v>
      </c>
      <c r="MD2">
        <v>0</v>
      </c>
      <c r="MJ2">
        <v>0</v>
      </c>
      <c r="MP2">
        <v>0</v>
      </c>
      <c r="MV2">
        <v>0</v>
      </c>
      <c r="NB2">
        <v>0</v>
      </c>
      <c r="NH2">
        <v>0</v>
      </c>
      <c r="NN2">
        <v>0</v>
      </c>
      <c r="NT2">
        <v>0</v>
      </c>
      <c r="NZ2">
        <v>0</v>
      </c>
      <c r="OF2">
        <v>0</v>
      </c>
      <c r="OL2">
        <v>0</v>
      </c>
      <c r="OR2">
        <v>0</v>
      </c>
      <c r="OX2">
        <v>0</v>
      </c>
      <c r="PD2">
        <v>0</v>
      </c>
      <c r="PJ2">
        <v>0</v>
      </c>
      <c r="PP2">
        <v>0</v>
      </c>
      <c r="PV2">
        <v>0</v>
      </c>
      <c r="QB2">
        <v>0</v>
      </c>
      <c r="QH2">
        <v>0</v>
      </c>
      <c r="QN2">
        <v>0</v>
      </c>
      <c r="QT2">
        <v>0</v>
      </c>
      <c r="QZ2">
        <v>0</v>
      </c>
      <c r="RF2">
        <v>0</v>
      </c>
      <c r="RL2">
        <v>0</v>
      </c>
      <c r="RR2">
        <v>0</v>
      </c>
      <c r="RX2">
        <v>0</v>
      </c>
      <c r="SD2">
        <v>0</v>
      </c>
      <c r="SJ2">
        <v>0</v>
      </c>
      <c r="SP2">
        <v>0</v>
      </c>
      <c r="SV2">
        <v>0</v>
      </c>
      <c r="TB2">
        <v>0</v>
      </c>
      <c r="TH2">
        <v>0</v>
      </c>
      <c r="TN2">
        <v>0</v>
      </c>
      <c r="TT2">
        <v>0</v>
      </c>
      <c r="TZ2">
        <v>0</v>
      </c>
      <c r="UF2">
        <v>0</v>
      </c>
      <c r="UL2">
        <v>0</v>
      </c>
      <c r="UR2">
        <v>0</v>
      </c>
      <c r="UX2">
        <v>0</v>
      </c>
      <c r="VD2">
        <v>0</v>
      </c>
      <c r="VJ2">
        <v>0</v>
      </c>
      <c r="VP2">
        <v>0</v>
      </c>
      <c r="VV2">
        <v>0</v>
      </c>
      <c r="WB2">
        <v>0</v>
      </c>
      <c r="WH2">
        <v>0</v>
      </c>
      <c r="WN2">
        <v>0</v>
      </c>
      <c r="WT2">
        <v>0</v>
      </c>
      <c r="WZ2">
        <v>0</v>
      </c>
      <c r="XF2">
        <v>0</v>
      </c>
      <c r="XL2">
        <v>0</v>
      </c>
      <c r="XR2">
        <v>0</v>
      </c>
      <c r="XX2">
        <v>0</v>
      </c>
      <c r="YD2">
        <v>0</v>
      </c>
      <c r="YJ2">
        <v>0</v>
      </c>
      <c r="YP2">
        <v>0</v>
      </c>
      <c r="YV2">
        <v>0</v>
      </c>
      <c r="ZB2">
        <v>0</v>
      </c>
      <c r="ZH2">
        <v>0</v>
      </c>
      <c r="ZN2">
        <v>0</v>
      </c>
      <c r="ZT2">
        <v>0</v>
      </c>
      <c r="ZZ2">
        <v>0</v>
      </c>
      <c r="AAF2">
        <v>0</v>
      </c>
      <c r="AAL2">
        <v>0</v>
      </c>
      <c r="AAR2">
        <v>0</v>
      </c>
      <c r="AAX2">
        <v>0</v>
      </c>
      <c r="ABD2">
        <v>0</v>
      </c>
      <c r="ABJ2">
        <v>0</v>
      </c>
      <c r="ABP2">
        <v>0</v>
      </c>
      <c r="ABV2">
        <v>0</v>
      </c>
      <c r="ACB2">
        <v>0</v>
      </c>
      <c r="ACH2">
        <v>0</v>
      </c>
      <c r="ACN2">
        <v>0</v>
      </c>
      <c r="ACT2">
        <v>0</v>
      </c>
      <c r="ACZ2">
        <v>0</v>
      </c>
      <c r="ADF2">
        <v>0</v>
      </c>
      <c r="ADL2">
        <v>0</v>
      </c>
      <c r="ADR2">
        <v>0</v>
      </c>
      <c r="ADX2">
        <v>0</v>
      </c>
      <c r="AED2">
        <v>0</v>
      </c>
      <c r="AEJ2">
        <v>0</v>
      </c>
      <c r="AEP2">
        <v>0</v>
      </c>
      <c r="AEV2">
        <v>0</v>
      </c>
      <c r="AFB2">
        <v>0</v>
      </c>
      <c r="AFH2">
        <v>0</v>
      </c>
      <c r="AFN2">
        <v>0</v>
      </c>
      <c r="AFT2">
        <v>0</v>
      </c>
      <c r="AFZ2">
        <v>0</v>
      </c>
      <c r="AGF2">
        <v>0</v>
      </c>
      <c r="AGL2">
        <v>0</v>
      </c>
      <c r="AGR2">
        <v>0</v>
      </c>
      <c r="AGX2">
        <v>0</v>
      </c>
      <c r="AHD2">
        <v>0</v>
      </c>
      <c r="AHJ2">
        <v>0</v>
      </c>
      <c r="AHP2">
        <v>0</v>
      </c>
      <c r="AHV2">
        <v>0</v>
      </c>
      <c r="AIB2">
        <v>0</v>
      </c>
      <c r="AIH2">
        <v>0</v>
      </c>
      <c r="AIN2">
        <v>0</v>
      </c>
      <c r="AIT2">
        <v>0</v>
      </c>
      <c r="AIZ2">
        <v>0</v>
      </c>
      <c r="AJF2">
        <v>0</v>
      </c>
      <c r="AJL2">
        <v>0</v>
      </c>
      <c r="AJR2">
        <v>0</v>
      </c>
      <c r="AJX2">
        <v>0</v>
      </c>
      <c r="AKD2">
        <v>0</v>
      </c>
      <c r="AKJ2">
        <v>0</v>
      </c>
      <c r="AKP2">
        <v>0</v>
      </c>
      <c r="AKV2">
        <v>0</v>
      </c>
      <c r="ALB2">
        <v>0</v>
      </c>
      <c r="ALH2">
        <v>0</v>
      </c>
      <c r="ALN2">
        <v>0</v>
      </c>
      <c r="ALT2">
        <v>0</v>
      </c>
      <c r="ALZ2">
        <v>0</v>
      </c>
      <c r="AMF2">
        <v>0</v>
      </c>
      <c r="AML2">
        <v>0</v>
      </c>
      <c r="AMR2">
        <v>0</v>
      </c>
    </row>
    <row r="3" spans="1:1033" x14ac:dyDescent="0.25">
      <c r="A3">
        <v>1</v>
      </c>
      <c r="B3">
        <f t="shared" ref="B3:B20" si="0">F3 - F2</f>
        <v>7</v>
      </c>
      <c r="C3" t="s">
        <v>2</v>
      </c>
      <c r="E3">
        <v>1.3229606151580811</v>
      </c>
      <c r="F3">
        <v>7</v>
      </c>
      <c r="G3" s="1"/>
      <c r="H3">
        <f t="shared" ref="H3:H19" si="1">L3 - L2</f>
        <v>4</v>
      </c>
      <c r="I3" t="s">
        <v>3</v>
      </c>
      <c r="K3">
        <v>1.6885228157043459</v>
      </c>
      <c r="L3">
        <v>4</v>
      </c>
      <c r="M3" s="2"/>
      <c r="N3">
        <f t="shared" ref="N3:N18" si="2">R3 - R2</f>
        <v>8</v>
      </c>
      <c r="O3" t="s">
        <v>4</v>
      </c>
      <c r="Q3">
        <v>5.8052644729614258</v>
      </c>
      <c r="R3">
        <v>8</v>
      </c>
      <c r="S3" s="1"/>
      <c r="T3">
        <f t="shared" ref="T3:T17" si="3">X3 - X2</f>
        <v>28</v>
      </c>
      <c r="U3" t="s">
        <v>5</v>
      </c>
      <c r="W3">
        <v>5.8460137844085693</v>
      </c>
      <c r="X3">
        <v>28</v>
      </c>
      <c r="Y3" s="2"/>
      <c r="Z3">
        <f t="shared" ref="Z3:Z19" si="4">AD3 - AD2</f>
        <v>3</v>
      </c>
      <c r="AA3" t="s">
        <v>6</v>
      </c>
      <c r="AC3">
        <v>33.374354362487793</v>
      </c>
      <c r="AD3">
        <v>3</v>
      </c>
      <c r="AE3" s="1"/>
      <c r="AF3">
        <f t="shared" ref="AF3:AF18" si="5">AJ3 - AJ2</f>
        <v>23</v>
      </c>
      <c r="AG3" t="s">
        <v>7</v>
      </c>
      <c r="AI3">
        <v>4.4702060222625732</v>
      </c>
      <c r="AJ3">
        <v>23</v>
      </c>
      <c r="AK3" s="2"/>
      <c r="AL3">
        <f t="shared" ref="AL3:AL18" si="6">AP3 - AP2</f>
        <v>58</v>
      </c>
      <c r="AM3" t="s">
        <v>8</v>
      </c>
      <c r="AO3">
        <v>9.4706006050109863</v>
      </c>
      <c r="AP3">
        <v>58</v>
      </c>
      <c r="AQ3" s="3"/>
      <c r="AR3">
        <f t="shared" ref="AR3:AR17" si="7">AV3 - AV2</f>
        <v>28</v>
      </c>
      <c r="AS3" t="s">
        <v>9</v>
      </c>
      <c r="AU3">
        <v>147.15885353088379</v>
      </c>
      <c r="AV3">
        <v>28</v>
      </c>
      <c r="AW3" s="2"/>
      <c r="AX3">
        <f t="shared" ref="AX3:AX15" si="8">BB3 - BB2</f>
        <v>9</v>
      </c>
      <c r="AY3" t="s">
        <v>10</v>
      </c>
      <c r="BA3">
        <v>2.1621990203857422</v>
      </c>
      <c r="BB3">
        <v>9</v>
      </c>
      <c r="BC3" s="3"/>
      <c r="BD3">
        <f t="shared" ref="BD3:BD15" si="9">BH3 - BH2</f>
        <v>28</v>
      </c>
      <c r="BE3" t="s">
        <v>11</v>
      </c>
      <c r="BG3">
        <v>6.7362601757049561</v>
      </c>
      <c r="BH3">
        <v>28</v>
      </c>
      <c r="BI3" s="2"/>
      <c r="BJ3">
        <f t="shared" ref="BJ3:BJ20" si="10">BN3 - BN2</f>
        <v>11</v>
      </c>
      <c r="BK3" t="s">
        <v>12</v>
      </c>
      <c r="BM3">
        <v>3.6565272808074951</v>
      </c>
      <c r="BN3">
        <v>11</v>
      </c>
      <c r="BO3" s="3"/>
      <c r="BP3">
        <f t="shared" ref="BP3:BP19" si="11">BT3 - BT2</f>
        <v>26</v>
      </c>
      <c r="BQ3" t="s">
        <v>13</v>
      </c>
      <c r="BS3">
        <v>5.5252001285552979</v>
      </c>
      <c r="BT3">
        <v>26</v>
      </c>
      <c r="BU3" s="2"/>
      <c r="BV3">
        <f t="shared" ref="BV3:BV19" si="12">BZ3 - BZ2</f>
        <v>64</v>
      </c>
      <c r="BW3" t="s">
        <v>14</v>
      </c>
      <c r="BY3">
        <v>7.6902816295623779</v>
      </c>
      <c r="BZ3">
        <v>64</v>
      </c>
      <c r="CA3" s="3"/>
      <c r="CB3">
        <f t="shared" ref="CB3:CB18" si="13">CF3 - CF2</f>
        <v>37</v>
      </c>
      <c r="CC3" t="s">
        <v>15</v>
      </c>
      <c r="CE3">
        <v>8.3300042152404785</v>
      </c>
      <c r="CF3">
        <v>37</v>
      </c>
      <c r="CG3" s="2"/>
      <c r="CH3">
        <f t="shared" ref="CH3:CH18" si="14">CL3 - CL2</f>
        <v>13</v>
      </c>
      <c r="CI3" t="s">
        <v>16</v>
      </c>
      <c r="CK3">
        <v>2.9485418796539311</v>
      </c>
      <c r="CL3">
        <v>13</v>
      </c>
      <c r="CM3" s="3"/>
      <c r="CN3">
        <f t="shared" ref="CN3:CN17" si="15">CR3 - CR2</f>
        <v>32</v>
      </c>
      <c r="CO3" t="s">
        <v>17</v>
      </c>
      <c r="CQ3">
        <v>6.0593812465667716</v>
      </c>
      <c r="CR3">
        <v>32</v>
      </c>
      <c r="CS3" s="2"/>
      <c r="CT3">
        <f t="shared" ref="CT3:CT17" si="16">CX3 - CX2</f>
        <v>5</v>
      </c>
      <c r="CU3" t="s">
        <v>18</v>
      </c>
      <c r="CW3">
        <v>3.2584068775177002</v>
      </c>
      <c r="CX3">
        <v>5</v>
      </c>
      <c r="CY3" s="3"/>
      <c r="CZ3">
        <f t="shared" ref="CZ3:CZ16" si="17">DD3 - DD2</f>
        <v>31</v>
      </c>
      <c r="DA3" t="s">
        <v>19</v>
      </c>
      <c r="DC3">
        <v>5.6940059661865234</v>
      </c>
      <c r="DD3">
        <v>31</v>
      </c>
      <c r="DE3" s="2"/>
      <c r="DF3">
        <f t="shared" ref="DF3:DF21" si="18">DJ3 - DJ2</f>
        <v>4</v>
      </c>
      <c r="DG3" t="s">
        <v>20</v>
      </c>
      <c r="DI3">
        <v>1.253219366073608</v>
      </c>
      <c r="DJ3">
        <v>4</v>
      </c>
      <c r="DK3" s="3"/>
      <c r="DL3">
        <f t="shared" ref="DL3:DL20" si="19">DP3 - DP2</f>
        <v>16</v>
      </c>
      <c r="DM3" t="s">
        <v>21</v>
      </c>
      <c r="DO3">
        <v>2.356827020645142</v>
      </c>
      <c r="DP3">
        <v>16</v>
      </c>
      <c r="DQ3" s="2"/>
      <c r="DR3">
        <f t="shared" ref="DR3:DR20" si="20">DV3 - DV2</f>
        <v>11</v>
      </c>
      <c r="DS3" t="s">
        <v>22</v>
      </c>
      <c r="DU3">
        <v>27.225912094116211</v>
      </c>
      <c r="DV3">
        <v>11</v>
      </c>
      <c r="DW3" s="3"/>
      <c r="DX3">
        <f t="shared" ref="DX3:DX19" si="21">EB3 - EB2</f>
        <v>22</v>
      </c>
      <c r="DY3" t="s">
        <v>23</v>
      </c>
      <c r="EA3">
        <v>4.8061385154724121</v>
      </c>
      <c r="EB3">
        <v>22</v>
      </c>
      <c r="EC3" s="2"/>
      <c r="ED3">
        <f t="shared" ref="ED3:ED19" si="22">EH3 - EH2</f>
        <v>10</v>
      </c>
      <c r="EE3" t="s">
        <v>24</v>
      </c>
      <c r="EG3">
        <v>10.37925338745117</v>
      </c>
      <c r="EH3">
        <v>10</v>
      </c>
      <c r="EI3" s="3"/>
      <c r="EJ3">
        <f t="shared" ref="EJ3:EJ18" si="23">EN3 - EN2</f>
        <v>66</v>
      </c>
      <c r="EK3" t="s">
        <v>25</v>
      </c>
      <c r="EM3">
        <v>169.99280691146851</v>
      </c>
      <c r="EN3">
        <v>66</v>
      </c>
      <c r="EO3" s="2"/>
      <c r="EP3">
        <f t="shared" ref="EP3:EP20" si="24">ET3 - ET2</f>
        <v>11</v>
      </c>
      <c r="EQ3" t="s">
        <v>26</v>
      </c>
      <c r="ES3">
        <v>40.870109558105469</v>
      </c>
      <c r="ET3">
        <v>11</v>
      </c>
      <c r="EU3" s="3"/>
      <c r="EV3">
        <f t="shared" ref="EV3:EV19" si="25">EZ3 - EZ2</f>
        <v>27</v>
      </c>
      <c r="EW3" t="s">
        <v>27</v>
      </c>
      <c r="EY3">
        <v>11.29994440078735</v>
      </c>
      <c r="EZ3">
        <v>27</v>
      </c>
      <c r="FA3" s="2"/>
      <c r="FB3">
        <f t="shared" ref="FB3:FB17" si="26">FF3 - FF2</f>
        <v>17</v>
      </c>
      <c r="FC3" t="s">
        <v>28</v>
      </c>
      <c r="FE3">
        <v>21.06257152557373</v>
      </c>
      <c r="FF3">
        <v>17</v>
      </c>
      <c r="FG3" s="3"/>
      <c r="FH3">
        <f t="shared" ref="FH3:FH16" si="27">FL3 - FL2</f>
        <v>24</v>
      </c>
      <c r="FI3" t="s">
        <v>29</v>
      </c>
      <c r="FK3">
        <v>3.8444159030914311</v>
      </c>
      <c r="FL3">
        <v>24</v>
      </c>
      <c r="FM3" s="2"/>
      <c r="FN3">
        <f t="shared" ref="FN3:FN14" si="28">FR3 - FR2</f>
        <v>72</v>
      </c>
      <c r="FO3" t="s">
        <v>30</v>
      </c>
      <c r="FQ3">
        <v>11.125707387924191</v>
      </c>
      <c r="FR3">
        <v>72</v>
      </c>
      <c r="FS3" s="3"/>
      <c r="FT3">
        <f t="shared" ref="FT3:FT14" si="29">FX3 - FX2</f>
        <v>59</v>
      </c>
      <c r="FU3" t="s">
        <v>31</v>
      </c>
      <c r="FW3">
        <v>16.305818319320679</v>
      </c>
      <c r="FX3">
        <v>59</v>
      </c>
      <c r="FY3" s="2"/>
      <c r="FZ3">
        <f t="shared" ref="FZ3:FZ18" si="30">GD3 - GD2</f>
        <v>16</v>
      </c>
      <c r="GA3" t="s">
        <v>32</v>
      </c>
      <c r="GC3">
        <v>3.4188954830169682</v>
      </c>
      <c r="GD3">
        <v>16</v>
      </c>
      <c r="GE3" s="3"/>
      <c r="GF3">
        <f t="shared" ref="GF3:GF18" si="31">GJ3 - GJ2</f>
        <v>32</v>
      </c>
      <c r="GG3" t="s">
        <v>33</v>
      </c>
      <c r="GI3">
        <v>5.2411491870880127</v>
      </c>
      <c r="GJ3">
        <v>32</v>
      </c>
      <c r="GK3" s="2"/>
      <c r="GL3">
        <f t="shared" ref="GL3:GL20" si="32">GP3 - GP2</f>
        <v>9</v>
      </c>
      <c r="GM3" t="s">
        <v>34</v>
      </c>
      <c r="GO3">
        <v>5.6854953765869141</v>
      </c>
      <c r="GP3">
        <v>9</v>
      </c>
      <c r="GQ3" s="3"/>
      <c r="GR3">
        <f t="shared" ref="GR3:GR19" si="33">GV3 - GV2</f>
        <v>30</v>
      </c>
      <c r="GS3" t="s">
        <v>35</v>
      </c>
      <c r="GU3">
        <v>6.8241760730743408</v>
      </c>
      <c r="GV3">
        <v>30</v>
      </c>
      <c r="GW3" s="2"/>
      <c r="GX3">
        <f t="shared" ref="GX3:GX17" si="34">HB3 - HB2</f>
        <v>11</v>
      </c>
      <c r="GY3" t="s">
        <v>36</v>
      </c>
      <c r="HA3">
        <v>3.740772008895874</v>
      </c>
      <c r="HB3">
        <v>11</v>
      </c>
      <c r="HC3" s="3"/>
      <c r="HD3">
        <f t="shared" ref="HD3:HD16" si="35">HH3 - HH2</f>
        <v>15</v>
      </c>
      <c r="HE3" t="s">
        <v>37</v>
      </c>
      <c r="HG3">
        <v>1.7355637550353999</v>
      </c>
      <c r="HH3">
        <v>15</v>
      </c>
      <c r="HI3" s="2"/>
      <c r="HJ3">
        <f t="shared" ref="HJ3:HJ16" si="36">HN3 - HN2</f>
        <v>11</v>
      </c>
      <c r="HK3" t="s">
        <v>38</v>
      </c>
      <c r="HM3">
        <v>5.0406351089477539</v>
      </c>
      <c r="HN3">
        <v>11</v>
      </c>
      <c r="HO3" s="3"/>
      <c r="HP3">
        <f t="shared" ref="HP3:HP15" si="37">HT3 - HT2</f>
        <v>66</v>
      </c>
      <c r="HQ3" t="s">
        <v>39</v>
      </c>
      <c r="HS3">
        <v>138.74555635452271</v>
      </c>
      <c r="HT3">
        <v>66</v>
      </c>
      <c r="HU3" s="2"/>
      <c r="HV3">
        <f t="shared" ref="HV3:HV18" si="38">HZ3 - HZ2</f>
        <v>9</v>
      </c>
      <c r="HW3" t="s">
        <v>40</v>
      </c>
      <c r="HY3">
        <v>4.5172312259674072</v>
      </c>
      <c r="HZ3">
        <v>9</v>
      </c>
      <c r="IA3" s="3"/>
      <c r="IB3">
        <f t="shared" ref="IB3:IB18" si="39">IF3 - IF2</f>
        <v>24</v>
      </c>
      <c r="IC3" t="s">
        <v>41</v>
      </c>
      <c r="IE3">
        <v>6.5491869449615479</v>
      </c>
      <c r="IF3">
        <v>24</v>
      </c>
      <c r="IG3" s="2"/>
      <c r="IH3">
        <f t="shared" ref="IH3:IH17" si="40">IL3 - IL2</f>
        <v>5</v>
      </c>
      <c r="II3" t="s">
        <v>18</v>
      </c>
      <c r="IK3">
        <v>3.246252059936523</v>
      </c>
      <c r="IL3">
        <v>5</v>
      </c>
      <c r="IM3" s="3"/>
      <c r="IN3">
        <f t="shared" ref="IN3:IN16" si="41">IR3 - IR2</f>
        <v>30</v>
      </c>
      <c r="IO3" t="s">
        <v>42</v>
      </c>
      <c r="IQ3">
        <v>12.956587314605709</v>
      </c>
      <c r="IR3">
        <v>30</v>
      </c>
      <c r="IS3" s="2"/>
      <c r="IT3">
        <f t="shared" ref="IT3:IT18" si="42">IX3 - IX2</f>
        <v>11</v>
      </c>
      <c r="IU3" t="s">
        <v>43</v>
      </c>
      <c r="IW3">
        <v>2.207889080047607</v>
      </c>
      <c r="IX3">
        <v>11</v>
      </c>
      <c r="IY3" s="3"/>
      <c r="IZ3">
        <f t="shared" ref="IZ3:IZ18" si="43">JD3 - JD2</f>
        <v>28</v>
      </c>
      <c r="JA3" t="s">
        <v>44</v>
      </c>
      <c r="JC3">
        <v>3.240058422088623</v>
      </c>
      <c r="JD3">
        <v>28</v>
      </c>
      <c r="JE3" s="2"/>
      <c r="JF3">
        <f t="shared" ref="JF3:JF25" si="44">JJ3 - JJ2</f>
        <v>16</v>
      </c>
      <c r="JG3" t="s">
        <v>45</v>
      </c>
      <c r="JI3">
        <v>6.1432232856750488</v>
      </c>
      <c r="JJ3">
        <v>16</v>
      </c>
      <c r="JK3" s="3"/>
      <c r="JL3">
        <f t="shared" ref="JL3:JL24" si="45">JP3 - JP2</f>
        <v>22</v>
      </c>
      <c r="JM3" t="s">
        <v>46</v>
      </c>
      <c r="JO3">
        <v>3.9839587211608891</v>
      </c>
      <c r="JP3">
        <v>22</v>
      </c>
      <c r="JQ3" s="2"/>
      <c r="JR3">
        <f t="shared" ref="JR3:JR21" si="46">JV3 - JV2</f>
        <v>11</v>
      </c>
      <c r="JS3" t="s">
        <v>22</v>
      </c>
      <c r="JU3">
        <v>2.812212228775024</v>
      </c>
      <c r="JV3">
        <v>11</v>
      </c>
      <c r="JW3" s="3"/>
      <c r="JX3">
        <f t="shared" ref="JX3:JX20" si="47">KB3 - KB2</f>
        <v>34</v>
      </c>
      <c r="JY3" t="s">
        <v>47</v>
      </c>
      <c r="KA3">
        <v>11.387922048568729</v>
      </c>
      <c r="KB3">
        <v>34</v>
      </c>
      <c r="KC3" s="2"/>
      <c r="KD3">
        <f t="shared" ref="KD3:KD20" si="48">KH3 - KH2</f>
        <v>9</v>
      </c>
      <c r="KE3" t="s">
        <v>48</v>
      </c>
      <c r="KG3">
        <v>4.3430278301239014</v>
      </c>
      <c r="KH3">
        <v>9</v>
      </c>
      <c r="KI3" s="3"/>
      <c r="KJ3">
        <f t="shared" ref="KJ3:KJ20" si="49">KN3 - KN2</f>
        <v>29</v>
      </c>
      <c r="KK3" t="s">
        <v>49</v>
      </c>
      <c r="KM3">
        <v>3.01600170135498</v>
      </c>
      <c r="KN3">
        <v>29</v>
      </c>
      <c r="KO3" s="2"/>
      <c r="KP3">
        <f t="shared" ref="KP3:KP16" si="50">KT3 - KT2</f>
        <v>66</v>
      </c>
      <c r="KQ3" t="s">
        <v>50</v>
      </c>
      <c r="KS3">
        <v>49.572958946228027</v>
      </c>
      <c r="KT3">
        <v>66</v>
      </c>
      <c r="KU3" s="3"/>
      <c r="KV3">
        <f t="shared" ref="KV3:KV15" si="51">KZ3 - KZ2</f>
        <v>36</v>
      </c>
      <c r="KW3" t="s">
        <v>51</v>
      </c>
      <c r="KY3">
        <v>21.0228898525238</v>
      </c>
      <c r="KZ3">
        <v>36</v>
      </c>
      <c r="LA3" s="2"/>
      <c r="LB3">
        <f t="shared" ref="LB3:LB17" si="52">LF3 - LF2</f>
        <v>19</v>
      </c>
      <c r="LC3" t="s">
        <v>52</v>
      </c>
      <c r="LE3">
        <v>1.7509322166442871</v>
      </c>
      <c r="LF3">
        <v>19</v>
      </c>
      <c r="LG3" s="3"/>
      <c r="LH3">
        <f t="shared" ref="LH3:LH17" si="53">LL3 - LL2</f>
        <v>21</v>
      </c>
      <c r="LI3" t="s">
        <v>53</v>
      </c>
      <c r="LK3">
        <v>18.10720324516296</v>
      </c>
      <c r="LL3">
        <v>21</v>
      </c>
      <c r="LM3" s="2"/>
      <c r="LN3">
        <f t="shared" ref="LN3:LN19" si="54">LR3 - LR2</f>
        <v>11</v>
      </c>
      <c r="LO3" t="s">
        <v>54</v>
      </c>
      <c r="LQ3">
        <v>7.0929851531982422</v>
      </c>
      <c r="LR3">
        <v>11</v>
      </c>
      <c r="LS3" s="3"/>
      <c r="LT3">
        <f t="shared" ref="LT3:LT18" si="55">LX3 - LX2</f>
        <v>22</v>
      </c>
      <c r="LU3" t="s">
        <v>55</v>
      </c>
      <c r="LW3">
        <v>2.642093181610107</v>
      </c>
      <c r="LX3">
        <v>22</v>
      </c>
      <c r="LY3" s="2"/>
      <c r="LZ3">
        <f t="shared" ref="LZ3:LZ15" si="56">MD3 - MD2</f>
        <v>14</v>
      </c>
      <c r="MA3" t="s">
        <v>56</v>
      </c>
      <c r="MC3">
        <v>3.2392137050628662</v>
      </c>
      <c r="MD3">
        <v>14</v>
      </c>
      <c r="ME3" s="3"/>
      <c r="MF3">
        <f t="shared" ref="MF3:MF14" si="57">MJ3 - MJ2</f>
        <v>56</v>
      </c>
      <c r="MG3" t="s">
        <v>57</v>
      </c>
      <c r="MI3">
        <v>31.089416980743412</v>
      </c>
      <c r="MJ3">
        <v>56</v>
      </c>
      <c r="MK3" s="2"/>
      <c r="ML3">
        <f t="shared" ref="ML3:ML16" si="58">MP3 - MP2</f>
        <v>10</v>
      </c>
      <c r="MM3" t="s">
        <v>58</v>
      </c>
      <c r="MO3">
        <v>4.6203422546386719</v>
      </c>
      <c r="MP3">
        <v>10</v>
      </c>
      <c r="MQ3" s="3"/>
      <c r="MR3">
        <f t="shared" ref="MR3:MR15" si="59">MV3 - MV2</f>
        <v>20</v>
      </c>
      <c r="MS3" t="s">
        <v>59</v>
      </c>
      <c r="MU3">
        <v>7.2027785778045654</v>
      </c>
      <c r="MV3">
        <v>20</v>
      </c>
      <c r="MW3" s="2"/>
      <c r="MX3">
        <f t="shared" ref="MX3:MX17" si="60">NB3 - NB2</f>
        <v>12</v>
      </c>
      <c r="MY3" t="s">
        <v>60</v>
      </c>
      <c r="NA3">
        <v>2.3520946502685551</v>
      </c>
      <c r="NB3">
        <v>12</v>
      </c>
      <c r="NC3" s="3"/>
      <c r="ND3">
        <f t="shared" ref="ND3:ND17" si="61">NH3 - NH2</f>
        <v>57</v>
      </c>
      <c r="NE3" t="s">
        <v>61</v>
      </c>
      <c r="NG3">
        <v>16.735885143280029</v>
      </c>
      <c r="NH3">
        <v>57</v>
      </c>
      <c r="NI3" s="2"/>
      <c r="NJ3">
        <f t="shared" ref="NJ3:NJ23" si="62">NN3 - NN2</f>
        <v>10</v>
      </c>
      <c r="NK3" t="s">
        <v>62</v>
      </c>
      <c r="NM3">
        <v>3.3802142143249512</v>
      </c>
      <c r="NN3">
        <v>10</v>
      </c>
      <c r="NO3" s="3"/>
      <c r="NP3">
        <f t="shared" ref="NP3:NP22" si="63">NT3 - NT2</f>
        <v>24</v>
      </c>
      <c r="NQ3" t="s">
        <v>63</v>
      </c>
      <c r="NS3">
        <v>10.920390844345089</v>
      </c>
      <c r="NT3">
        <v>24</v>
      </c>
      <c r="NU3" s="2"/>
      <c r="NV3">
        <f t="shared" ref="NV3:NV18" si="64">NZ3 - NZ2</f>
        <v>16</v>
      </c>
      <c r="NW3" t="s">
        <v>64</v>
      </c>
      <c r="NY3">
        <v>23.16578125953674</v>
      </c>
      <c r="NZ3">
        <v>16</v>
      </c>
      <c r="OA3" s="3"/>
      <c r="OB3">
        <f t="shared" ref="OB3:OB18" si="65">OF3 - OF2</f>
        <v>23</v>
      </c>
      <c r="OC3" t="s">
        <v>65</v>
      </c>
      <c r="OE3">
        <v>8.1476724147796631</v>
      </c>
      <c r="OF3">
        <v>23</v>
      </c>
      <c r="OG3" s="2"/>
      <c r="OH3">
        <f t="shared" ref="OH3:OH16" si="66">OL3 - OL2</f>
        <v>7</v>
      </c>
      <c r="OI3" t="s">
        <v>66</v>
      </c>
      <c r="OK3">
        <v>6.6194875240325928</v>
      </c>
      <c r="OL3">
        <v>7</v>
      </c>
      <c r="OM3" s="3"/>
      <c r="ON3">
        <f t="shared" ref="ON3:ON16" si="67">OR3 - OR2</f>
        <v>26</v>
      </c>
      <c r="OO3" t="s">
        <v>67</v>
      </c>
      <c r="OQ3">
        <v>7.144951343536377</v>
      </c>
      <c r="OR3">
        <v>26</v>
      </c>
      <c r="OS3" s="2"/>
      <c r="OT3">
        <f t="shared" ref="OT3:OT17" si="68">OX3 - OX2</f>
        <v>16</v>
      </c>
      <c r="OU3" t="s">
        <v>68</v>
      </c>
      <c r="OW3">
        <v>9.010969877243042</v>
      </c>
      <c r="OX3">
        <v>16</v>
      </c>
      <c r="OY3" s="3"/>
      <c r="OZ3">
        <f t="shared" ref="OZ3:OZ17" si="69">PD3 - PD2</f>
        <v>42</v>
      </c>
      <c r="PA3" t="s">
        <v>69</v>
      </c>
      <c r="PC3">
        <v>10.90206742286682</v>
      </c>
      <c r="PD3">
        <v>42</v>
      </c>
      <c r="PE3" s="2"/>
      <c r="PF3">
        <f t="shared" ref="PF3:PF16" si="70">PJ3 - PJ2</f>
        <v>12</v>
      </c>
      <c r="PG3" t="s">
        <v>70</v>
      </c>
      <c r="PI3">
        <v>2.384080171585083</v>
      </c>
      <c r="PJ3">
        <v>12</v>
      </c>
      <c r="PK3" s="3"/>
      <c r="PL3">
        <f t="shared" ref="PL3:PL15" si="71">PP3 - PP2</f>
        <v>30</v>
      </c>
      <c r="PM3" t="s">
        <v>71</v>
      </c>
      <c r="PO3">
        <v>6.4725909233093262</v>
      </c>
      <c r="PP3">
        <v>30</v>
      </c>
      <c r="PQ3" s="2"/>
      <c r="PR3">
        <f t="shared" ref="PR3:PR18" si="72">PV3 - PV2</f>
        <v>8</v>
      </c>
      <c r="PS3" t="s">
        <v>72</v>
      </c>
      <c r="PU3">
        <v>10.44332647323608</v>
      </c>
      <c r="PV3">
        <v>8</v>
      </c>
      <c r="PW3" s="3"/>
      <c r="PX3">
        <f t="shared" ref="PX3:PX18" si="73">QB3 - QB2</f>
        <v>56</v>
      </c>
      <c r="PY3" t="s">
        <v>73</v>
      </c>
      <c r="QA3">
        <v>83.390445947647095</v>
      </c>
      <c r="QB3">
        <v>56</v>
      </c>
      <c r="QC3" s="2"/>
      <c r="QD3">
        <f t="shared" ref="QD3:QD18" si="74">QH3 - QH2</f>
        <v>10</v>
      </c>
      <c r="QE3" t="s">
        <v>74</v>
      </c>
      <c r="QG3">
        <v>3.2824468612670898</v>
      </c>
      <c r="QH3">
        <v>10</v>
      </c>
      <c r="QI3" s="3"/>
      <c r="QJ3">
        <f t="shared" ref="QJ3:QJ17" si="75">QN3 - QN2</f>
        <v>23</v>
      </c>
      <c r="QK3" t="s">
        <v>75</v>
      </c>
      <c r="QM3">
        <v>7.8723182678222656</v>
      </c>
      <c r="QN3">
        <v>23</v>
      </c>
      <c r="QO3" s="2"/>
      <c r="QP3">
        <f t="shared" ref="QP3:QP22" si="76">QT3 - QT2</f>
        <v>13</v>
      </c>
      <c r="QQ3" t="s">
        <v>76</v>
      </c>
      <c r="QS3">
        <v>8.5658290386199951</v>
      </c>
      <c r="QT3">
        <v>13</v>
      </c>
      <c r="QU3" s="3"/>
      <c r="QV3">
        <f t="shared" ref="QV3:QV22" si="77">QZ3 - QZ2</f>
        <v>9</v>
      </c>
      <c r="QW3" t="s">
        <v>77</v>
      </c>
      <c r="QY3">
        <v>1.728487968444824</v>
      </c>
      <c r="QZ3">
        <v>9</v>
      </c>
      <c r="RA3" s="2"/>
      <c r="RB3">
        <f t="shared" ref="RB3:RB18" si="78">RF3 - RF2</f>
        <v>10</v>
      </c>
      <c r="RC3" t="s">
        <v>78</v>
      </c>
      <c r="RE3">
        <v>3.7867469787597661</v>
      </c>
      <c r="RF3">
        <v>10</v>
      </c>
      <c r="RG3" s="3"/>
      <c r="RH3">
        <f t="shared" ref="RH3:RH18" si="79">RL3 - RL2</f>
        <v>7</v>
      </c>
      <c r="RI3" t="s">
        <v>79</v>
      </c>
      <c r="RK3">
        <v>1.4716014862060549</v>
      </c>
      <c r="RL3">
        <v>7</v>
      </c>
      <c r="RM3" s="2"/>
      <c r="RN3">
        <f t="shared" ref="RN3:RN21" si="80">RR3 - RR2</f>
        <v>14</v>
      </c>
      <c r="RO3" t="s">
        <v>80</v>
      </c>
      <c r="RQ3">
        <v>4.2359011173248291</v>
      </c>
      <c r="RR3">
        <v>14</v>
      </c>
      <c r="RS3" s="3"/>
      <c r="RT3">
        <f t="shared" ref="RT3:RT21" si="81">RX3 - RX2</f>
        <v>25</v>
      </c>
      <c r="RU3" t="s">
        <v>81</v>
      </c>
      <c r="RW3">
        <v>6.4271121025085449</v>
      </c>
      <c r="RX3">
        <v>25</v>
      </c>
      <c r="RY3" s="2"/>
      <c r="RZ3">
        <f t="shared" ref="RZ3:RZ21" si="82">SD3 - SD2</f>
        <v>12</v>
      </c>
      <c r="SA3" t="s">
        <v>82</v>
      </c>
      <c r="SC3">
        <v>3.6621677875518799</v>
      </c>
      <c r="SD3">
        <v>12</v>
      </c>
      <c r="SE3" s="3"/>
      <c r="SF3">
        <f t="shared" ref="SF3:SF20" si="83">SJ3 - SJ2</f>
        <v>62</v>
      </c>
      <c r="SG3" t="s">
        <v>83</v>
      </c>
      <c r="SI3">
        <v>21.818824052810669</v>
      </c>
      <c r="SJ3">
        <v>62</v>
      </c>
      <c r="SK3" s="2"/>
      <c r="SL3">
        <f t="shared" ref="SL3:SL17" si="84">SP3 - SP2</f>
        <v>8</v>
      </c>
      <c r="SM3" t="s">
        <v>84</v>
      </c>
      <c r="SO3">
        <v>2.3060648441314702</v>
      </c>
      <c r="SP3">
        <v>8</v>
      </c>
      <c r="SQ3" s="3"/>
      <c r="SR3">
        <f t="shared" ref="SR3:SR17" si="85">SV3 - SV2</f>
        <v>22</v>
      </c>
      <c r="SS3" t="s">
        <v>85</v>
      </c>
      <c r="SU3">
        <v>25.356903314590451</v>
      </c>
      <c r="SV3">
        <v>22</v>
      </c>
      <c r="SW3" s="4"/>
      <c r="SX3">
        <f t="shared" ref="SX3:SX17" si="86">TB3 - TB2</f>
        <v>58</v>
      </c>
      <c r="SY3" t="s">
        <v>86</v>
      </c>
      <c r="TA3">
        <v>4.4027915000915527</v>
      </c>
      <c r="TB3">
        <v>58</v>
      </c>
      <c r="TC3" s="5"/>
      <c r="TD3">
        <f t="shared" ref="TD3:TD16" si="87">TH3 - TH2</f>
        <v>11</v>
      </c>
      <c r="TE3" t="s">
        <v>87</v>
      </c>
      <c r="TG3">
        <v>6.3893916606903076</v>
      </c>
      <c r="TH3">
        <v>11</v>
      </c>
      <c r="TI3" s="2"/>
      <c r="TJ3">
        <f t="shared" ref="TJ3:TJ18" si="88">TN3 - TN2</f>
        <v>36</v>
      </c>
      <c r="TK3" t="s">
        <v>88</v>
      </c>
      <c r="TM3">
        <v>2.480043888092041</v>
      </c>
      <c r="TN3">
        <v>36</v>
      </c>
      <c r="TO3" s="5"/>
      <c r="TP3">
        <f t="shared" ref="TP3:TP17" si="89">TT3 - TT2</f>
        <v>30</v>
      </c>
      <c r="TQ3" t="s">
        <v>89</v>
      </c>
      <c r="TS3">
        <v>2.7391848564147949</v>
      </c>
      <c r="TT3">
        <v>30</v>
      </c>
      <c r="TU3" s="2"/>
      <c r="TV3">
        <f t="shared" ref="TV3:TV18" si="90">TZ3 - TZ2</f>
        <v>13</v>
      </c>
      <c r="TW3" t="s">
        <v>90</v>
      </c>
      <c r="TY3">
        <v>1.8566462993621831</v>
      </c>
      <c r="TZ3">
        <v>13</v>
      </c>
      <c r="UA3" s="5"/>
      <c r="UB3">
        <f t="shared" ref="UB3:UB18" si="91">UF3 - UF2</f>
        <v>16</v>
      </c>
      <c r="UC3" t="s">
        <v>91</v>
      </c>
      <c r="UE3">
        <v>18.299198389053341</v>
      </c>
      <c r="UF3">
        <v>16</v>
      </c>
      <c r="UG3" s="2"/>
      <c r="UH3">
        <f t="shared" ref="UH3:UH17" si="92">UL3 - UL2</f>
        <v>20</v>
      </c>
      <c r="UI3" t="s">
        <v>92</v>
      </c>
      <c r="UK3">
        <v>4.1987617015838623</v>
      </c>
      <c r="UL3">
        <v>20</v>
      </c>
      <c r="UM3" s="5"/>
      <c r="UN3">
        <f t="shared" ref="UN3:UN16" si="93">UR3 - UR2</f>
        <v>72</v>
      </c>
      <c r="UO3" t="s">
        <v>93</v>
      </c>
      <c r="UQ3">
        <v>125.1532554626465</v>
      </c>
      <c r="UR3">
        <v>72</v>
      </c>
      <c r="US3" s="2"/>
      <c r="UT3">
        <f t="shared" ref="UT3:UT17" si="94">UX3 - UX2</f>
        <v>56</v>
      </c>
      <c r="UU3" t="s">
        <v>94</v>
      </c>
      <c r="UW3">
        <v>100.906955242157</v>
      </c>
      <c r="UX3">
        <v>56</v>
      </c>
      <c r="UY3" s="5"/>
      <c r="UZ3">
        <f t="shared" ref="UZ3:UZ17" si="95">VD3 - VD2</f>
        <v>28</v>
      </c>
      <c r="VA3" t="s">
        <v>95</v>
      </c>
      <c r="VC3">
        <v>12.670081377029421</v>
      </c>
      <c r="VD3">
        <v>28</v>
      </c>
      <c r="VE3" s="2"/>
      <c r="VF3">
        <f t="shared" ref="VF3:VF16" si="96">VJ3 - VJ2</f>
        <v>26</v>
      </c>
      <c r="VG3" t="s">
        <v>96</v>
      </c>
      <c r="VI3">
        <v>8.2250125408172607</v>
      </c>
      <c r="VJ3">
        <v>26</v>
      </c>
      <c r="VK3" s="5"/>
      <c r="VL3">
        <f t="shared" ref="VL3:VL16" si="97">VP3 - VP2</f>
        <v>13</v>
      </c>
      <c r="VM3" t="s">
        <v>97</v>
      </c>
      <c r="VO3">
        <v>12.236281156539921</v>
      </c>
      <c r="VP3">
        <v>13</v>
      </c>
      <c r="VQ3" s="2"/>
      <c r="VR3">
        <f t="shared" ref="VR3:VR20" si="98">VV3 - VV2</f>
        <v>26</v>
      </c>
      <c r="VS3" t="s">
        <v>98</v>
      </c>
      <c r="VU3">
        <v>3.5489223003387451</v>
      </c>
      <c r="VV3">
        <v>26</v>
      </c>
      <c r="VW3" s="5"/>
      <c r="VX3">
        <f t="shared" ref="VX3:VX19" si="99">WB3 - WB2</f>
        <v>26</v>
      </c>
      <c r="VY3" t="s">
        <v>99</v>
      </c>
      <c r="WA3">
        <v>12.32030367851257</v>
      </c>
      <c r="WB3">
        <v>26</v>
      </c>
      <c r="WC3" s="2"/>
      <c r="WD3">
        <f t="shared" ref="WD3:WD19" si="100">WH3 - WH2</f>
        <v>4</v>
      </c>
      <c r="WE3" t="s">
        <v>20</v>
      </c>
      <c r="WG3">
        <v>1.161368846893311</v>
      </c>
      <c r="WH3">
        <v>4</v>
      </c>
      <c r="WI3" s="5"/>
      <c r="WJ3">
        <f t="shared" ref="WJ3:WJ19" si="101">WN3 - WN2</f>
        <v>14</v>
      </c>
      <c r="WK3" t="s">
        <v>100</v>
      </c>
      <c r="WM3">
        <v>8.3947441577911377</v>
      </c>
      <c r="WN3">
        <v>14</v>
      </c>
      <c r="WO3" s="2"/>
      <c r="WP3">
        <f t="shared" ref="WP3:WP19" si="102">WT3 - WT2</f>
        <v>22</v>
      </c>
      <c r="WQ3" t="s">
        <v>101</v>
      </c>
      <c r="WS3">
        <v>4.0021047592163086</v>
      </c>
      <c r="WT3">
        <v>22</v>
      </c>
      <c r="WU3" s="5"/>
      <c r="WV3">
        <f t="shared" ref="WV3:WV18" si="103">WZ3 - WZ2</f>
        <v>9</v>
      </c>
      <c r="WW3" t="s">
        <v>102</v>
      </c>
      <c r="WY3">
        <v>12.790605783462521</v>
      </c>
      <c r="WZ3">
        <v>9</v>
      </c>
      <c r="XA3" s="2"/>
      <c r="XB3">
        <f t="shared" ref="XB3:XB18" si="104">XF3 - XF2</f>
        <v>20</v>
      </c>
      <c r="XC3" t="s">
        <v>103</v>
      </c>
      <c r="XE3">
        <v>2.1958878040313721</v>
      </c>
      <c r="XF3">
        <v>20</v>
      </c>
      <c r="XG3" s="5"/>
      <c r="XH3">
        <f t="shared" ref="XH3:XH17" si="105">XL3 - XL2</f>
        <v>32</v>
      </c>
      <c r="XI3" t="s">
        <v>104</v>
      </c>
      <c r="XK3">
        <v>20.265516042709351</v>
      </c>
      <c r="XL3">
        <v>32</v>
      </c>
      <c r="XM3" s="2"/>
      <c r="XN3">
        <f t="shared" ref="XN3:XN16" si="106">XR3 - XR2</f>
        <v>26</v>
      </c>
      <c r="XO3" t="s">
        <v>105</v>
      </c>
      <c r="XQ3">
        <v>4.5840373039245614</v>
      </c>
      <c r="XR3">
        <v>26</v>
      </c>
      <c r="XS3" s="5"/>
      <c r="XT3">
        <f t="shared" ref="XT3:XT16" si="107">XX3 - XX2</f>
        <v>136</v>
      </c>
      <c r="XU3" t="s">
        <v>106</v>
      </c>
      <c r="XW3">
        <v>14.94668936729431</v>
      </c>
      <c r="XX3">
        <v>136</v>
      </c>
      <c r="XY3" s="2"/>
      <c r="XZ3">
        <f t="shared" ref="XZ3:XZ20" si="108">YD3 - YD2</f>
        <v>4</v>
      </c>
      <c r="YA3" t="s">
        <v>107</v>
      </c>
      <c r="YC3">
        <v>1.631267309188843</v>
      </c>
      <c r="YD3">
        <v>4</v>
      </c>
      <c r="YE3" s="5"/>
      <c r="YF3">
        <f t="shared" ref="YF3:YF20" si="109">YJ3 - YJ2</f>
        <v>38</v>
      </c>
      <c r="YG3" t="s">
        <v>108</v>
      </c>
      <c r="YI3">
        <v>7.4748766422271729</v>
      </c>
      <c r="YJ3">
        <v>38</v>
      </c>
      <c r="YK3" s="2"/>
      <c r="YL3">
        <f t="shared" ref="YL3:YL16" si="110">YP3 - YP2</f>
        <v>14</v>
      </c>
      <c r="YM3" t="s">
        <v>109</v>
      </c>
      <c r="YO3">
        <v>2.9407403469085689</v>
      </c>
      <c r="YP3">
        <v>14</v>
      </c>
      <c r="YQ3" s="5"/>
      <c r="YR3">
        <f t="shared" ref="YR3:YR16" si="111">YV3 - YV2</f>
        <v>36</v>
      </c>
      <c r="YS3" t="s">
        <v>110</v>
      </c>
      <c r="YU3">
        <v>17.067049741744999</v>
      </c>
      <c r="YV3">
        <v>36</v>
      </c>
      <c r="YW3" s="2"/>
      <c r="YX3">
        <f t="shared" ref="YX3:YX16" si="112">ZB3 - ZB2</f>
        <v>36</v>
      </c>
      <c r="YY3" t="s">
        <v>111</v>
      </c>
      <c r="ZA3">
        <v>4.2322406768798828</v>
      </c>
      <c r="ZB3">
        <v>36</v>
      </c>
      <c r="ZC3" s="5"/>
      <c r="ZD3">
        <f t="shared" ref="ZD3:ZD15" si="113">ZH3 - ZH2</f>
        <v>25</v>
      </c>
      <c r="ZE3" t="s">
        <v>112</v>
      </c>
      <c r="ZG3">
        <v>27.787904024124149</v>
      </c>
      <c r="ZH3">
        <v>25</v>
      </c>
      <c r="ZI3" s="2"/>
      <c r="ZJ3">
        <f t="shared" ref="ZJ3:ZJ19" si="114">ZN3 - ZN2</f>
        <v>16</v>
      </c>
      <c r="ZK3" t="s">
        <v>113</v>
      </c>
      <c r="ZM3">
        <v>2.8697078227996831</v>
      </c>
      <c r="ZN3">
        <v>16</v>
      </c>
      <c r="ZO3" s="5"/>
      <c r="ZP3">
        <f t="shared" ref="ZP3:ZP19" si="115">ZT3 - ZT2</f>
        <v>36</v>
      </c>
      <c r="ZQ3" t="s">
        <v>114</v>
      </c>
      <c r="ZS3">
        <v>8.7153353691101074</v>
      </c>
      <c r="ZT3">
        <v>36</v>
      </c>
      <c r="ZU3" s="2"/>
      <c r="ZV3">
        <f t="shared" ref="ZV3:ZV17" si="116">ZZ3 - ZZ2</f>
        <v>68</v>
      </c>
      <c r="ZW3" t="s">
        <v>115</v>
      </c>
      <c r="ZY3">
        <v>32.00050950050354</v>
      </c>
      <c r="ZZ3">
        <v>68</v>
      </c>
      <c r="AAA3" s="5"/>
      <c r="AAB3">
        <f t="shared" ref="AAB3:AAB17" si="117">AAF3 - AAF2</f>
        <v>42</v>
      </c>
      <c r="AAC3" t="s">
        <v>116</v>
      </c>
      <c r="AAE3">
        <v>5.8891305923461914</v>
      </c>
      <c r="AAF3">
        <v>42</v>
      </c>
      <c r="AAG3" s="2"/>
      <c r="AAH3">
        <f t="shared" ref="AAH3:AAH18" si="118">AAL3 - AAL2</f>
        <v>66</v>
      </c>
      <c r="AAI3" t="s">
        <v>117</v>
      </c>
      <c r="AAK3">
        <v>55.053916215896614</v>
      </c>
      <c r="AAL3">
        <v>66</v>
      </c>
      <c r="AAM3" s="5"/>
      <c r="AAN3">
        <f t="shared" ref="AAN3:AAN18" si="119">AAR3 - AAR2</f>
        <v>19</v>
      </c>
      <c r="AAO3" t="s">
        <v>118</v>
      </c>
      <c r="AAQ3">
        <v>25.815563678741459</v>
      </c>
      <c r="AAR3">
        <v>19</v>
      </c>
      <c r="AAS3" s="2"/>
      <c r="AAT3">
        <f t="shared" ref="AAT3:AAT22" si="120">AAX3 - AAX2</f>
        <v>22</v>
      </c>
      <c r="AAU3" t="s">
        <v>119</v>
      </c>
      <c r="AAW3">
        <v>6.0725622177124023</v>
      </c>
      <c r="AAX3">
        <v>22</v>
      </c>
      <c r="AAY3" s="5"/>
      <c r="AAZ3">
        <f t="shared" ref="AAZ3:AAZ21" si="121">ABD3 - ABD2</f>
        <v>14</v>
      </c>
      <c r="ABA3" t="s">
        <v>120</v>
      </c>
      <c r="ABC3">
        <v>5.195580005645752</v>
      </c>
      <c r="ABD3">
        <v>14</v>
      </c>
      <c r="ABE3" s="2"/>
      <c r="ABF3">
        <f t="shared" ref="ABF3:ABF19" si="122">ABJ3 - ABJ2</f>
        <v>20</v>
      </c>
      <c r="ABG3" t="s">
        <v>121</v>
      </c>
      <c r="ABI3">
        <v>4.0289764404296884</v>
      </c>
      <c r="ABJ3">
        <v>20</v>
      </c>
      <c r="ABK3" s="5"/>
      <c r="ABL3">
        <f t="shared" ref="ABL3:ABL18" si="123">ABP3 - ABP2</f>
        <v>56</v>
      </c>
      <c r="ABM3" t="s">
        <v>122</v>
      </c>
      <c r="ABO3">
        <v>7.1551487445831299</v>
      </c>
      <c r="ABP3">
        <v>56</v>
      </c>
      <c r="ABQ3" s="2"/>
      <c r="ABR3">
        <f t="shared" ref="ABR3:ABR17" si="124">ABV3 - ABV2</f>
        <v>10</v>
      </c>
      <c r="ABS3" t="s">
        <v>123</v>
      </c>
      <c r="ABU3">
        <v>1.8105564117431641</v>
      </c>
      <c r="ABV3">
        <v>10</v>
      </c>
      <c r="ABW3" s="5"/>
      <c r="ABX3">
        <f t="shared" ref="ABX3:ABX16" si="125">ACB3 - ACB2</f>
        <v>28</v>
      </c>
      <c r="ABY3" t="s">
        <v>124</v>
      </c>
      <c r="ACA3">
        <v>15.272125482559201</v>
      </c>
      <c r="ACB3">
        <v>28</v>
      </c>
      <c r="ACC3" s="2"/>
      <c r="ACD3">
        <f t="shared" ref="ACD3:ACD23" si="126">ACH3 - ACH2</f>
        <v>10</v>
      </c>
      <c r="ACE3" t="s">
        <v>123</v>
      </c>
      <c r="ACG3">
        <v>1.896429777145386</v>
      </c>
      <c r="ACH3">
        <v>10</v>
      </c>
      <c r="ACI3" s="5"/>
      <c r="ACJ3">
        <f t="shared" ref="ACJ3:ACJ22" si="127">ACN3 - ACN2</f>
        <v>40</v>
      </c>
      <c r="ACK3" t="s">
        <v>125</v>
      </c>
      <c r="ACM3">
        <v>8.5069184303283691</v>
      </c>
      <c r="ACN3">
        <v>40</v>
      </c>
      <c r="ACO3" s="2"/>
      <c r="ACP3">
        <f t="shared" ref="ACP3:ACP21" si="128">ACT3 - ACT2</f>
        <v>8</v>
      </c>
      <c r="ACQ3" t="s">
        <v>126</v>
      </c>
      <c r="ACS3">
        <v>2.0099606513977051</v>
      </c>
      <c r="ACT3">
        <v>8</v>
      </c>
      <c r="ACU3" s="5"/>
      <c r="ACV3">
        <f t="shared" ref="ACV3:ACV21" si="129">ACZ3 - ACZ2</f>
        <v>10</v>
      </c>
      <c r="ACW3" t="s">
        <v>127</v>
      </c>
      <c r="ACY3">
        <v>5.7039563655853271</v>
      </c>
      <c r="ACZ3">
        <v>10</v>
      </c>
      <c r="ADA3" s="2"/>
      <c r="ADB3">
        <f t="shared" ref="ADB3:ADB17" si="130">ADF3 - ADF2</f>
        <v>12</v>
      </c>
      <c r="ADC3" t="s">
        <v>128</v>
      </c>
      <c r="ADE3">
        <v>2.063856840133667</v>
      </c>
      <c r="ADF3">
        <v>12</v>
      </c>
      <c r="ADG3" s="5"/>
      <c r="ADH3">
        <f t="shared" ref="ADH3:ADH16" si="131">ADL3 - ADL2</f>
        <v>38</v>
      </c>
      <c r="ADI3" t="s">
        <v>129</v>
      </c>
      <c r="ADK3">
        <v>20.980658531188961</v>
      </c>
      <c r="ADL3">
        <v>38</v>
      </c>
      <c r="ADM3" s="2"/>
      <c r="ADN3">
        <f t="shared" ref="ADN3:ADN14" si="132">ADR3 - ADR2</f>
        <v>9</v>
      </c>
      <c r="ADO3" t="s">
        <v>130</v>
      </c>
      <c r="ADQ3">
        <v>2.0073122978210449</v>
      </c>
      <c r="ADR3">
        <v>9</v>
      </c>
      <c r="ADS3" s="5"/>
      <c r="ADT3">
        <f t="shared" ref="ADT3:ADT14" si="133">ADX3 - ADX2</f>
        <v>21</v>
      </c>
      <c r="ADU3" t="s">
        <v>131</v>
      </c>
      <c r="ADW3">
        <v>20.902317762374881</v>
      </c>
      <c r="ADX3">
        <v>21</v>
      </c>
      <c r="ADY3" s="2"/>
      <c r="ADZ3">
        <f t="shared" ref="ADZ3:ADZ16" si="134">AED3 - AED2</f>
        <v>62</v>
      </c>
      <c r="AEA3" t="s">
        <v>132</v>
      </c>
      <c r="AEC3">
        <v>72.577520847320557</v>
      </c>
      <c r="AED3">
        <v>62</v>
      </c>
      <c r="AEE3" s="5"/>
      <c r="AEF3">
        <f t="shared" ref="AEF3:AEF15" si="135">AEJ3 - AEJ2</f>
        <v>24</v>
      </c>
      <c r="AEG3" t="s">
        <v>133</v>
      </c>
      <c r="AEI3">
        <v>6.3352553844451904</v>
      </c>
      <c r="AEJ3">
        <v>24</v>
      </c>
      <c r="AEK3" s="2"/>
      <c r="AEL3">
        <f t="shared" ref="AEL3:AEL18" si="136">AEP3 - AEP2</f>
        <v>22</v>
      </c>
      <c r="AEM3" t="s">
        <v>134</v>
      </c>
      <c r="AEO3">
        <v>2.726559162139893</v>
      </c>
      <c r="AEP3">
        <v>22</v>
      </c>
      <c r="AEQ3" s="5"/>
      <c r="AER3">
        <f t="shared" ref="AER3:AER18" si="137">AEV3 - AEV2</f>
        <v>18</v>
      </c>
      <c r="AES3" t="s">
        <v>135</v>
      </c>
      <c r="AEU3">
        <v>193.05188941955569</v>
      </c>
      <c r="AEV3">
        <v>18</v>
      </c>
      <c r="AEW3" s="2"/>
      <c r="AEX3">
        <f t="shared" ref="AEX3:AEX18" si="138">AFB3 - AFB2</f>
        <v>28</v>
      </c>
      <c r="AEY3" t="s">
        <v>136</v>
      </c>
      <c r="AFA3">
        <v>3.5407121181488042</v>
      </c>
      <c r="AFB3">
        <v>28</v>
      </c>
      <c r="AFC3" s="5"/>
      <c r="AFD3">
        <f t="shared" ref="AFD3:AFD18" si="139">AFH3 - AFH2</f>
        <v>16</v>
      </c>
      <c r="AFE3" t="s">
        <v>137</v>
      </c>
      <c r="AFG3">
        <v>14.219651222229</v>
      </c>
      <c r="AFH3">
        <v>16</v>
      </c>
      <c r="AFI3" s="2"/>
      <c r="AFJ3">
        <f t="shared" ref="AFJ3:AFJ20" si="140">AFN3 - AFN2</f>
        <v>11</v>
      </c>
      <c r="AFK3" t="s">
        <v>138</v>
      </c>
      <c r="AFM3">
        <v>1.9475066661834719</v>
      </c>
      <c r="AFN3">
        <v>11</v>
      </c>
      <c r="AFO3" s="5"/>
      <c r="AFP3">
        <f t="shared" ref="AFP3:AFP20" si="141">AFT3 - AFT2</f>
        <v>13</v>
      </c>
      <c r="AFQ3" t="s">
        <v>139</v>
      </c>
      <c r="AFS3">
        <v>12.14700627326965</v>
      </c>
      <c r="AFT3">
        <v>13</v>
      </c>
      <c r="AFU3" s="2"/>
      <c r="AFV3">
        <f t="shared" ref="AFV3:AFV19" si="142">AFZ3 - AFZ2</f>
        <v>22</v>
      </c>
      <c r="AFW3" t="s">
        <v>140</v>
      </c>
      <c r="AFY3">
        <v>2.3136410713195801</v>
      </c>
      <c r="AFZ3">
        <v>22</v>
      </c>
      <c r="AGA3" s="5"/>
      <c r="AGB3">
        <f t="shared" ref="AGB3:AGB18" si="143">AGF3 - AGF2</f>
        <v>36</v>
      </c>
      <c r="AGC3" t="s">
        <v>141</v>
      </c>
      <c r="AGE3">
        <v>14.13137555122375</v>
      </c>
      <c r="AGF3">
        <v>36</v>
      </c>
      <c r="AGG3" s="2"/>
      <c r="AGH3">
        <f t="shared" ref="AGH3:AGH17" si="144">AGL3 - AGL2</f>
        <v>24</v>
      </c>
      <c r="AGI3" t="s">
        <v>142</v>
      </c>
      <c r="AGK3">
        <v>2.4604911804199219</v>
      </c>
      <c r="AGL3">
        <v>24</v>
      </c>
      <c r="AGM3" s="5"/>
      <c r="AGN3">
        <f t="shared" ref="AGN3:AGN16" si="145">AGR3 - AGR2</f>
        <v>34</v>
      </c>
      <c r="AGO3" t="s">
        <v>143</v>
      </c>
      <c r="AGQ3">
        <v>11.52275991439819</v>
      </c>
      <c r="AGR3">
        <v>34</v>
      </c>
      <c r="AGS3" s="2"/>
      <c r="AGT3">
        <f t="shared" ref="AGT3:AGT17" si="146">AGX3 - AGX2</f>
        <v>22</v>
      </c>
      <c r="AGU3" t="s">
        <v>144</v>
      </c>
      <c r="AGW3">
        <v>3.0100269317626949</v>
      </c>
      <c r="AGX3">
        <v>22</v>
      </c>
      <c r="AGY3" s="5"/>
      <c r="AGZ3">
        <f t="shared" ref="AGZ3:AGZ17" si="147">AHD3 - AHD2</f>
        <v>52</v>
      </c>
      <c r="AHA3" t="s">
        <v>145</v>
      </c>
      <c r="AHC3">
        <v>25.739795207977291</v>
      </c>
      <c r="AHD3">
        <v>52</v>
      </c>
      <c r="AHE3" s="2"/>
      <c r="AHF3">
        <f t="shared" ref="AHF3:AHF18" si="148">AHJ3 - AHJ2</f>
        <v>10</v>
      </c>
      <c r="AHG3" t="s">
        <v>146</v>
      </c>
      <c r="AHI3">
        <v>2.2323706150054932</v>
      </c>
      <c r="AHJ3">
        <v>10</v>
      </c>
      <c r="AHK3" s="5"/>
      <c r="AHL3">
        <f t="shared" ref="AHL3:AHL17" si="149">AHP3 - AHP2</f>
        <v>26</v>
      </c>
      <c r="AHM3" t="s">
        <v>147</v>
      </c>
      <c r="AHO3">
        <v>9.8212356567382813</v>
      </c>
      <c r="AHP3">
        <v>26</v>
      </c>
      <c r="AHQ3" s="2"/>
      <c r="AHR3">
        <f t="shared" ref="AHR3:AHR23" si="150">AHV3 - AHV2</f>
        <v>12</v>
      </c>
      <c r="AHS3" t="s">
        <v>148</v>
      </c>
      <c r="AHU3">
        <v>1.977381706237793</v>
      </c>
      <c r="AHV3">
        <v>12</v>
      </c>
      <c r="AHW3" s="5"/>
      <c r="AHX3">
        <f t="shared" ref="AHX3:AHX22" si="151">AIB3 - AIB2</f>
        <v>40</v>
      </c>
      <c r="AHY3" t="s">
        <v>149</v>
      </c>
      <c r="AIA3">
        <v>16.511761903762821</v>
      </c>
      <c r="AIB3">
        <v>40</v>
      </c>
      <c r="AIC3" s="2"/>
      <c r="AID3">
        <f t="shared" ref="AID3:AID18" si="152">AIH3 - AIH2</f>
        <v>4</v>
      </c>
      <c r="AIE3" t="s">
        <v>150</v>
      </c>
      <c r="AIG3">
        <v>1.294002771377563</v>
      </c>
      <c r="AIH3">
        <v>4</v>
      </c>
      <c r="AII3" s="5"/>
      <c r="AIJ3">
        <f t="shared" ref="AIJ3:AIJ18" si="153">AIN3 - AIN2</f>
        <v>30</v>
      </c>
      <c r="AIK3" t="s">
        <v>151</v>
      </c>
      <c r="AIM3">
        <v>39.228340625762939</v>
      </c>
      <c r="AIN3">
        <v>30</v>
      </c>
      <c r="AIO3" s="2"/>
      <c r="AIP3">
        <f t="shared" ref="AIP3:AIP17" si="154">AIT3 - AIT2</f>
        <v>30</v>
      </c>
      <c r="AIQ3" t="s">
        <v>152</v>
      </c>
      <c r="AIS3">
        <v>22.730078458786011</v>
      </c>
      <c r="AIT3">
        <v>30</v>
      </c>
      <c r="AIU3" s="5"/>
      <c r="AIV3">
        <f t="shared" ref="AIV3:AIV16" si="155">AIZ3 - AIZ2</f>
        <v>36</v>
      </c>
      <c r="AIW3" t="s">
        <v>153</v>
      </c>
      <c r="AIY3">
        <v>15.16508889198303</v>
      </c>
      <c r="AIZ3">
        <v>36</v>
      </c>
      <c r="AJA3" s="2"/>
      <c r="AJB3">
        <f t="shared" ref="AJB3:AJB16" si="156">AJF3 - AJF2</f>
        <v>66</v>
      </c>
      <c r="AJC3" t="s">
        <v>154</v>
      </c>
      <c r="AJE3">
        <v>5.3875033855438232</v>
      </c>
      <c r="AJF3">
        <v>66</v>
      </c>
      <c r="AJG3" s="5"/>
      <c r="AJH3">
        <f t="shared" ref="AJH3:AJH16" si="157">AJL3 - AJL2</f>
        <v>32</v>
      </c>
      <c r="AJI3" t="s">
        <v>155</v>
      </c>
      <c r="AJK3">
        <v>12.89682269096375</v>
      </c>
      <c r="AJL3">
        <v>32</v>
      </c>
      <c r="AJM3" s="2"/>
      <c r="AJN3">
        <f t="shared" ref="AJN3:AJN16" si="158">AJR3 - AJR2</f>
        <v>32</v>
      </c>
      <c r="AJO3" t="s">
        <v>156</v>
      </c>
      <c r="AJQ3">
        <v>3.113591194152832</v>
      </c>
      <c r="AJR3">
        <v>32</v>
      </c>
      <c r="AJS3" s="5"/>
      <c r="AJT3">
        <f t="shared" ref="AJT3:AJT16" si="159">AJX3 - AJX2</f>
        <v>38</v>
      </c>
      <c r="AJU3" t="s">
        <v>157</v>
      </c>
      <c r="AJW3">
        <v>10.723208904266359</v>
      </c>
      <c r="AJX3">
        <v>38</v>
      </c>
      <c r="AJY3" s="2"/>
      <c r="AJZ3">
        <f t="shared" ref="AJZ3:AJZ20" si="160">AKD3 - AKD2</f>
        <v>22</v>
      </c>
      <c r="AKA3" t="s">
        <v>158</v>
      </c>
      <c r="AKC3">
        <v>6.2962329387664786</v>
      </c>
      <c r="AKD3">
        <v>22</v>
      </c>
      <c r="AKE3" s="5"/>
      <c r="AKF3">
        <f t="shared" ref="AKF3:AKF20" si="161">AKJ3 - AKJ2</f>
        <v>32</v>
      </c>
      <c r="AKG3" t="s">
        <v>159</v>
      </c>
      <c r="AKI3">
        <v>16.972805976867679</v>
      </c>
      <c r="AKJ3">
        <v>32</v>
      </c>
      <c r="AKK3" s="2"/>
      <c r="AKL3">
        <f t="shared" ref="AKL3:AKL19" si="162">AKP3 - AKP2</f>
        <v>22</v>
      </c>
      <c r="AKM3" t="s">
        <v>160</v>
      </c>
      <c r="AKO3">
        <v>10.101265907287599</v>
      </c>
      <c r="AKP3">
        <v>22</v>
      </c>
      <c r="AKQ3" s="5"/>
      <c r="AKR3">
        <f t="shared" ref="AKR3:AKR19" si="163">AKV3 - AKV2</f>
        <v>30</v>
      </c>
      <c r="AKS3" t="s">
        <v>161</v>
      </c>
      <c r="AKU3">
        <v>9.3868482112884521</v>
      </c>
      <c r="AKV3">
        <v>30</v>
      </c>
      <c r="AKW3" s="2"/>
      <c r="AKX3">
        <f t="shared" ref="AKX3:AKX18" si="164">ALB3 - ALB2</f>
        <v>36</v>
      </c>
      <c r="AKY3" t="s">
        <v>162</v>
      </c>
      <c r="ALA3">
        <v>2.2658061981201172</v>
      </c>
      <c r="ALB3">
        <v>36</v>
      </c>
      <c r="ALC3" s="5"/>
      <c r="ALD3">
        <f t="shared" ref="ALD3:ALD18" si="165">ALH3 - ALH2</f>
        <v>48</v>
      </c>
      <c r="ALE3" t="s">
        <v>163</v>
      </c>
      <c r="ALG3">
        <v>163.00327014923101</v>
      </c>
      <c r="ALH3">
        <v>48</v>
      </c>
      <c r="ALI3" s="2"/>
      <c r="ALJ3">
        <f t="shared" ref="ALJ3:ALJ19" si="166">ALN3 - ALN2</f>
        <v>28</v>
      </c>
      <c r="ALK3" t="s">
        <v>164</v>
      </c>
      <c r="ALM3">
        <v>6.3929178714752197</v>
      </c>
      <c r="ALN3">
        <v>28</v>
      </c>
      <c r="ALO3" s="5"/>
      <c r="ALP3">
        <f t="shared" ref="ALP3:ALP18" si="167">ALT3 - ALT2</f>
        <v>32</v>
      </c>
      <c r="ALQ3" t="s">
        <v>165</v>
      </c>
      <c r="ALS3">
        <v>18.872689723968509</v>
      </c>
      <c r="ALT3">
        <v>32</v>
      </c>
      <c r="ALU3" s="2"/>
      <c r="ALV3">
        <f t="shared" ref="ALV3:ALV21" si="168">ALZ3 - ALZ2</f>
        <v>60</v>
      </c>
      <c r="ALW3" t="s">
        <v>166</v>
      </c>
      <c r="ALY3">
        <v>3.3826010227203369</v>
      </c>
      <c r="ALZ3">
        <v>60</v>
      </c>
      <c r="AMA3" s="5"/>
      <c r="AMB3">
        <f t="shared" ref="AMB3:AMB21" si="169">AMF3 - AMF2</f>
        <v>36</v>
      </c>
      <c r="AMC3" t="s">
        <v>167</v>
      </c>
      <c r="AME3">
        <v>12.75513625144958</v>
      </c>
      <c r="AMF3">
        <v>36</v>
      </c>
      <c r="AMG3" s="2"/>
      <c r="AMH3">
        <f t="shared" ref="AMH3:AMH18" si="170">AML3 - AML2</f>
        <v>10</v>
      </c>
      <c r="AMI3" t="s">
        <v>168</v>
      </c>
      <c r="AMK3">
        <v>6.7938506603240967</v>
      </c>
      <c r="AML3">
        <v>10</v>
      </c>
      <c r="AMM3" s="5"/>
      <c r="AMN3">
        <f t="shared" ref="AMN3:AMN18" si="171">AMR3 - AMR2</f>
        <v>30</v>
      </c>
      <c r="AMO3" t="s">
        <v>169</v>
      </c>
      <c r="AMQ3">
        <v>16.99069976806641</v>
      </c>
      <c r="AMR3">
        <v>30</v>
      </c>
      <c r="AMS3" s="2"/>
    </row>
    <row r="4" spans="1:1033" x14ac:dyDescent="0.25">
      <c r="A4">
        <v>2</v>
      </c>
      <c r="B4">
        <f t="shared" si="0"/>
        <v>13</v>
      </c>
      <c r="C4" t="s">
        <v>170</v>
      </c>
      <c r="D4" t="s">
        <v>171</v>
      </c>
      <c r="E4">
        <v>2.7563972473144531</v>
      </c>
      <c r="F4">
        <v>20</v>
      </c>
      <c r="G4" s="1"/>
      <c r="H4">
        <f t="shared" si="1"/>
        <v>23</v>
      </c>
      <c r="I4" t="s">
        <v>172</v>
      </c>
      <c r="J4" t="s">
        <v>173</v>
      </c>
      <c r="K4">
        <v>2.106000661849976</v>
      </c>
      <c r="L4">
        <v>27</v>
      </c>
      <c r="M4" s="2"/>
      <c r="N4">
        <f t="shared" si="2"/>
        <v>76</v>
      </c>
      <c r="O4" t="s">
        <v>174</v>
      </c>
      <c r="P4" t="s">
        <v>175</v>
      </c>
      <c r="Q4">
        <v>103.4596092700958</v>
      </c>
      <c r="R4">
        <v>84</v>
      </c>
      <c r="S4" s="1"/>
      <c r="T4">
        <f t="shared" si="3"/>
        <v>58</v>
      </c>
      <c r="U4" t="s">
        <v>176</v>
      </c>
      <c r="V4" t="s">
        <v>177</v>
      </c>
      <c r="W4">
        <v>30.734381437301639</v>
      </c>
      <c r="X4">
        <v>86</v>
      </c>
      <c r="Y4" s="2"/>
      <c r="Z4">
        <f t="shared" si="4"/>
        <v>17</v>
      </c>
      <c r="AA4" t="s">
        <v>178</v>
      </c>
      <c r="AB4" t="s">
        <v>179</v>
      </c>
      <c r="AC4">
        <v>15.948911666870121</v>
      </c>
      <c r="AD4">
        <v>20</v>
      </c>
      <c r="AE4" s="1"/>
      <c r="AF4">
        <f t="shared" si="5"/>
        <v>47</v>
      </c>
      <c r="AG4" t="s">
        <v>180</v>
      </c>
      <c r="AH4" t="s">
        <v>181</v>
      </c>
      <c r="AI4">
        <v>9.5611610412597656</v>
      </c>
      <c r="AJ4">
        <v>70</v>
      </c>
      <c r="AK4" s="2"/>
      <c r="AL4">
        <f t="shared" si="6"/>
        <v>24</v>
      </c>
      <c r="AM4" t="s">
        <v>182</v>
      </c>
      <c r="AN4" t="s">
        <v>183</v>
      </c>
      <c r="AO4">
        <v>17.719143867492679</v>
      </c>
      <c r="AP4">
        <v>82</v>
      </c>
      <c r="AQ4" s="3"/>
      <c r="AR4">
        <f t="shared" si="7"/>
        <v>34</v>
      </c>
      <c r="AS4" t="s">
        <v>184</v>
      </c>
      <c r="AT4" t="s">
        <v>185</v>
      </c>
      <c r="AU4">
        <v>67.053781509399414</v>
      </c>
      <c r="AV4">
        <v>62</v>
      </c>
      <c r="AW4" s="2"/>
      <c r="AX4">
        <f t="shared" si="8"/>
        <v>9</v>
      </c>
      <c r="AY4" t="s">
        <v>10</v>
      </c>
      <c r="AZ4" t="s">
        <v>186</v>
      </c>
      <c r="BA4">
        <v>6.2943120002746582</v>
      </c>
      <c r="BB4">
        <v>18</v>
      </c>
      <c r="BC4" s="3"/>
      <c r="BD4">
        <f t="shared" si="9"/>
        <v>33</v>
      </c>
      <c r="BE4" t="s">
        <v>187</v>
      </c>
      <c r="BF4" t="s">
        <v>188</v>
      </c>
      <c r="BG4">
        <v>8.6444756984710693</v>
      </c>
      <c r="BH4">
        <v>61</v>
      </c>
      <c r="BI4" s="2"/>
      <c r="BJ4">
        <f t="shared" si="10"/>
        <v>37</v>
      </c>
      <c r="BK4" t="s">
        <v>189</v>
      </c>
      <c r="BL4" t="s">
        <v>190</v>
      </c>
      <c r="BM4">
        <v>136.31510496139529</v>
      </c>
      <c r="BN4">
        <v>48</v>
      </c>
      <c r="BO4" s="3"/>
      <c r="BP4">
        <f t="shared" si="11"/>
        <v>36</v>
      </c>
      <c r="BQ4" t="s">
        <v>191</v>
      </c>
      <c r="BR4" t="s">
        <v>192</v>
      </c>
      <c r="BS4">
        <v>14.68704628944397</v>
      </c>
      <c r="BT4">
        <v>62</v>
      </c>
      <c r="BU4" s="2"/>
      <c r="BV4">
        <f t="shared" si="12"/>
        <v>72</v>
      </c>
      <c r="BW4" t="s">
        <v>193</v>
      </c>
      <c r="BX4" t="s">
        <v>194</v>
      </c>
      <c r="BY4">
        <v>22.186003923416141</v>
      </c>
      <c r="BZ4">
        <v>136</v>
      </c>
      <c r="CA4" s="3"/>
      <c r="CB4">
        <f t="shared" si="13"/>
        <v>29</v>
      </c>
      <c r="CC4" t="s">
        <v>195</v>
      </c>
      <c r="CD4" t="s">
        <v>196</v>
      </c>
      <c r="CE4">
        <v>15.584493637084959</v>
      </c>
      <c r="CF4">
        <v>66</v>
      </c>
      <c r="CG4" s="2"/>
      <c r="CH4">
        <f t="shared" si="14"/>
        <v>13</v>
      </c>
      <c r="CI4" t="s">
        <v>197</v>
      </c>
      <c r="CJ4" t="s">
        <v>198</v>
      </c>
      <c r="CK4">
        <v>12.77621364593506</v>
      </c>
      <c r="CL4">
        <v>26</v>
      </c>
      <c r="CM4" s="3"/>
      <c r="CN4">
        <f t="shared" si="15"/>
        <v>60</v>
      </c>
      <c r="CO4" t="s">
        <v>199</v>
      </c>
      <c r="CP4" t="s">
        <v>200</v>
      </c>
      <c r="CQ4">
        <v>134.24303412437439</v>
      </c>
      <c r="CR4">
        <v>92</v>
      </c>
      <c r="CS4" s="2"/>
      <c r="CT4">
        <f t="shared" si="16"/>
        <v>46</v>
      </c>
      <c r="CU4" t="s">
        <v>201</v>
      </c>
      <c r="CV4" t="s">
        <v>202</v>
      </c>
      <c r="CW4">
        <v>5.4624190330505371</v>
      </c>
      <c r="CX4">
        <v>51</v>
      </c>
      <c r="CY4" s="3"/>
      <c r="CZ4">
        <f t="shared" si="17"/>
        <v>26</v>
      </c>
      <c r="DA4" t="s">
        <v>203</v>
      </c>
      <c r="DB4" t="s">
        <v>204</v>
      </c>
      <c r="DC4">
        <v>5.7344014644622803</v>
      </c>
      <c r="DD4">
        <v>57</v>
      </c>
      <c r="DE4" s="2"/>
      <c r="DF4">
        <f t="shared" si="18"/>
        <v>32</v>
      </c>
      <c r="DG4" t="s">
        <v>205</v>
      </c>
      <c r="DH4" t="s">
        <v>206</v>
      </c>
      <c r="DI4">
        <v>9.9441037178039551</v>
      </c>
      <c r="DJ4">
        <v>36</v>
      </c>
      <c r="DK4" s="3"/>
      <c r="DL4">
        <f t="shared" si="19"/>
        <v>34</v>
      </c>
      <c r="DM4" t="s">
        <v>207</v>
      </c>
      <c r="DN4" t="s">
        <v>208</v>
      </c>
      <c r="DO4">
        <v>60.117600202560418</v>
      </c>
      <c r="DP4">
        <v>50</v>
      </c>
      <c r="DQ4" s="2"/>
      <c r="DR4">
        <f t="shared" si="20"/>
        <v>48</v>
      </c>
      <c r="DS4" t="s">
        <v>209</v>
      </c>
      <c r="DT4" t="s">
        <v>210</v>
      </c>
      <c r="DU4">
        <v>152.80457615852359</v>
      </c>
      <c r="DV4">
        <v>59</v>
      </c>
      <c r="DW4" s="3"/>
      <c r="DX4">
        <f t="shared" si="21"/>
        <v>35</v>
      </c>
      <c r="DY4" t="s">
        <v>211</v>
      </c>
      <c r="DZ4" t="s">
        <v>212</v>
      </c>
      <c r="EA4">
        <v>10.80011677742004</v>
      </c>
      <c r="EB4">
        <v>57</v>
      </c>
      <c r="EC4" s="2"/>
      <c r="ED4">
        <f t="shared" si="22"/>
        <v>13</v>
      </c>
      <c r="EE4" t="s">
        <v>20</v>
      </c>
      <c r="EF4" t="s">
        <v>213</v>
      </c>
      <c r="EG4">
        <v>10.414925575256349</v>
      </c>
      <c r="EH4">
        <v>23</v>
      </c>
      <c r="EI4" s="3"/>
      <c r="EJ4">
        <f t="shared" si="23"/>
        <v>28</v>
      </c>
      <c r="EK4" t="s">
        <v>214</v>
      </c>
      <c r="EL4" t="s">
        <v>215</v>
      </c>
      <c r="EM4">
        <v>18.96890473365784</v>
      </c>
      <c r="EN4">
        <v>94</v>
      </c>
      <c r="EO4" s="2"/>
      <c r="EP4">
        <f t="shared" si="24"/>
        <v>42</v>
      </c>
      <c r="EQ4" t="s">
        <v>216</v>
      </c>
      <c r="ER4" t="s">
        <v>217</v>
      </c>
      <c r="ES4">
        <v>144.33958745002749</v>
      </c>
      <c r="ET4">
        <v>53</v>
      </c>
      <c r="EU4" s="3"/>
      <c r="EV4">
        <f t="shared" si="25"/>
        <v>14</v>
      </c>
      <c r="EW4" t="s">
        <v>218</v>
      </c>
      <c r="EX4" t="s">
        <v>219</v>
      </c>
      <c r="EY4">
        <v>11.45629930496216</v>
      </c>
      <c r="EZ4">
        <v>41</v>
      </c>
      <c r="FA4" s="2"/>
      <c r="FB4">
        <f t="shared" si="26"/>
        <v>60</v>
      </c>
      <c r="FC4" t="s">
        <v>220</v>
      </c>
      <c r="FD4" t="s">
        <v>221</v>
      </c>
      <c r="FE4">
        <v>18.613753080368038</v>
      </c>
      <c r="FF4">
        <v>77</v>
      </c>
      <c r="FG4" s="3"/>
      <c r="FH4">
        <f t="shared" si="27"/>
        <v>28</v>
      </c>
      <c r="FI4" t="s">
        <v>222</v>
      </c>
      <c r="FJ4" t="s">
        <v>223</v>
      </c>
      <c r="FK4">
        <v>12.73024582862854</v>
      </c>
      <c r="FL4">
        <v>52</v>
      </c>
      <c r="FM4" s="2"/>
      <c r="FN4">
        <f t="shared" si="28"/>
        <v>46</v>
      </c>
      <c r="FO4" t="s">
        <v>224</v>
      </c>
      <c r="FP4" t="s">
        <v>225</v>
      </c>
      <c r="FQ4">
        <v>24.44770455360413</v>
      </c>
      <c r="FR4">
        <v>118</v>
      </c>
      <c r="FS4" s="3"/>
      <c r="FT4">
        <f t="shared" si="29"/>
        <v>42</v>
      </c>
      <c r="FU4" t="s">
        <v>226</v>
      </c>
      <c r="FV4" t="s">
        <v>227</v>
      </c>
      <c r="FW4">
        <v>9.2740733623504639</v>
      </c>
      <c r="FX4">
        <v>101</v>
      </c>
      <c r="FY4" s="2"/>
      <c r="FZ4">
        <f t="shared" si="30"/>
        <v>36</v>
      </c>
      <c r="GA4" t="s">
        <v>228</v>
      </c>
      <c r="GB4" t="s">
        <v>229</v>
      </c>
      <c r="GC4">
        <v>15.69349193572998</v>
      </c>
      <c r="GD4">
        <v>52</v>
      </c>
      <c r="GE4" s="3"/>
      <c r="GF4">
        <f t="shared" si="31"/>
        <v>22</v>
      </c>
      <c r="GG4" t="s">
        <v>230</v>
      </c>
      <c r="GH4" t="s">
        <v>231</v>
      </c>
      <c r="GI4">
        <v>4.6360580921173096</v>
      </c>
      <c r="GJ4">
        <v>54</v>
      </c>
      <c r="GK4" s="2"/>
      <c r="GL4">
        <f t="shared" si="32"/>
        <v>18</v>
      </c>
      <c r="GM4" t="s">
        <v>232</v>
      </c>
      <c r="GN4" t="s">
        <v>233</v>
      </c>
      <c r="GO4">
        <v>9.7383444309234619</v>
      </c>
      <c r="GP4">
        <v>27</v>
      </c>
      <c r="GQ4" s="3"/>
      <c r="GR4">
        <f t="shared" si="33"/>
        <v>130</v>
      </c>
      <c r="GS4" t="s">
        <v>234</v>
      </c>
      <c r="GT4" t="s">
        <v>235</v>
      </c>
      <c r="GU4">
        <v>196.97361159324649</v>
      </c>
      <c r="GV4">
        <v>160</v>
      </c>
      <c r="GW4" s="2"/>
      <c r="GX4">
        <f t="shared" si="34"/>
        <v>34</v>
      </c>
      <c r="GY4" t="s">
        <v>236</v>
      </c>
      <c r="GZ4" t="s">
        <v>237</v>
      </c>
      <c r="HA4">
        <v>5.6063125133514404</v>
      </c>
      <c r="HB4">
        <v>45</v>
      </c>
      <c r="HC4" s="3"/>
      <c r="HD4">
        <f t="shared" si="35"/>
        <v>24</v>
      </c>
      <c r="HE4" t="s">
        <v>238</v>
      </c>
      <c r="HF4" t="s">
        <v>239</v>
      </c>
      <c r="HG4">
        <v>6.6171164512634277</v>
      </c>
      <c r="HH4">
        <v>39</v>
      </c>
      <c r="HI4" s="2"/>
      <c r="HJ4">
        <f t="shared" si="36"/>
        <v>37</v>
      </c>
      <c r="HK4" t="s">
        <v>240</v>
      </c>
      <c r="HL4" t="s">
        <v>241</v>
      </c>
      <c r="HM4">
        <v>14.19703245162964</v>
      </c>
      <c r="HN4">
        <v>48</v>
      </c>
      <c r="HO4" s="3"/>
      <c r="HP4">
        <f t="shared" si="37"/>
        <v>27</v>
      </c>
      <c r="HQ4" t="s">
        <v>242</v>
      </c>
      <c r="HR4" t="s">
        <v>243</v>
      </c>
      <c r="HS4">
        <v>8.7479643821716309</v>
      </c>
      <c r="HT4">
        <v>93</v>
      </c>
      <c r="HU4" s="2"/>
      <c r="HV4">
        <f t="shared" si="38"/>
        <v>23</v>
      </c>
      <c r="HW4" t="s">
        <v>244</v>
      </c>
      <c r="HX4" t="s">
        <v>245</v>
      </c>
      <c r="HY4">
        <v>20.694636344909672</v>
      </c>
      <c r="HZ4">
        <v>32</v>
      </c>
      <c r="IA4" s="3"/>
      <c r="IB4">
        <f t="shared" si="39"/>
        <v>74</v>
      </c>
      <c r="IC4" t="s">
        <v>246</v>
      </c>
      <c r="ID4" t="s">
        <v>247</v>
      </c>
      <c r="IE4">
        <v>94.90739631652832</v>
      </c>
      <c r="IF4">
        <v>98</v>
      </c>
      <c r="IG4" s="2"/>
      <c r="IH4">
        <f t="shared" si="40"/>
        <v>54</v>
      </c>
      <c r="II4" t="s">
        <v>248</v>
      </c>
      <c r="IJ4" t="s">
        <v>249</v>
      </c>
      <c r="IK4">
        <v>11.072268962860109</v>
      </c>
      <c r="IL4">
        <v>59</v>
      </c>
      <c r="IM4" s="3"/>
      <c r="IN4">
        <f t="shared" si="41"/>
        <v>36</v>
      </c>
      <c r="IO4" t="s">
        <v>250</v>
      </c>
      <c r="IP4" t="s">
        <v>251</v>
      </c>
      <c r="IQ4">
        <v>24.52128100395203</v>
      </c>
      <c r="IR4">
        <v>66</v>
      </c>
      <c r="IS4" s="2"/>
      <c r="IT4">
        <f t="shared" si="42"/>
        <v>23</v>
      </c>
      <c r="IU4" t="s">
        <v>252</v>
      </c>
      <c r="IV4" t="s">
        <v>253</v>
      </c>
      <c r="IW4">
        <v>6.3199903964996338</v>
      </c>
      <c r="IX4">
        <v>34</v>
      </c>
      <c r="IY4" s="3"/>
      <c r="IZ4">
        <f t="shared" si="43"/>
        <v>15</v>
      </c>
      <c r="JA4" t="s">
        <v>254</v>
      </c>
      <c r="JB4" t="s">
        <v>255</v>
      </c>
      <c r="JC4">
        <v>10.343952417373661</v>
      </c>
      <c r="JD4">
        <v>43</v>
      </c>
      <c r="JE4" s="2"/>
      <c r="JF4">
        <f t="shared" si="44"/>
        <v>34</v>
      </c>
      <c r="JG4" t="s">
        <v>256</v>
      </c>
      <c r="JH4" t="s">
        <v>257</v>
      </c>
      <c r="JI4">
        <v>13.68149900436401</v>
      </c>
      <c r="JJ4">
        <v>50</v>
      </c>
      <c r="JK4" s="3"/>
      <c r="JL4">
        <f t="shared" si="45"/>
        <v>25</v>
      </c>
      <c r="JM4" t="s">
        <v>258</v>
      </c>
      <c r="JN4" t="s">
        <v>259</v>
      </c>
      <c r="JO4">
        <v>6.3551278114318848</v>
      </c>
      <c r="JP4">
        <v>47</v>
      </c>
      <c r="JQ4" s="2"/>
      <c r="JR4">
        <f t="shared" si="46"/>
        <v>30</v>
      </c>
      <c r="JS4" t="s">
        <v>260</v>
      </c>
      <c r="JT4" t="s">
        <v>261</v>
      </c>
      <c r="JU4">
        <v>5.8270254135131836</v>
      </c>
      <c r="JV4">
        <v>41</v>
      </c>
      <c r="JW4" s="3"/>
      <c r="JX4">
        <f t="shared" si="47"/>
        <v>57</v>
      </c>
      <c r="JY4" t="s">
        <v>262</v>
      </c>
      <c r="JZ4" t="s">
        <v>263</v>
      </c>
      <c r="KA4">
        <v>229.52879238128659</v>
      </c>
      <c r="KB4">
        <v>91</v>
      </c>
      <c r="KC4" s="2"/>
      <c r="KD4">
        <f t="shared" si="48"/>
        <v>5</v>
      </c>
      <c r="KE4" t="s">
        <v>264</v>
      </c>
      <c r="KF4" t="s">
        <v>265</v>
      </c>
      <c r="KG4">
        <v>7.7632896900177002</v>
      </c>
      <c r="KH4">
        <v>14</v>
      </c>
      <c r="KI4" s="3"/>
      <c r="KJ4">
        <f t="shared" si="49"/>
        <v>24</v>
      </c>
      <c r="KK4" t="s">
        <v>266</v>
      </c>
      <c r="KL4" t="s">
        <v>267</v>
      </c>
      <c r="KM4">
        <v>7.3200595378875732</v>
      </c>
      <c r="KN4">
        <v>53</v>
      </c>
      <c r="KO4" s="2"/>
      <c r="KP4">
        <f t="shared" si="50"/>
        <v>33</v>
      </c>
      <c r="KQ4" t="s">
        <v>268</v>
      </c>
      <c r="KR4" t="s">
        <v>269</v>
      </c>
      <c r="KS4">
        <v>4.1440205574035636</v>
      </c>
      <c r="KT4">
        <v>99</v>
      </c>
      <c r="KU4" s="3"/>
      <c r="KV4">
        <f t="shared" si="51"/>
        <v>29</v>
      </c>
      <c r="KW4" t="s">
        <v>270</v>
      </c>
      <c r="KX4" t="s">
        <v>271</v>
      </c>
      <c r="KY4">
        <v>11.43161773681641</v>
      </c>
      <c r="KZ4">
        <v>65</v>
      </c>
      <c r="LA4" s="2"/>
      <c r="LB4">
        <f t="shared" si="52"/>
        <v>72</v>
      </c>
      <c r="LC4" t="s">
        <v>272</v>
      </c>
      <c r="LD4" t="s">
        <v>273</v>
      </c>
      <c r="LE4">
        <v>4.2518525123596191</v>
      </c>
      <c r="LF4">
        <v>91</v>
      </c>
      <c r="LG4" s="3"/>
      <c r="LH4">
        <f t="shared" si="53"/>
        <v>28</v>
      </c>
      <c r="LI4" t="s">
        <v>274</v>
      </c>
      <c r="LJ4" t="s">
        <v>275</v>
      </c>
      <c r="LK4">
        <v>11.83022880554199</v>
      </c>
      <c r="LL4">
        <v>49</v>
      </c>
      <c r="LM4" s="2"/>
      <c r="LN4">
        <f t="shared" si="54"/>
        <v>40</v>
      </c>
      <c r="LO4" t="s">
        <v>276</v>
      </c>
      <c r="LP4" t="s">
        <v>277</v>
      </c>
      <c r="LQ4">
        <v>20.476495742797852</v>
      </c>
      <c r="LR4">
        <v>51</v>
      </c>
      <c r="LS4" s="3"/>
      <c r="LT4">
        <f t="shared" si="55"/>
        <v>78</v>
      </c>
      <c r="LU4" t="s">
        <v>278</v>
      </c>
      <c r="LV4" t="s">
        <v>279</v>
      </c>
      <c r="LW4">
        <v>12.16115236282349</v>
      </c>
      <c r="LX4">
        <v>100</v>
      </c>
      <c r="LY4" s="2"/>
      <c r="LZ4">
        <f t="shared" si="56"/>
        <v>76</v>
      </c>
      <c r="MA4" t="s">
        <v>280</v>
      </c>
      <c r="MB4" t="s">
        <v>281</v>
      </c>
      <c r="MC4">
        <v>26.264775514602661</v>
      </c>
      <c r="MD4">
        <v>90</v>
      </c>
      <c r="ME4" s="3"/>
      <c r="MF4">
        <f t="shared" si="57"/>
        <v>44</v>
      </c>
      <c r="MG4" t="s">
        <v>282</v>
      </c>
      <c r="MH4" t="s">
        <v>283</v>
      </c>
      <c r="MI4">
        <v>12.579024791717529</v>
      </c>
      <c r="MJ4">
        <v>100</v>
      </c>
      <c r="MK4" s="2"/>
      <c r="ML4">
        <f t="shared" si="58"/>
        <v>28</v>
      </c>
      <c r="MM4" t="s">
        <v>284</v>
      </c>
      <c r="MN4" t="s">
        <v>285</v>
      </c>
      <c r="MO4">
        <v>5.5689043998718262</v>
      </c>
      <c r="MP4">
        <v>38</v>
      </c>
      <c r="MQ4" s="3"/>
      <c r="MR4">
        <f t="shared" si="59"/>
        <v>83</v>
      </c>
      <c r="MS4" t="s">
        <v>286</v>
      </c>
      <c r="MT4" t="s">
        <v>287</v>
      </c>
      <c r="MU4">
        <v>227.44295740127561</v>
      </c>
      <c r="MV4">
        <v>103</v>
      </c>
      <c r="MW4" s="2"/>
      <c r="MX4">
        <f t="shared" si="60"/>
        <v>88</v>
      </c>
      <c r="MY4" t="s">
        <v>288</v>
      </c>
      <c r="MZ4" t="s">
        <v>289</v>
      </c>
      <c r="NA4">
        <v>1027.038052082062</v>
      </c>
      <c r="NB4">
        <v>100</v>
      </c>
      <c r="NC4" s="3"/>
      <c r="ND4">
        <f t="shared" si="61"/>
        <v>27</v>
      </c>
      <c r="NE4" t="s">
        <v>290</v>
      </c>
      <c r="NF4" t="s">
        <v>291</v>
      </c>
      <c r="NG4">
        <v>13.487504005432131</v>
      </c>
      <c r="NH4">
        <v>84</v>
      </c>
      <c r="NI4" s="2"/>
      <c r="NJ4">
        <f t="shared" si="62"/>
        <v>64</v>
      </c>
      <c r="NK4" t="s">
        <v>292</v>
      </c>
      <c r="NL4" t="s">
        <v>293</v>
      </c>
      <c r="NM4">
        <v>19.3037576675415</v>
      </c>
      <c r="NN4">
        <v>74</v>
      </c>
      <c r="NO4" s="3"/>
      <c r="NP4">
        <f t="shared" si="63"/>
        <v>39</v>
      </c>
      <c r="NQ4" t="s">
        <v>294</v>
      </c>
      <c r="NR4" t="s">
        <v>295</v>
      </c>
      <c r="NS4">
        <v>8.3432910442352295</v>
      </c>
      <c r="NT4">
        <v>63</v>
      </c>
      <c r="NU4" s="2"/>
      <c r="NV4">
        <f t="shared" si="64"/>
        <v>35</v>
      </c>
      <c r="NW4" t="s">
        <v>296</v>
      </c>
      <c r="NX4" t="s">
        <v>297</v>
      </c>
      <c r="NY4">
        <v>16.827337265014648</v>
      </c>
      <c r="NZ4">
        <v>51</v>
      </c>
      <c r="OA4" s="3"/>
      <c r="OB4">
        <f t="shared" si="65"/>
        <v>42</v>
      </c>
      <c r="OC4" t="s">
        <v>298</v>
      </c>
      <c r="OD4" t="s">
        <v>299</v>
      </c>
      <c r="OE4">
        <v>12.45933675765991</v>
      </c>
      <c r="OF4">
        <v>65</v>
      </c>
      <c r="OG4" s="2"/>
      <c r="OH4">
        <f t="shared" si="66"/>
        <v>52</v>
      </c>
      <c r="OI4" t="s">
        <v>300</v>
      </c>
      <c r="OJ4" t="s">
        <v>301</v>
      </c>
      <c r="OK4">
        <v>31.7232780456543</v>
      </c>
      <c r="OL4">
        <v>59</v>
      </c>
      <c r="OM4" s="3"/>
      <c r="ON4">
        <f t="shared" si="67"/>
        <v>85</v>
      </c>
      <c r="OO4" t="s">
        <v>302</v>
      </c>
      <c r="OP4" t="s">
        <v>303</v>
      </c>
      <c r="OQ4">
        <v>133.59800863265991</v>
      </c>
      <c r="OR4">
        <v>111</v>
      </c>
      <c r="OS4" s="2"/>
      <c r="OT4">
        <f t="shared" si="68"/>
        <v>68</v>
      </c>
      <c r="OU4" t="s">
        <v>304</v>
      </c>
      <c r="OV4" t="s">
        <v>305</v>
      </c>
      <c r="OW4">
        <v>9.1132240295410156</v>
      </c>
      <c r="OX4">
        <v>84</v>
      </c>
      <c r="OY4" s="3"/>
      <c r="OZ4">
        <f t="shared" si="69"/>
        <v>24</v>
      </c>
      <c r="PA4" t="s">
        <v>306</v>
      </c>
      <c r="PB4" t="s">
        <v>307</v>
      </c>
      <c r="PC4">
        <v>8.4161856174468994</v>
      </c>
      <c r="PD4">
        <v>66</v>
      </c>
      <c r="PE4" s="2"/>
      <c r="PF4">
        <f t="shared" si="70"/>
        <v>25</v>
      </c>
      <c r="PG4" t="s">
        <v>308</v>
      </c>
      <c r="PH4" t="s">
        <v>309</v>
      </c>
      <c r="PI4">
        <v>11.53533577919006</v>
      </c>
      <c r="PJ4">
        <v>37</v>
      </c>
      <c r="PK4" s="3"/>
      <c r="PL4">
        <f t="shared" si="71"/>
        <v>38</v>
      </c>
      <c r="PM4" t="s">
        <v>310</v>
      </c>
      <c r="PN4" t="s">
        <v>311</v>
      </c>
      <c r="PO4">
        <v>8.6014177799224854</v>
      </c>
      <c r="PP4">
        <v>68</v>
      </c>
      <c r="PQ4" s="2"/>
      <c r="PR4">
        <f t="shared" si="72"/>
        <v>11</v>
      </c>
      <c r="PS4" t="s">
        <v>312</v>
      </c>
      <c r="PT4" t="s">
        <v>313</v>
      </c>
      <c r="PU4">
        <v>32.657061576843262</v>
      </c>
      <c r="PV4">
        <v>19</v>
      </c>
      <c r="PW4" s="3"/>
      <c r="PX4">
        <f t="shared" si="73"/>
        <v>40</v>
      </c>
      <c r="PY4" t="s">
        <v>314</v>
      </c>
      <c r="PZ4" t="s">
        <v>315</v>
      </c>
      <c r="QA4">
        <v>11.96934127807617</v>
      </c>
      <c r="QB4">
        <v>96</v>
      </c>
      <c r="QC4" s="2"/>
      <c r="QD4">
        <f t="shared" si="74"/>
        <v>13</v>
      </c>
      <c r="QE4" t="s">
        <v>316</v>
      </c>
      <c r="QF4" t="s">
        <v>317</v>
      </c>
      <c r="QG4">
        <v>10.196951389312741</v>
      </c>
      <c r="QH4">
        <v>23</v>
      </c>
      <c r="QI4" s="3"/>
      <c r="QJ4">
        <f t="shared" si="75"/>
        <v>32</v>
      </c>
      <c r="QK4" t="s">
        <v>318</v>
      </c>
      <c r="QL4" t="s">
        <v>319</v>
      </c>
      <c r="QM4">
        <v>8.8074426651000977</v>
      </c>
      <c r="QN4">
        <v>55</v>
      </c>
      <c r="QO4" s="2"/>
      <c r="QP4">
        <f t="shared" si="76"/>
        <v>12</v>
      </c>
      <c r="QQ4" t="s">
        <v>320</v>
      </c>
      <c r="QR4" t="s">
        <v>321</v>
      </c>
      <c r="QS4">
        <v>9.9078853130340576</v>
      </c>
      <c r="QT4">
        <v>25</v>
      </c>
      <c r="QU4" s="3"/>
      <c r="QV4">
        <f t="shared" si="77"/>
        <v>17</v>
      </c>
      <c r="QW4" t="s">
        <v>322</v>
      </c>
      <c r="QX4" t="s">
        <v>323</v>
      </c>
      <c r="QY4">
        <v>2.5269205570220952</v>
      </c>
      <c r="QZ4">
        <v>26</v>
      </c>
      <c r="RA4" s="2"/>
      <c r="RB4">
        <f t="shared" si="78"/>
        <v>11</v>
      </c>
      <c r="RC4" t="s">
        <v>324</v>
      </c>
      <c r="RD4" t="s">
        <v>325</v>
      </c>
      <c r="RE4">
        <v>14.90643095970154</v>
      </c>
      <c r="RF4">
        <v>21</v>
      </c>
      <c r="RG4" s="3"/>
      <c r="RH4">
        <f t="shared" si="79"/>
        <v>15</v>
      </c>
      <c r="RI4" t="s">
        <v>326</v>
      </c>
      <c r="RJ4" t="s">
        <v>327</v>
      </c>
      <c r="RK4">
        <v>3.4702410697937012</v>
      </c>
      <c r="RL4">
        <v>22</v>
      </c>
      <c r="RM4" s="2"/>
      <c r="RN4">
        <f t="shared" si="80"/>
        <v>20</v>
      </c>
      <c r="RO4" t="s">
        <v>328</v>
      </c>
      <c r="RP4" t="s">
        <v>329</v>
      </c>
      <c r="RQ4">
        <v>9.5347580909729004</v>
      </c>
      <c r="RR4">
        <v>34</v>
      </c>
      <c r="RS4" s="3"/>
      <c r="RT4">
        <f t="shared" si="81"/>
        <v>67</v>
      </c>
      <c r="RU4" t="s">
        <v>330</v>
      </c>
      <c r="RV4" t="s">
        <v>331</v>
      </c>
      <c r="RW4">
        <v>16.184808969497681</v>
      </c>
      <c r="RX4">
        <v>92</v>
      </c>
      <c r="RY4" s="2"/>
      <c r="RZ4">
        <f t="shared" si="82"/>
        <v>30</v>
      </c>
      <c r="SA4" t="s">
        <v>62</v>
      </c>
      <c r="SB4" t="s">
        <v>332</v>
      </c>
      <c r="SC4">
        <v>7.1314718723297119</v>
      </c>
      <c r="SD4">
        <v>42</v>
      </c>
      <c r="SE4" s="3"/>
      <c r="SF4">
        <f t="shared" si="83"/>
        <v>28</v>
      </c>
      <c r="SG4" t="s">
        <v>333</v>
      </c>
      <c r="SH4" t="s">
        <v>334</v>
      </c>
      <c r="SI4">
        <v>3.7186133861541748</v>
      </c>
      <c r="SJ4">
        <v>90</v>
      </c>
      <c r="SK4" s="2"/>
      <c r="SL4">
        <f t="shared" si="84"/>
        <v>118</v>
      </c>
      <c r="SM4" t="s">
        <v>335</v>
      </c>
      <c r="SN4" t="s">
        <v>336</v>
      </c>
      <c r="SO4">
        <v>255.55483460426331</v>
      </c>
      <c r="SP4">
        <v>126</v>
      </c>
      <c r="SQ4" s="3"/>
      <c r="SR4">
        <f t="shared" si="85"/>
        <v>62</v>
      </c>
      <c r="SS4" t="s">
        <v>337</v>
      </c>
      <c r="ST4" t="s">
        <v>338</v>
      </c>
      <c r="SU4">
        <v>37.350506782531738</v>
      </c>
      <c r="SV4">
        <v>84</v>
      </c>
      <c r="SW4" s="4"/>
      <c r="SX4">
        <f t="shared" si="86"/>
        <v>34</v>
      </c>
      <c r="SY4" t="s">
        <v>339</v>
      </c>
      <c r="SZ4" t="s">
        <v>340</v>
      </c>
      <c r="TA4">
        <v>15.65136766433716</v>
      </c>
      <c r="TB4">
        <v>92</v>
      </c>
      <c r="TC4" s="5"/>
      <c r="TD4">
        <f t="shared" si="87"/>
        <v>18</v>
      </c>
      <c r="TE4" t="s">
        <v>341</v>
      </c>
      <c r="TF4" t="s">
        <v>342</v>
      </c>
      <c r="TG4">
        <v>10.48925685882568</v>
      </c>
      <c r="TH4">
        <v>29</v>
      </c>
      <c r="TI4" s="2"/>
      <c r="TJ4">
        <f t="shared" si="88"/>
        <v>31</v>
      </c>
      <c r="TK4" t="s">
        <v>343</v>
      </c>
      <c r="TL4" t="s">
        <v>344</v>
      </c>
      <c r="TM4">
        <v>12.08913350105286</v>
      </c>
      <c r="TN4">
        <v>67</v>
      </c>
      <c r="TO4" s="5"/>
      <c r="TP4">
        <f t="shared" si="89"/>
        <v>45</v>
      </c>
      <c r="TQ4" t="s">
        <v>345</v>
      </c>
      <c r="TR4" t="s">
        <v>346</v>
      </c>
      <c r="TS4">
        <v>3.4874856472015381</v>
      </c>
      <c r="TT4">
        <v>75</v>
      </c>
      <c r="TU4" s="2"/>
      <c r="TV4">
        <f t="shared" si="90"/>
        <v>23</v>
      </c>
      <c r="TW4" t="s">
        <v>347</v>
      </c>
      <c r="TX4" t="s">
        <v>348</v>
      </c>
      <c r="TY4">
        <v>5.6254658699035636</v>
      </c>
      <c r="TZ4">
        <v>36</v>
      </c>
      <c r="UA4" s="5"/>
      <c r="UB4">
        <f t="shared" si="91"/>
        <v>11</v>
      </c>
      <c r="UC4" t="s">
        <v>349</v>
      </c>
      <c r="UD4" t="s">
        <v>350</v>
      </c>
      <c r="UE4">
        <v>18.530133962631229</v>
      </c>
      <c r="UF4">
        <v>27</v>
      </c>
      <c r="UG4" s="2"/>
      <c r="UH4">
        <f t="shared" si="92"/>
        <v>35</v>
      </c>
      <c r="UI4" t="s">
        <v>351</v>
      </c>
      <c r="UJ4" t="s">
        <v>352</v>
      </c>
      <c r="UK4">
        <v>8.3907239437103271</v>
      </c>
      <c r="UL4">
        <v>55</v>
      </c>
      <c r="UM4" s="5"/>
      <c r="UN4">
        <f t="shared" si="93"/>
        <v>36</v>
      </c>
      <c r="UO4" t="s">
        <v>353</v>
      </c>
      <c r="UP4" t="s">
        <v>354</v>
      </c>
      <c r="UQ4">
        <v>9.5496115684509277</v>
      </c>
      <c r="UR4">
        <v>108</v>
      </c>
      <c r="US4" s="2"/>
      <c r="UT4">
        <f t="shared" si="94"/>
        <v>54</v>
      </c>
      <c r="UU4" t="s">
        <v>355</v>
      </c>
      <c r="UV4" t="s">
        <v>356</v>
      </c>
      <c r="UW4">
        <v>32.650954484939582</v>
      </c>
      <c r="UX4">
        <v>110</v>
      </c>
      <c r="UY4" s="5"/>
      <c r="UZ4">
        <f t="shared" si="95"/>
        <v>41</v>
      </c>
      <c r="VA4" t="s">
        <v>357</v>
      </c>
      <c r="VB4" t="s">
        <v>358</v>
      </c>
      <c r="VC4">
        <v>15.11011362075806</v>
      </c>
      <c r="VD4">
        <v>69</v>
      </c>
      <c r="VE4" s="2"/>
      <c r="VF4">
        <f t="shared" si="96"/>
        <v>24</v>
      </c>
      <c r="VG4" t="s">
        <v>359</v>
      </c>
      <c r="VH4" t="s">
        <v>360</v>
      </c>
      <c r="VI4">
        <v>10.707562208175659</v>
      </c>
      <c r="VJ4">
        <v>50</v>
      </c>
      <c r="VK4" s="5"/>
      <c r="VL4">
        <f t="shared" si="97"/>
        <v>26</v>
      </c>
      <c r="VM4" t="s">
        <v>361</v>
      </c>
      <c r="VN4" t="s">
        <v>362</v>
      </c>
      <c r="VO4">
        <v>16.322132587432861</v>
      </c>
      <c r="VP4">
        <v>39</v>
      </c>
      <c r="VQ4" s="2"/>
      <c r="VR4">
        <f t="shared" si="98"/>
        <v>33</v>
      </c>
      <c r="VS4" t="s">
        <v>363</v>
      </c>
      <c r="VT4" t="s">
        <v>364</v>
      </c>
      <c r="VU4">
        <v>21.3799729347229</v>
      </c>
      <c r="VV4">
        <v>59</v>
      </c>
      <c r="VW4" s="5"/>
      <c r="VX4">
        <f t="shared" si="99"/>
        <v>34</v>
      </c>
      <c r="VY4" t="s">
        <v>365</v>
      </c>
      <c r="VZ4" t="s">
        <v>366</v>
      </c>
      <c r="WA4">
        <v>21.398696184158329</v>
      </c>
      <c r="WB4">
        <v>60</v>
      </c>
      <c r="WC4" s="2"/>
      <c r="WD4">
        <f t="shared" si="100"/>
        <v>33</v>
      </c>
      <c r="WE4" t="s">
        <v>367</v>
      </c>
      <c r="WF4" t="s">
        <v>368</v>
      </c>
      <c r="WG4">
        <v>10.987002372741699</v>
      </c>
      <c r="WH4">
        <v>37</v>
      </c>
      <c r="WI4" s="5"/>
      <c r="WJ4">
        <f t="shared" si="101"/>
        <v>80</v>
      </c>
      <c r="WK4" t="s">
        <v>369</v>
      </c>
      <c r="WL4" t="s">
        <v>370</v>
      </c>
      <c r="WM4">
        <v>24.205119132995609</v>
      </c>
      <c r="WN4">
        <v>94</v>
      </c>
      <c r="WO4" s="2"/>
      <c r="WP4">
        <f t="shared" si="102"/>
        <v>22</v>
      </c>
      <c r="WQ4" t="s">
        <v>371</v>
      </c>
      <c r="WR4" t="s">
        <v>372</v>
      </c>
      <c r="WS4">
        <v>3.7019178867340088</v>
      </c>
      <c r="WT4">
        <v>44</v>
      </c>
      <c r="WU4" s="5"/>
      <c r="WV4">
        <f t="shared" si="103"/>
        <v>20</v>
      </c>
      <c r="WW4" t="s">
        <v>373</v>
      </c>
      <c r="WX4" t="s">
        <v>374</v>
      </c>
      <c r="WY4">
        <v>5.6224448680877694</v>
      </c>
      <c r="WZ4">
        <v>29</v>
      </c>
      <c r="XA4" s="2"/>
      <c r="XB4">
        <f t="shared" si="104"/>
        <v>59</v>
      </c>
      <c r="XC4" t="s">
        <v>375</v>
      </c>
      <c r="XD4" t="s">
        <v>376</v>
      </c>
      <c r="XE4">
        <v>7.3473308086395264</v>
      </c>
      <c r="XF4">
        <v>79</v>
      </c>
      <c r="XG4" s="5"/>
      <c r="XH4">
        <f t="shared" si="105"/>
        <v>32</v>
      </c>
      <c r="XI4" t="s">
        <v>2</v>
      </c>
      <c r="XJ4" t="s">
        <v>377</v>
      </c>
      <c r="XK4">
        <v>10.872513771057131</v>
      </c>
      <c r="XL4">
        <v>64</v>
      </c>
      <c r="XM4" s="2"/>
      <c r="XN4">
        <f t="shared" si="106"/>
        <v>26</v>
      </c>
      <c r="XO4" t="s">
        <v>378</v>
      </c>
      <c r="XP4" t="s">
        <v>379</v>
      </c>
      <c r="XQ4">
        <v>7.1491129398345947</v>
      </c>
      <c r="XR4">
        <v>52</v>
      </c>
      <c r="XS4" s="5"/>
      <c r="XT4">
        <f t="shared" si="107"/>
        <v>42</v>
      </c>
      <c r="XU4" t="s">
        <v>380</v>
      </c>
      <c r="XV4" t="s">
        <v>381</v>
      </c>
      <c r="XW4">
        <v>19.389923095703121</v>
      </c>
      <c r="XX4">
        <v>178</v>
      </c>
      <c r="XY4" s="2"/>
      <c r="XZ4">
        <f t="shared" si="108"/>
        <v>31</v>
      </c>
      <c r="YA4" t="s">
        <v>382</v>
      </c>
      <c r="YB4" t="s">
        <v>383</v>
      </c>
      <c r="YC4">
        <v>5.6148264408111572</v>
      </c>
      <c r="YD4">
        <v>35</v>
      </c>
      <c r="YE4" s="5"/>
      <c r="YF4">
        <f t="shared" si="109"/>
        <v>16</v>
      </c>
      <c r="YG4" t="s">
        <v>384</v>
      </c>
      <c r="YH4" t="s">
        <v>385</v>
      </c>
      <c r="YI4">
        <v>2.755721807479858</v>
      </c>
      <c r="YJ4">
        <v>54</v>
      </c>
      <c r="YK4" s="2"/>
      <c r="YL4">
        <f t="shared" si="110"/>
        <v>65</v>
      </c>
      <c r="YM4" t="s">
        <v>386</v>
      </c>
      <c r="YN4" t="s">
        <v>387</v>
      </c>
      <c r="YO4">
        <v>20.406898260116581</v>
      </c>
      <c r="YP4">
        <v>79</v>
      </c>
      <c r="YQ4" s="5"/>
      <c r="YR4">
        <f t="shared" si="111"/>
        <v>36</v>
      </c>
      <c r="YS4" t="s">
        <v>388</v>
      </c>
      <c r="YT4" t="s">
        <v>389</v>
      </c>
      <c r="YU4">
        <v>6.8311247825622559</v>
      </c>
      <c r="YV4">
        <v>72</v>
      </c>
      <c r="YW4" s="2"/>
      <c r="YX4">
        <f t="shared" si="112"/>
        <v>76</v>
      </c>
      <c r="YY4" t="s">
        <v>390</v>
      </c>
      <c r="YZ4" t="s">
        <v>391</v>
      </c>
      <c r="ZA4">
        <v>31.393768548965451</v>
      </c>
      <c r="ZB4">
        <v>112</v>
      </c>
      <c r="ZC4" s="5"/>
      <c r="ZD4">
        <f t="shared" si="113"/>
        <v>70</v>
      </c>
      <c r="ZE4" t="s">
        <v>392</v>
      </c>
      <c r="ZF4" t="s">
        <v>393</v>
      </c>
      <c r="ZG4">
        <v>51.799851655960083</v>
      </c>
      <c r="ZH4">
        <v>95</v>
      </c>
      <c r="ZI4" s="2"/>
      <c r="ZJ4">
        <f t="shared" si="114"/>
        <v>42</v>
      </c>
      <c r="ZK4" t="s">
        <v>394</v>
      </c>
      <c r="ZL4" t="s">
        <v>395</v>
      </c>
      <c r="ZM4">
        <v>106.8751056194305</v>
      </c>
      <c r="ZN4">
        <v>58</v>
      </c>
      <c r="ZO4" s="5"/>
      <c r="ZP4">
        <f t="shared" si="115"/>
        <v>36</v>
      </c>
      <c r="ZQ4" t="s">
        <v>396</v>
      </c>
      <c r="ZR4" t="s">
        <v>397</v>
      </c>
      <c r="ZS4">
        <v>12.062318086624151</v>
      </c>
      <c r="ZT4">
        <v>72</v>
      </c>
      <c r="ZU4" s="2"/>
      <c r="ZV4">
        <f t="shared" si="116"/>
        <v>32</v>
      </c>
      <c r="ZW4" t="s">
        <v>398</v>
      </c>
      <c r="ZX4" t="s">
        <v>399</v>
      </c>
      <c r="ZY4">
        <v>5.7187919616699219</v>
      </c>
      <c r="ZZ4">
        <v>100</v>
      </c>
      <c r="AAA4" s="5"/>
      <c r="AAB4">
        <f t="shared" si="117"/>
        <v>24</v>
      </c>
      <c r="AAC4" t="s">
        <v>400</v>
      </c>
      <c r="AAD4" t="s">
        <v>401</v>
      </c>
      <c r="AAE4">
        <v>12.724084138870239</v>
      </c>
      <c r="AAF4">
        <v>66</v>
      </c>
      <c r="AAG4" s="2"/>
      <c r="AAH4">
        <f t="shared" si="118"/>
        <v>64</v>
      </c>
      <c r="AAI4" t="s">
        <v>402</v>
      </c>
      <c r="AAJ4" t="s">
        <v>403</v>
      </c>
      <c r="AAK4">
        <v>114.7887828350067</v>
      </c>
      <c r="AAL4">
        <v>130</v>
      </c>
      <c r="AAM4" s="5"/>
      <c r="AAN4">
        <f t="shared" si="119"/>
        <v>22</v>
      </c>
      <c r="AAO4" t="s">
        <v>404</v>
      </c>
      <c r="AAP4" t="s">
        <v>405</v>
      </c>
      <c r="AAQ4">
        <v>23.76249527931213</v>
      </c>
      <c r="AAR4">
        <v>41</v>
      </c>
      <c r="AAS4" s="2"/>
      <c r="AAT4">
        <f t="shared" si="120"/>
        <v>28</v>
      </c>
      <c r="AAU4" t="s">
        <v>406</v>
      </c>
      <c r="AAV4" t="s">
        <v>407</v>
      </c>
      <c r="AAW4">
        <v>15.41440486907959</v>
      </c>
      <c r="AAX4">
        <v>50</v>
      </c>
      <c r="AAY4" s="5"/>
      <c r="AAZ4">
        <f t="shared" si="121"/>
        <v>34</v>
      </c>
      <c r="ABA4" t="s">
        <v>408</v>
      </c>
      <c r="ABB4" t="s">
        <v>409</v>
      </c>
      <c r="ABC4">
        <v>11.13901853561401</v>
      </c>
      <c r="ABD4">
        <v>48</v>
      </c>
      <c r="ABE4" s="2"/>
      <c r="ABF4">
        <f t="shared" si="122"/>
        <v>82</v>
      </c>
      <c r="ABG4" t="s">
        <v>410</v>
      </c>
      <c r="ABH4" t="s">
        <v>411</v>
      </c>
      <c r="ABI4">
        <v>148.43834662437439</v>
      </c>
      <c r="ABJ4">
        <v>102</v>
      </c>
      <c r="ABK4" s="5"/>
      <c r="ABL4">
        <f t="shared" si="123"/>
        <v>30</v>
      </c>
      <c r="ABM4" t="s">
        <v>412</v>
      </c>
      <c r="ABN4" t="s">
        <v>413</v>
      </c>
      <c r="ABO4">
        <v>11.677403926849371</v>
      </c>
      <c r="ABP4">
        <v>86</v>
      </c>
      <c r="ABQ4" s="2"/>
      <c r="ABR4">
        <f t="shared" si="124"/>
        <v>23</v>
      </c>
      <c r="ABS4" t="s">
        <v>414</v>
      </c>
      <c r="ABT4" t="s">
        <v>415</v>
      </c>
      <c r="ABU4">
        <v>4.386493444442749</v>
      </c>
      <c r="ABV4">
        <v>33</v>
      </c>
      <c r="ABW4" s="5"/>
      <c r="ABX4">
        <f t="shared" si="125"/>
        <v>31</v>
      </c>
      <c r="ABY4" t="s">
        <v>416</v>
      </c>
      <c r="ABZ4" t="s">
        <v>417</v>
      </c>
      <c r="ACA4">
        <v>13.36925101280212</v>
      </c>
      <c r="ACB4">
        <v>59</v>
      </c>
      <c r="ACC4" s="2"/>
      <c r="ACD4">
        <f t="shared" si="126"/>
        <v>26</v>
      </c>
      <c r="ACE4" t="s">
        <v>418</v>
      </c>
      <c r="ACF4" t="s">
        <v>419</v>
      </c>
      <c r="ACG4">
        <v>6.1588475704193124</v>
      </c>
      <c r="ACH4">
        <v>36</v>
      </c>
      <c r="ACI4" s="5"/>
      <c r="ACJ4">
        <f t="shared" si="127"/>
        <v>35</v>
      </c>
      <c r="ACK4" t="s">
        <v>420</v>
      </c>
      <c r="ACL4" t="s">
        <v>421</v>
      </c>
      <c r="ACM4">
        <v>7.0899946689605713</v>
      </c>
      <c r="ACN4">
        <v>75</v>
      </c>
      <c r="ACO4" s="2"/>
      <c r="ACP4">
        <f t="shared" si="128"/>
        <v>22</v>
      </c>
      <c r="ACQ4" t="s">
        <v>422</v>
      </c>
      <c r="ACR4" t="s">
        <v>423</v>
      </c>
      <c r="ACS4">
        <v>4.6765449047088623</v>
      </c>
      <c r="ACT4">
        <v>30</v>
      </c>
      <c r="ACU4" s="5"/>
      <c r="ACV4">
        <f t="shared" si="129"/>
        <v>16</v>
      </c>
      <c r="ACW4" t="s">
        <v>424</v>
      </c>
      <c r="ACX4" t="s">
        <v>425</v>
      </c>
      <c r="ACY4">
        <v>11.92778420448303</v>
      </c>
      <c r="ACZ4">
        <v>26</v>
      </c>
      <c r="ADA4" s="2"/>
      <c r="ADB4">
        <f t="shared" si="130"/>
        <v>27</v>
      </c>
      <c r="ADC4" t="s">
        <v>426</v>
      </c>
      <c r="ADD4" t="s">
        <v>427</v>
      </c>
      <c r="ADE4">
        <v>8.1519317626953125</v>
      </c>
      <c r="ADF4">
        <v>39</v>
      </c>
      <c r="ADG4" s="5"/>
      <c r="ADH4">
        <f t="shared" si="131"/>
        <v>36</v>
      </c>
      <c r="ADI4" t="s">
        <v>428</v>
      </c>
      <c r="ADJ4" t="s">
        <v>429</v>
      </c>
      <c r="ADK4">
        <v>19.358556985855099</v>
      </c>
      <c r="ADL4">
        <v>74</v>
      </c>
      <c r="ADM4" s="2"/>
      <c r="ADN4">
        <f t="shared" si="132"/>
        <v>31</v>
      </c>
      <c r="ADO4" t="s">
        <v>430</v>
      </c>
      <c r="ADP4" t="s">
        <v>431</v>
      </c>
      <c r="ADQ4">
        <v>7.528329610824585</v>
      </c>
      <c r="ADR4">
        <v>40</v>
      </c>
      <c r="ADS4" s="5"/>
      <c r="ADT4">
        <f t="shared" si="133"/>
        <v>33</v>
      </c>
      <c r="ADU4" t="s">
        <v>432</v>
      </c>
      <c r="ADV4" t="s">
        <v>433</v>
      </c>
      <c r="ADW4">
        <v>8.685293436050415</v>
      </c>
      <c r="ADX4">
        <v>54</v>
      </c>
      <c r="ADY4" s="2"/>
      <c r="ADZ4">
        <f t="shared" si="134"/>
        <v>74</v>
      </c>
      <c r="AEA4" t="s">
        <v>434</v>
      </c>
      <c r="AEB4" t="s">
        <v>435</v>
      </c>
      <c r="AEC4">
        <v>22.9193434715271</v>
      </c>
      <c r="AED4">
        <v>136</v>
      </c>
      <c r="AEE4" s="5"/>
      <c r="AEF4">
        <f t="shared" si="135"/>
        <v>39</v>
      </c>
      <c r="AEG4" t="s">
        <v>436</v>
      </c>
      <c r="AEH4" t="s">
        <v>437</v>
      </c>
      <c r="AEI4">
        <v>6.5083215236663818</v>
      </c>
      <c r="AEJ4">
        <v>63</v>
      </c>
      <c r="AEK4" s="2"/>
      <c r="AEL4">
        <f t="shared" si="136"/>
        <v>90</v>
      </c>
      <c r="AEM4" t="s">
        <v>438</v>
      </c>
      <c r="AEN4" t="s">
        <v>439</v>
      </c>
      <c r="AEO4">
        <v>13.02264404296875</v>
      </c>
      <c r="AEP4">
        <v>112</v>
      </c>
      <c r="AEQ4" s="5"/>
      <c r="AER4">
        <f t="shared" si="137"/>
        <v>62</v>
      </c>
      <c r="AES4" t="s">
        <v>440</v>
      </c>
      <c r="AET4" t="s">
        <v>441</v>
      </c>
      <c r="AEU4">
        <v>59.361440420150757</v>
      </c>
      <c r="AEV4">
        <v>80</v>
      </c>
      <c r="AEW4" s="2"/>
      <c r="AEX4">
        <f t="shared" si="138"/>
        <v>26</v>
      </c>
      <c r="AEY4" t="s">
        <v>442</v>
      </c>
      <c r="AEZ4" t="s">
        <v>443</v>
      </c>
      <c r="AFA4">
        <v>14.035046815872191</v>
      </c>
      <c r="AFB4">
        <v>54</v>
      </c>
      <c r="AFC4" s="5"/>
      <c r="AFD4">
        <f t="shared" si="139"/>
        <v>19</v>
      </c>
      <c r="AFE4" t="s">
        <v>444</v>
      </c>
      <c r="AFF4" t="s">
        <v>445</v>
      </c>
      <c r="AFG4">
        <v>25.40700459480286</v>
      </c>
      <c r="AFH4">
        <v>35</v>
      </c>
      <c r="AFI4" s="2"/>
      <c r="AFJ4">
        <f t="shared" si="140"/>
        <v>18</v>
      </c>
      <c r="AFK4" t="s">
        <v>446</v>
      </c>
      <c r="AFL4" t="s">
        <v>447</v>
      </c>
      <c r="AFM4">
        <v>4.9944801330566406</v>
      </c>
      <c r="AFN4">
        <v>29</v>
      </c>
      <c r="AFO4" s="5"/>
      <c r="AFP4">
        <f t="shared" si="141"/>
        <v>24</v>
      </c>
      <c r="AFQ4" t="s">
        <v>448</v>
      </c>
      <c r="AFR4" t="s">
        <v>449</v>
      </c>
      <c r="AFS4">
        <v>12.857362270355219</v>
      </c>
      <c r="AFT4">
        <v>37</v>
      </c>
      <c r="AFU4" s="2"/>
      <c r="AFV4">
        <f t="shared" si="142"/>
        <v>24</v>
      </c>
      <c r="AFW4" t="s">
        <v>450</v>
      </c>
      <c r="AFX4" t="s">
        <v>451</v>
      </c>
      <c r="AFY4">
        <v>5.8096344470977783</v>
      </c>
      <c r="AFZ4">
        <v>46</v>
      </c>
      <c r="AGA4" s="5"/>
      <c r="AGB4">
        <f t="shared" si="143"/>
        <v>34</v>
      </c>
      <c r="AGC4" t="s">
        <v>420</v>
      </c>
      <c r="AGD4" t="s">
        <v>452</v>
      </c>
      <c r="AGE4">
        <v>9.5342559814453125</v>
      </c>
      <c r="AGF4">
        <v>70</v>
      </c>
      <c r="AGG4" s="2"/>
      <c r="AGH4">
        <f t="shared" si="144"/>
        <v>51</v>
      </c>
      <c r="AGI4" t="s">
        <v>453</v>
      </c>
      <c r="AGJ4" t="s">
        <v>454</v>
      </c>
      <c r="AGK4">
        <v>67.919579744338989</v>
      </c>
      <c r="AGL4">
        <v>75</v>
      </c>
      <c r="AGM4" s="5"/>
      <c r="AGN4">
        <f t="shared" si="145"/>
        <v>13</v>
      </c>
      <c r="AGO4" t="s">
        <v>412</v>
      </c>
      <c r="AGP4" t="s">
        <v>455</v>
      </c>
      <c r="AGQ4">
        <v>7.7988145351409912</v>
      </c>
      <c r="AGR4">
        <v>47</v>
      </c>
      <c r="AGS4" s="2"/>
      <c r="AGT4">
        <f t="shared" si="146"/>
        <v>30</v>
      </c>
      <c r="AGU4" t="s">
        <v>456</v>
      </c>
      <c r="AGV4" t="s">
        <v>457</v>
      </c>
      <c r="AGW4">
        <v>18.129272222518921</v>
      </c>
      <c r="AGX4">
        <v>52</v>
      </c>
      <c r="AGY4" s="5"/>
      <c r="AGZ4">
        <f t="shared" si="147"/>
        <v>30</v>
      </c>
      <c r="AHA4" t="s">
        <v>458</v>
      </c>
      <c r="AHB4" t="s">
        <v>459</v>
      </c>
      <c r="AHC4">
        <v>13.611436128616329</v>
      </c>
      <c r="AHD4">
        <v>82</v>
      </c>
      <c r="AHE4" s="2"/>
      <c r="AHF4">
        <f t="shared" si="148"/>
        <v>33</v>
      </c>
      <c r="AHG4" t="s">
        <v>460</v>
      </c>
      <c r="AHH4" t="s">
        <v>461</v>
      </c>
      <c r="AHI4">
        <v>24.888327598571781</v>
      </c>
      <c r="AHJ4">
        <v>43</v>
      </c>
      <c r="AHK4" s="5"/>
      <c r="AHL4">
        <f t="shared" si="149"/>
        <v>18</v>
      </c>
      <c r="AHM4" t="s">
        <v>462</v>
      </c>
      <c r="AHN4" t="s">
        <v>463</v>
      </c>
      <c r="AHO4">
        <v>5.2056577205657959</v>
      </c>
      <c r="AHP4">
        <v>44</v>
      </c>
      <c r="AHQ4" s="2"/>
      <c r="AHR4">
        <f t="shared" si="150"/>
        <v>26</v>
      </c>
      <c r="AHS4" t="s">
        <v>464</v>
      </c>
      <c r="AHT4" t="s">
        <v>465</v>
      </c>
      <c r="AHU4">
        <v>10.035789728164669</v>
      </c>
      <c r="AHV4">
        <v>38</v>
      </c>
      <c r="AHW4" s="5"/>
      <c r="AHX4">
        <f t="shared" si="151"/>
        <v>13</v>
      </c>
      <c r="AHY4" t="s">
        <v>466</v>
      </c>
      <c r="AHZ4" t="s">
        <v>467</v>
      </c>
      <c r="AIA4">
        <v>2.9905176162719731</v>
      </c>
      <c r="AIB4">
        <v>53</v>
      </c>
      <c r="AIC4" s="2"/>
      <c r="AID4">
        <f t="shared" si="152"/>
        <v>20</v>
      </c>
      <c r="AIE4" t="s">
        <v>468</v>
      </c>
      <c r="AIF4" t="s">
        <v>469</v>
      </c>
      <c r="AIG4">
        <v>3.6450881958007808</v>
      </c>
      <c r="AIH4">
        <v>24</v>
      </c>
      <c r="AII4" s="5"/>
      <c r="AIJ4">
        <f t="shared" si="153"/>
        <v>24</v>
      </c>
      <c r="AIK4" t="s">
        <v>470</v>
      </c>
      <c r="AIL4" t="s">
        <v>471</v>
      </c>
      <c r="AIM4">
        <v>12.21135234832764</v>
      </c>
      <c r="AIN4">
        <v>54</v>
      </c>
      <c r="AIO4" s="2"/>
      <c r="AIP4">
        <f t="shared" si="154"/>
        <v>38</v>
      </c>
      <c r="AIQ4" t="s">
        <v>472</v>
      </c>
      <c r="AIR4" t="s">
        <v>473</v>
      </c>
      <c r="AIS4">
        <v>11.63607168197632</v>
      </c>
      <c r="AIT4">
        <v>68</v>
      </c>
      <c r="AIU4" s="5"/>
      <c r="AIV4">
        <f t="shared" si="155"/>
        <v>35</v>
      </c>
      <c r="AIW4" t="s">
        <v>5</v>
      </c>
      <c r="AIX4" t="s">
        <v>474</v>
      </c>
      <c r="AIY4">
        <v>27.628573894500729</v>
      </c>
      <c r="AIZ4">
        <v>71</v>
      </c>
      <c r="AJA4" s="2"/>
      <c r="AJB4">
        <f t="shared" si="156"/>
        <v>50</v>
      </c>
      <c r="AJC4" t="s">
        <v>475</v>
      </c>
      <c r="AJD4" t="s">
        <v>476</v>
      </c>
      <c r="AJE4">
        <v>9.3075895309448242</v>
      </c>
      <c r="AJF4">
        <v>116</v>
      </c>
      <c r="AJG4" s="5"/>
      <c r="AJH4">
        <f t="shared" si="157"/>
        <v>27</v>
      </c>
      <c r="AJI4" t="s">
        <v>477</v>
      </c>
      <c r="AJJ4" t="s">
        <v>478</v>
      </c>
      <c r="AJK4">
        <v>35.963452816009521</v>
      </c>
      <c r="AJL4">
        <v>59</v>
      </c>
      <c r="AJM4" s="2"/>
      <c r="AJN4">
        <f t="shared" si="158"/>
        <v>33</v>
      </c>
      <c r="AJO4" t="s">
        <v>479</v>
      </c>
      <c r="AJP4" t="s">
        <v>480</v>
      </c>
      <c r="AJQ4">
        <v>11.769206047058111</v>
      </c>
      <c r="AJR4">
        <v>65</v>
      </c>
      <c r="AJS4" s="5"/>
      <c r="AJT4">
        <f t="shared" si="159"/>
        <v>29</v>
      </c>
      <c r="AJU4" t="s">
        <v>481</v>
      </c>
      <c r="AJV4" t="s">
        <v>482</v>
      </c>
      <c r="AJW4">
        <v>17.521096467971802</v>
      </c>
      <c r="AJX4">
        <v>67</v>
      </c>
      <c r="AJY4" s="2"/>
      <c r="AJZ4">
        <f t="shared" si="160"/>
        <v>22</v>
      </c>
      <c r="AKA4" t="s">
        <v>483</v>
      </c>
      <c r="AKB4" t="s">
        <v>484</v>
      </c>
      <c r="AKC4">
        <v>8.3574531078338623</v>
      </c>
      <c r="AKD4">
        <v>44</v>
      </c>
      <c r="AKE4" s="5"/>
      <c r="AKF4">
        <f t="shared" si="161"/>
        <v>35</v>
      </c>
      <c r="AKG4" t="s">
        <v>485</v>
      </c>
      <c r="AKH4" t="s">
        <v>486</v>
      </c>
      <c r="AKI4">
        <v>23.43813681602478</v>
      </c>
      <c r="AKJ4">
        <v>67</v>
      </c>
      <c r="AKK4" s="2"/>
      <c r="AKL4">
        <f t="shared" si="162"/>
        <v>78</v>
      </c>
      <c r="AKM4" t="s">
        <v>487</v>
      </c>
      <c r="AKN4" t="s">
        <v>488</v>
      </c>
      <c r="AKO4">
        <v>88.91686487197876</v>
      </c>
      <c r="AKP4">
        <v>100</v>
      </c>
      <c r="AKQ4" s="5"/>
      <c r="AKR4">
        <f t="shared" si="163"/>
        <v>36</v>
      </c>
      <c r="AKS4" t="s">
        <v>489</v>
      </c>
      <c r="AKT4" t="s">
        <v>490</v>
      </c>
      <c r="AKU4">
        <v>22.017994403839111</v>
      </c>
      <c r="AKV4">
        <v>66</v>
      </c>
      <c r="AKW4" s="2"/>
      <c r="AKX4">
        <f t="shared" si="164"/>
        <v>34</v>
      </c>
      <c r="AKY4" t="s">
        <v>491</v>
      </c>
      <c r="AKZ4" t="s">
        <v>492</v>
      </c>
      <c r="ALA4">
        <v>8.9342703819274902</v>
      </c>
      <c r="ALB4">
        <v>70</v>
      </c>
      <c r="ALC4" s="5"/>
      <c r="ALD4">
        <f t="shared" si="165"/>
        <v>77</v>
      </c>
      <c r="ALE4" t="s">
        <v>493</v>
      </c>
      <c r="ALF4" t="s">
        <v>494</v>
      </c>
      <c r="ALG4">
        <v>35.958717823028557</v>
      </c>
      <c r="ALH4">
        <v>125</v>
      </c>
      <c r="ALI4" s="2"/>
      <c r="ALJ4">
        <f t="shared" si="166"/>
        <v>35</v>
      </c>
      <c r="ALK4" t="s">
        <v>495</v>
      </c>
      <c r="ALL4" t="s">
        <v>496</v>
      </c>
      <c r="ALM4">
        <v>14.139044046401979</v>
      </c>
      <c r="ALN4">
        <v>63</v>
      </c>
      <c r="ALO4" s="5"/>
      <c r="ALP4">
        <f t="shared" si="167"/>
        <v>43</v>
      </c>
      <c r="ALQ4" t="s">
        <v>497</v>
      </c>
      <c r="ALR4" t="s">
        <v>498</v>
      </c>
      <c r="ALS4">
        <v>32.172758817672729</v>
      </c>
      <c r="ALT4">
        <v>75</v>
      </c>
      <c r="ALU4" s="2"/>
      <c r="ALV4">
        <f t="shared" si="168"/>
        <v>40</v>
      </c>
      <c r="ALW4" t="s">
        <v>34</v>
      </c>
      <c r="ALX4" t="s">
        <v>499</v>
      </c>
      <c r="ALY4">
        <v>5.7243618965148926</v>
      </c>
      <c r="ALZ4">
        <v>100</v>
      </c>
      <c r="AMA4" s="5"/>
      <c r="AMB4">
        <f t="shared" si="169"/>
        <v>17</v>
      </c>
      <c r="AMC4" t="s">
        <v>500</v>
      </c>
      <c r="AMD4" t="s">
        <v>501</v>
      </c>
      <c r="AME4">
        <v>6.0206105709075928</v>
      </c>
      <c r="AMF4">
        <v>53</v>
      </c>
      <c r="AMG4" s="2"/>
      <c r="AMH4">
        <f t="shared" si="170"/>
        <v>40</v>
      </c>
      <c r="AMI4" t="s">
        <v>502</v>
      </c>
      <c r="AMJ4" t="s">
        <v>503</v>
      </c>
      <c r="AMK4">
        <v>20.156008005142208</v>
      </c>
      <c r="AML4">
        <v>50</v>
      </c>
      <c r="AMM4" s="5"/>
      <c r="AMN4">
        <f t="shared" si="171"/>
        <v>36</v>
      </c>
      <c r="AMO4" t="s">
        <v>504</v>
      </c>
      <c r="AMP4" t="s">
        <v>505</v>
      </c>
      <c r="AMQ4">
        <v>13.51459169387817</v>
      </c>
      <c r="AMR4">
        <v>66</v>
      </c>
      <c r="AMS4" s="2"/>
    </row>
    <row r="5" spans="1:1033" x14ac:dyDescent="0.25">
      <c r="A5">
        <v>3</v>
      </c>
      <c r="B5">
        <f t="shared" si="0"/>
        <v>22</v>
      </c>
      <c r="C5" t="s">
        <v>506</v>
      </c>
      <c r="D5" t="s">
        <v>507</v>
      </c>
      <c r="E5">
        <v>8.4195466041564941</v>
      </c>
      <c r="F5">
        <v>42</v>
      </c>
      <c r="G5" s="1"/>
      <c r="H5">
        <f t="shared" si="1"/>
        <v>28</v>
      </c>
      <c r="I5" t="s">
        <v>508</v>
      </c>
      <c r="J5" t="s">
        <v>509</v>
      </c>
      <c r="K5">
        <v>7.5013909339904794</v>
      </c>
      <c r="L5">
        <v>55</v>
      </c>
      <c r="M5" s="2"/>
      <c r="N5">
        <f t="shared" si="2"/>
        <v>39</v>
      </c>
      <c r="O5" t="s">
        <v>510</v>
      </c>
      <c r="P5" t="s">
        <v>511</v>
      </c>
      <c r="Q5">
        <v>13.646729946136469</v>
      </c>
      <c r="R5">
        <v>123</v>
      </c>
      <c r="S5" s="1"/>
      <c r="T5">
        <f t="shared" si="3"/>
        <v>52</v>
      </c>
      <c r="U5" t="s">
        <v>512</v>
      </c>
      <c r="V5" t="s">
        <v>513</v>
      </c>
      <c r="W5">
        <v>7.1167280673980713</v>
      </c>
      <c r="X5">
        <v>138</v>
      </c>
      <c r="Y5" s="2"/>
      <c r="Z5">
        <f t="shared" si="4"/>
        <v>36</v>
      </c>
      <c r="AA5" t="s">
        <v>514</v>
      </c>
      <c r="AB5" t="s">
        <v>515</v>
      </c>
      <c r="AC5">
        <v>15.380633592605591</v>
      </c>
      <c r="AD5">
        <v>56</v>
      </c>
      <c r="AE5" s="1"/>
      <c r="AF5">
        <f t="shared" si="5"/>
        <v>36</v>
      </c>
      <c r="AG5" t="s">
        <v>516</v>
      </c>
      <c r="AH5" t="s">
        <v>517</v>
      </c>
      <c r="AI5">
        <v>13.46934652328491</v>
      </c>
      <c r="AJ5">
        <v>106</v>
      </c>
      <c r="AK5" s="2"/>
      <c r="AL5">
        <f t="shared" si="6"/>
        <v>30</v>
      </c>
      <c r="AM5" t="s">
        <v>518</v>
      </c>
      <c r="AN5" t="s">
        <v>519</v>
      </c>
      <c r="AO5">
        <v>24.546238899230961</v>
      </c>
      <c r="AP5">
        <v>112</v>
      </c>
      <c r="AQ5" s="3"/>
      <c r="AR5">
        <f t="shared" si="7"/>
        <v>36</v>
      </c>
      <c r="AS5" t="s">
        <v>520</v>
      </c>
      <c r="AT5" t="s">
        <v>521</v>
      </c>
      <c r="AU5">
        <v>7.5629758834838867</v>
      </c>
      <c r="AV5">
        <v>98</v>
      </c>
      <c r="AW5" s="2"/>
      <c r="AX5">
        <f t="shared" si="8"/>
        <v>16</v>
      </c>
      <c r="AY5" t="s">
        <v>522</v>
      </c>
      <c r="AZ5" t="s">
        <v>523</v>
      </c>
      <c r="BA5">
        <v>10.516777038574221</v>
      </c>
      <c r="BB5">
        <v>34</v>
      </c>
      <c r="BC5" s="3"/>
      <c r="BD5">
        <f t="shared" si="9"/>
        <v>40</v>
      </c>
      <c r="BE5" t="s">
        <v>524</v>
      </c>
      <c r="BF5" t="s">
        <v>525</v>
      </c>
      <c r="BG5">
        <v>10.234879016876221</v>
      </c>
      <c r="BH5">
        <v>101</v>
      </c>
      <c r="BI5" s="2"/>
      <c r="BJ5">
        <f t="shared" si="10"/>
        <v>44</v>
      </c>
      <c r="BK5" t="s">
        <v>526</v>
      </c>
      <c r="BL5" t="s">
        <v>527</v>
      </c>
      <c r="BM5">
        <v>6.5997941493988037</v>
      </c>
      <c r="BN5">
        <v>92</v>
      </c>
      <c r="BO5" s="3"/>
      <c r="BP5">
        <f t="shared" si="11"/>
        <v>59</v>
      </c>
      <c r="BQ5" t="s">
        <v>528</v>
      </c>
      <c r="BR5" t="s">
        <v>529</v>
      </c>
      <c r="BS5">
        <v>141.0908987522125</v>
      </c>
      <c r="BT5">
        <v>121</v>
      </c>
      <c r="BU5" s="2"/>
      <c r="BV5">
        <f t="shared" si="12"/>
        <v>48</v>
      </c>
      <c r="BW5" t="s">
        <v>530</v>
      </c>
      <c r="BX5" t="s">
        <v>531</v>
      </c>
      <c r="BY5">
        <v>40.304052352905273</v>
      </c>
      <c r="BZ5">
        <v>184</v>
      </c>
      <c r="CA5" s="3"/>
      <c r="CB5">
        <f t="shared" si="13"/>
        <v>28</v>
      </c>
      <c r="CC5" t="s">
        <v>532</v>
      </c>
      <c r="CD5" t="s">
        <v>533</v>
      </c>
      <c r="CE5">
        <v>96.440922498703003</v>
      </c>
      <c r="CF5">
        <v>94</v>
      </c>
      <c r="CG5" s="2"/>
      <c r="CH5">
        <f t="shared" si="14"/>
        <v>26</v>
      </c>
      <c r="CI5" t="s">
        <v>534</v>
      </c>
      <c r="CJ5" t="s">
        <v>535</v>
      </c>
      <c r="CK5">
        <v>23.927392482757568</v>
      </c>
      <c r="CL5">
        <v>52</v>
      </c>
      <c r="CM5" s="3"/>
      <c r="CN5">
        <f t="shared" si="15"/>
        <v>15</v>
      </c>
      <c r="CO5" t="s">
        <v>536</v>
      </c>
      <c r="CP5" t="s">
        <v>537</v>
      </c>
      <c r="CQ5">
        <v>4.1402742862701416</v>
      </c>
      <c r="CR5">
        <v>107</v>
      </c>
      <c r="CS5" s="2"/>
      <c r="CT5">
        <f t="shared" si="16"/>
        <v>48</v>
      </c>
      <c r="CU5" t="s">
        <v>538</v>
      </c>
      <c r="CV5" t="s">
        <v>539</v>
      </c>
      <c r="CW5">
        <v>16.478921890258789</v>
      </c>
      <c r="CX5">
        <v>99</v>
      </c>
      <c r="CY5" s="3"/>
      <c r="CZ5">
        <f t="shared" si="17"/>
        <v>28</v>
      </c>
      <c r="DA5" t="s">
        <v>540</v>
      </c>
      <c r="DB5" t="s">
        <v>541</v>
      </c>
      <c r="DC5">
        <v>4.7876889705657959</v>
      </c>
      <c r="DD5">
        <v>85</v>
      </c>
      <c r="DE5" s="2"/>
      <c r="DF5">
        <f t="shared" si="18"/>
        <v>30</v>
      </c>
      <c r="DG5" t="s">
        <v>78</v>
      </c>
      <c r="DH5" t="s">
        <v>542</v>
      </c>
      <c r="DI5">
        <v>5.1926488876342773</v>
      </c>
      <c r="DJ5">
        <v>66</v>
      </c>
      <c r="DK5" s="3"/>
      <c r="DL5">
        <f t="shared" si="19"/>
        <v>15</v>
      </c>
      <c r="DM5" t="s">
        <v>543</v>
      </c>
      <c r="DN5" t="s">
        <v>544</v>
      </c>
      <c r="DO5">
        <v>16.249696731567379</v>
      </c>
      <c r="DP5">
        <v>65</v>
      </c>
      <c r="DQ5" s="2"/>
      <c r="DR5">
        <f t="shared" si="20"/>
        <v>32</v>
      </c>
      <c r="DS5" t="s">
        <v>545</v>
      </c>
      <c r="DT5" t="s">
        <v>546</v>
      </c>
      <c r="DU5">
        <v>8.3342423439025879</v>
      </c>
      <c r="DV5">
        <v>91</v>
      </c>
      <c r="DW5" s="3"/>
      <c r="DX5">
        <f t="shared" si="21"/>
        <v>38</v>
      </c>
      <c r="DY5" t="s">
        <v>547</v>
      </c>
      <c r="DZ5" t="s">
        <v>548</v>
      </c>
      <c r="EA5">
        <v>15.514091014862061</v>
      </c>
      <c r="EB5">
        <v>95</v>
      </c>
      <c r="EC5" s="2"/>
      <c r="ED5">
        <f t="shared" si="22"/>
        <v>18</v>
      </c>
      <c r="EE5" t="s">
        <v>549</v>
      </c>
      <c r="EF5" t="s">
        <v>550</v>
      </c>
      <c r="EG5">
        <v>8.6889431476593018</v>
      </c>
      <c r="EH5">
        <v>41</v>
      </c>
      <c r="EI5" s="3"/>
      <c r="EJ5">
        <f t="shared" si="23"/>
        <v>40</v>
      </c>
      <c r="EK5" t="s">
        <v>551</v>
      </c>
      <c r="EL5" t="s">
        <v>552</v>
      </c>
      <c r="EM5">
        <v>5.6267507076263428</v>
      </c>
      <c r="EN5">
        <v>134</v>
      </c>
      <c r="EO5" s="2"/>
      <c r="EP5">
        <f t="shared" si="24"/>
        <v>38</v>
      </c>
      <c r="EQ5" t="s">
        <v>553</v>
      </c>
      <c r="ER5" t="s">
        <v>554</v>
      </c>
      <c r="ES5">
        <v>28.410957336425781</v>
      </c>
      <c r="ET5">
        <v>91</v>
      </c>
      <c r="EU5" s="3"/>
      <c r="EV5">
        <f t="shared" si="25"/>
        <v>38</v>
      </c>
      <c r="EW5" t="s">
        <v>555</v>
      </c>
      <c r="EX5" t="s">
        <v>556</v>
      </c>
      <c r="EY5">
        <v>14.9918806552887</v>
      </c>
      <c r="EZ5">
        <v>79</v>
      </c>
      <c r="FA5" s="2"/>
      <c r="FB5">
        <f t="shared" si="26"/>
        <v>49</v>
      </c>
      <c r="FC5" t="s">
        <v>557</v>
      </c>
      <c r="FD5" t="s">
        <v>558</v>
      </c>
      <c r="FE5">
        <v>13.74482202529907</v>
      </c>
      <c r="FF5">
        <v>126</v>
      </c>
      <c r="FG5" s="3"/>
      <c r="FH5">
        <f t="shared" si="27"/>
        <v>30</v>
      </c>
      <c r="FI5" t="s">
        <v>559</v>
      </c>
      <c r="FJ5" t="s">
        <v>560</v>
      </c>
      <c r="FK5">
        <v>19.31365966796875</v>
      </c>
      <c r="FL5">
        <v>82</v>
      </c>
      <c r="FM5" s="2"/>
      <c r="FN5">
        <f t="shared" si="28"/>
        <v>62</v>
      </c>
      <c r="FO5" t="s">
        <v>561</v>
      </c>
      <c r="FP5" t="s">
        <v>562</v>
      </c>
      <c r="FQ5">
        <v>20.074907541275021</v>
      </c>
      <c r="FR5">
        <v>180</v>
      </c>
      <c r="FS5" s="3"/>
      <c r="FT5">
        <f t="shared" si="29"/>
        <v>67</v>
      </c>
      <c r="FU5" t="s">
        <v>563</v>
      </c>
      <c r="FV5" t="s">
        <v>564</v>
      </c>
      <c r="FW5">
        <v>25.403481960296631</v>
      </c>
      <c r="FX5">
        <v>168</v>
      </c>
      <c r="FY5" s="2"/>
      <c r="FZ5">
        <f t="shared" si="30"/>
        <v>25</v>
      </c>
      <c r="GA5" t="s">
        <v>565</v>
      </c>
      <c r="GB5" t="s">
        <v>566</v>
      </c>
      <c r="GC5">
        <v>22.118642807006839</v>
      </c>
      <c r="GD5">
        <v>77</v>
      </c>
      <c r="GE5" s="3"/>
      <c r="GF5">
        <f t="shared" si="31"/>
        <v>26</v>
      </c>
      <c r="GG5" t="s">
        <v>567</v>
      </c>
      <c r="GH5" t="s">
        <v>568</v>
      </c>
      <c r="GI5">
        <v>9.0926721096038818</v>
      </c>
      <c r="GJ5">
        <v>80</v>
      </c>
      <c r="GK5" s="2"/>
      <c r="GL5">
        <f t="shared" si="32"/>
        <v>42</v>
      </c>
      <c r="GM5" t="s">
        <v>569</v>
      </c>
      <c r="GN5" t="s">
        <v>570</v>
      </c>
      <c r="GO5">
        <v>11.783099412918091</v>
      </c>
      <c r="GP5">
        <v>69</v>
      </c>
      <c r="GQ5" s="3"/>
      <c r="GR5">
        <f t="shared" si="33"/>
        <v>34</v>
      </c>
      <c r="GS5" t="s">
        <v>571</v>
      </c>
      <c r="GT5" t="s">
        <v>572</v>
      </c>
      <c r="GU5">
        <v>15.35451436042786</v>
      </c>
      <c r="GV5">
        <v>194</v>
      </c>
      <c r="GW5" s="2"/>
      <c r="GX5">
        <f t="shared" si="34"/>
        <v>37</v>
      </c>
      <c r="GY5" t="s">
        <v>573</v>
      </c>
      <c r="GZ5" t="s">
        <v>574</v>
      </c>
      <c r="HA5">
        <v>7.5321376323699951</v>
      </c>
      <c r="HB5">
        <v>82</v>
      </c>
      <c r="HC5" s="3"/>
      <c r="HD5">
        <f t="shared" si="35"/>
        <v>34</v>
      </c>
      <c r="HE5" t="s">
        <v>575</v>
      </c>
      <c r="HF5" t="s">
        <v>576</v>
      </c>
      <c r="HG5">
        <v>11.37715911865234</v>
      </c>
      <c r="HH5">
        <v>73</v>
      </c>
      <c r="HI5" s="2"/>
      <c r="HJ5">
        <f t="shared" si="36"/>
        <v>27</v>
      </c>
      <c r="HK5" t="s">
        <v>577</v>
      </c>
      <c r="HL5" t="s">
        <v>578</v>
      </c>
      <c r="HM5">
        <v>17.587496519088749</v>
      </c>
      <c r="HN5">
        <v>75</v>
      </c>
      <c r="HO5" s="3"/>
      <c r="HP5">
        <f t="shared" si="37"/>
        <v>38</v>
      </c>
      <c r="HQ5" t="s">
        <v>579</v>
      </c>
      <c r="HR5" t="s">
        <v>580</v>
      </c>
      <c r="HS5">
        <v>17.36240720748901</v>
      </c>
      <c r="HT5">
        <v>131</v>
      </c>
      <c r="HU5" s="2"/>
      <c r="HV5">
        <f t="shared" si="38"/>
        <v>37</v>
      </c>
      <c r="HW5" t="s">
        <v>34</v>
      </c>
      <c r="HX5" t="s">
        <v>581</v>
      </c>
      <c r="HY5">
        <v>17.466770172119141</v>
      </c>
      <c r="HZ5">
        <v>69</v>
      </c>
      <c r="IA5" s="3"/>
      <c r="IB5">
        <f t="shared" si="39"/>
        <v>27</v>
      </c>
      <c r="IC5" t="s">
        <v>582</v>
      </c>
      <c r="ID5" t="s">
        <v>583</v>
      </c>
      <c r="IE5">
        <v>7.5525374412536621</v>
      </c>
      <c r="IF5">
        <v>125</v>
      </c>
      <c r="IG5" s="2"/>
      <c r="IH5">
        <f t="shared" si="40"/>
        <v>77</v>
      </c>
      <c r="II5" t="s">
        <v>584</v>
      </c>
      <c r="IJ5" t="s">
        <v>585</v>
      </c>
      <c r="IK5">
        <v>19.48469352722168</v>
      </c>
      <c r="IL5">
        <v>136</v>
      </c>
      <c r="IM5" s="3"/>
      <c r="IN5">
        <f t="shared" si="41"/>
        <v>32</v>
      </c>
      <c r="IO5" t="s">
        <v>586</v>
      </c>
      <c r="IP5" t="s">
        <v>587</v>
      </c>
      <c r="IQ5">
        <v>18.812942504882809</v>
      </c>
      <c r="IR5">
        <v>98</v>
      </c>
      <c r="IS5" s="2"/>
      <c r="IT5">
        <f t="shared" si="42"/>
        <v>22</v>
      </c>
      <c r="IU5" t="s">
        <v>588</v>
      </c>
      <c r="IV5" t="s">
        <v>589</v>
      </c>
      <c r="IW5">
        <v>11.76963567733765</v>
      </c>
      <c r="IX5">
        <v>56</v>
      </c>
      <c r="IY5" s="3"/>
      <c r="IZ5">
        <f t="shared" si="43"/>
        <v>30</v>
      </c>
      <c r="JA5" t="s">
        <v>590</v>
      </c>
      <c r="JB5" t="s">
        <v>591</v>
      </c>
      <c r="JC5">
        <v>7.8427956104278556</v>
      </c>
      <c r="JD5">
        <v>73</v>
      </c>
      <c r="JE5" s="2"/>
      <c r="JF5">
        <f t="shared" si="44"/>
        <v>26</v>
      </c>
      <c r="JG5" t="s">
        <v>592</v>
      </c>
      <c r="JH5" t="s">
        <v>593</v>
      </c>
      <c r="JI5">
        <v>5.5310275554656982</v>
      </c>
      <c r="JJ5">
        <v>76</v>
      </c>
      <c r="JK5" s="3"/>
      <c r="JL5">
        <f t="shared" si="45"/>
        <v>23</v>
      </c>
      <c r="JM5" t="s">
        <v>594</v>
      </c>
      <c r="JN5" t="s">
        <v>595</v>
      </c>
      <c r="JO5">
        <v>30.89888167381287</v>
      </c>
      <c r="JP5">
        <v>70</v>
      </c>
      <c r="JQ5" s="2"/>
      <c r="JR5">
        <f t="shared" si="46"/>
        <v>34</v>
      </c>
      <c r="JS5" t="s">
        <v>596</v>
      </c>
      <c r="JT5" t="s">
        <v>597</v>
      </c>
      <c r="JU5">
        <v>16.568758010864261</v>
      </c>
      <c r="JV5">
        <v>75</v>
      </c>
      <c r="JW5" s="3"/>
      <c r="JX5">
        <f t="shared" si="47"/>
        <v>38</v>
      </c>
      <c r="JY5" t="s">
        <v>598</v>
      </c>
      <c r="JZ5" t="s">
        <v>599</v>
      </c>
      <c r="KA5">
        <v>13.056311368942261</v>
      </c>
      <c r="KB5">
        <v>129</v>
      </c>
      <c r="KC5" s="2"/>
      <c r="KD5">
        <f t="shared" si="48"/>
        <v>12</v>
      </c>
      <c r="KE5" t="s">
        <v>600</v>
      </c>
      <c r="KF5" t="s">
        <v>601</v>
      </c>
      <c r="KG5">
        <v>4.5240113735198966</v>
      </c>
      <c r="KH5">
        <v>26</v>
      </c>
      <c r="KI5" s="3"/>
      <c r="KJ5">
        <f t="shared" si="49"/>
        <v>40</v>
      </c>
      <c r="KK5" t="s">
        <v>602</v>
      </c>
      <c r="KL5" t="s">
        <v>603</v>
      </c>
      <c r="KM5">
        <v>15.488196134567261</v>
      </c>
      <c r="KN5">
        <v>93</v>
      </c>
      <c r="KO5" s="2"/>
      <c r="KP5">
        <f t="shared" si="50"/>
        <v>18</v>
      </c>
      <c r="KQ5" t="s">
        <v>604</v>
      </c>
      <c r="KR5" t="s">
        <v>605</v>
      </c>
      <c r="KS5">
        <v>3.6278495788574219</v>
      </c>
      <c r="KT5">
        <v>117</v>
      </c>
      <c r="KU5" s="3"/>
      <c r="KV5">
        <f t="shared" si="51"/>
        <v>50</v>
      </c>
      <c r="KW5" t="s">
        <v>606</v>
      </c>
      <c r="KX5" t="s">
        <v>607</v>
      </c>
      <c r="KY5">
        <v>15.421896457672119</v>
      </c>
      <c r="KZ5">
        <v>115</v>
      </c>
      <c r="LA5" s="2"/>
      <c r="LB5">
        <f t="shared" si="52"/>
        <v>19</v>
      </c>
      <c r="LC5" t="s">
        <v>608</v>
      </c>
      <c r="LD5" t="s">
        <v>609</v>
      </c>
      <c r="LE5">
        <v>9.1746094226837158</v>
      </c>
      <c r="LF5">
        <v>110</v>
      </c>
      <c r="LG5" s="3"/>
      <c r="LH5">
        <f t="shared" si="53"/>
        <v>70</v>
      </c>
      <c r="LI5" t="s">
        <v>610</v>
      </c>
      <c r="LJ5" t="s">
        <v>611</v>
      </c>
      <c r="LK5">
        <v>10.43787240982056</v>
      </c>
      <c r="LL5">
        <v>119</v>
      </c>
      <c r="LM5" s="2"/>
      <c r="LN5">
        <f t="shared" si="54"/>
        <v>25</v>
      </c>
      <c r="LO5" t="s">
        <v>612</v>
      </c>
      <c r="LP5" t="s">
        <v>613</v>
      </c>
      <c r="LQ5">
        <v>20.6324028968811</v>
      </c>
      <c r="LR5">
        <v>76</v>
      </c>
      <c r="LS5" s="3"/>
      <c r="LT5">
        <f t="shared" si="55"/>
        <v>33</v>
      </c>
      <c r="LU5" t="s">
        <v>614</v>
      </c>
      <c r="LV5" t="s">
        <v>615</v>
      </c>
      <c r="LW5">
        <v>15.669113874435419</v>
      </c>
      <c r="LX5">
        <v>133</v>
      </c>
      <c r="LY5" s="2"/>
      <c r="LZ5">
        <f t="shared" si="56"/>
        <v>34</v>
      </c>
      <c r="MA5" t="s">
        <v>616</v>
      </c>
      <c r="MB5" t="s">
        <v>617</v>
      </c>
      <c r="MC5">
        <v>20.416135787963871</v>
      </c>
      <c r="MD5">
        <v>124</v>
      </c>
      <c r="ME5" s="3"/>
      <c r="MF5">
        <f t="shared" si="57"/>
        <v>87</v>
      </c>
      <c r="MG5" t="s">
        <v>618</v>
      </c>
      <c r="MH5" t="s">
        <v>619</v>
      </c>
      <c r="MI5">
        <v>335.28530931472778</v>
      </c>
      <c r="MJ5">
        <v>187</v>
      </c>
      <c r="MK5" s="2"/>
      <c r="ML5">
        <f t="shared" si="58"/>
        <v>18</v>
      </c>
      <c r="MM5" t="s">
        <v>466</v>
      </c>
      <c r="MN5" t="s">
        <v>620</v>
      </c>
      <c r="MO5">
        <v>14.606158494949341</v>
      </c>
      <c r="MP5">
        <v>56</v>
      </c>
      <c r="MQ5" s="3"/>
      <c r="MR5">
        <f t="shared" si="59"/>
        <v>44</v>
      </c>
      <c r="MS5" t="s">
        <v>621</v>
      </c>
      <c r="MT5" t="s">
        <v>622</v>
      </c>
      <c r="MU5">
        <v>155.60554456710821</v>
      </c>
      <c r="MV5">
        <v>147</v>
      </c>
      <c r="MW5" s="2"/>
      <c r="MX5">
        <f t="shared" si="60"/>
        <v>18</v>
      </c>
      <c r="MY5" t="s">
        <v>623</v>
      </c>
      <c r="MZ5" t="s">
        <v>624</v>
      </c>
      <c r="NA5">
        <v>14.384684801101679</v>
      </c>
      <c r="NB5">
        <v>118</v>
      </c>
      <c r="NC5" s="3"/>
      <c r="ND5">
        <f t="shared" si="61"/>
        <v>24</v>
      </c>
      <c r="NE5" t="s">
        <v>625</v>
      </c>
      <c r="NF5" t="s">
        <v>626</v>
      </c>
      <c r="NG5">
        <v>3.670194149017334</v>
      </c>
      <c r="NH5">
        <v>108</v>
      </c>
      <c r="NI5" s="2"/>
      <c r="NJ5">
        <f t="shared" si="62"/>
        <v>35</v>
      </c>
      <c r="NK5" t="s">
        <v>627</v>
      </c>
      <c r="NL5" t="s">
        <v>628</v>
      </c>
      <c r="NM5">
        <v>22.346611976623539</v>
      </c>
      <c r="NN5">
        <v>109</v>
      </c>
      <c r="NO5" s="3"/>
      <c r="NP5">
        <f t="shared" si="63"/>
        <v>23</v>
      </c>
      <c r="NQ5" t="s">
        <v>629</v>
      </c>
      <c r="NR5" t="s">
        <v>630</v>
      </c>
      <c r="NS5">
        <v>10.59044790267944</v>
      </c>
      <c r="NT5">
        <v>86</v>
      </c>
      <c r="NU5" s="2"/>
      <c r="NV5">
        <f t="shared" si="64"/>
        <v>31</v>
      </c>
      <c r="NW5" t="s">
        <v>631</v>
      </c>
      <c r="NX5" t="s">
        <v>632</v>
      </c>
      <c r="NY5">
        <v>12.461796522140499</v>
      </c>
      <c r="NZ5">
        <v>82</v>
      </c>
      <c r="OA5" s="3"/>
      <c r="OB5">
        <f t="shared" si="65"/>
        <v>74</v>
      </c>
      <c r="OC5" t="s">
        <v>633</v>
      </c>
      <c r="OD5" t="s">
        <v>634</v>
      </c>
      <c r="OE5">
        <v>22.244951963424679</v>
      </c>
      <c r="OF5">
        <v>139</v>
      </c>
      <c r="OG5" s="2"/>
      <c r="OH5">
        <f t="shared" si="66"/>
        <v>41</v>
      </c>
      <c r="OI5" t="s">
        <v>635</v>
      </c>
      <c r="OJ5" t="s">
        <v>636</v>
      </c>
      <c r="OK5">
        <v>10.58669018745422</v>
      </c>
      <c r="OL5">
        <v>100</v>
      </c>
      <c r="OM5" s="3"/>
      <c r="ON5">
        <f t="shared" si="67"/>
        <v>41</v>
      </c>
      <c r="OO5" t="s">
        <v>637</v>
      </c>
      <c r="OP5" t="s">
        <v>638</v>
      </c>
      <c r="OQ5">
        <v>26.175217151641849</v>
      </c>
      <c r="OR5">
        <v>152</v>
      </c>
      <c r="OS5" s="2"/>
      <c r="OT5">
        <f t="shared" si="68"/>
        <v>34</v>
      </c>
      <c r="OU5" t="s">
        <v>639</v>
      </c>
      <c r="OV5" t="s">
        <v>640</v>
      </c>
      <c r="OW5">
        <v>21.0970299243927</v>
      </c>
      <c r="OX5">
        <v>118</v>
      </c>
      <c r="OY5" s="3"/>
      <c r="OZ5">
        <f t="shared" si="69"/>
        <v>47</v>
      </c>
      <c r="PA5" t="s">
        <v>641</v>
      </c>
      <c r="PB5" t="s">
        <v>642</v>
      </c>
      <c r="PC5">
        <v>16.72377514839172</v>
      </c>
      <c r="PD5">
        <v>113</v>
      </c>
      <c r="PE5" s="2"/>
      <c r="PF5">
        <f t="shared" si="70"/>
        <v>72</v>
      </c>
      <c r="PG5" t="s">
        <v>643</v>
      </c>
      <c r="PH5" t="s">
        <v>644</v>
      </c>
      <c r="PI5">
        <v>193.52024412155151</v>
      </c>
      <c r="PJ5">
        <v>109</v>
      </c>
      <c r="PK5" s="3"/>
      <c r="PL5">
        <f t="shared" si="71"/>
        <v>46</v>
      </c>
      <c r="PM5" t="s">
        <v>645</v>
      </c>
      <c r="PN5" t="s">
        <v>646</v>
      </c>
      <c r="PO5">
        <v>12.950565576553339</v>
      </c>
      <c r="PP5">
        <v>114</v>
      </c>
      <c r="PQ5" s="2"/>
      <c r="PR5">
        <f t="shared" si="72"/>
        <v>25</v>
      </c>
      <c r="PS5" t="s">
        <v>647</v>
      </c>
      <c r="PT5" t="s">
        <v>648</v>
      </c>
      <c r="PU5">
        <v>16.166637182235721</v>
      </c>
      <c r="PV5">
        <v>44</v>
      </c>
      <c r="PW5" s="3"/>
      <c r="PX5">
        <f t="shared" si="73"/>
        <v>30</v>
      </c>
      <c r="PY5" t="s">
        <v>649</v>
      </c>
      <c r="PZ5" t="s">
        <v>650</v>
      </c>
      <c r="QA5">
        <v>18.814244270324711</v>
      </c>
      <c r="QB5">
        <v>126</v>
      </c>
      <c r="QC5" s="2"/>
      <c r="QD5">
        <f t="shared" si="74"/>
        <v>22</v>
      </c>
      <c r="QE5" t="s">
        <v>651</v>
      </c>
      <c r="QF5" t="s">
        <v>652</v>
      </c>
      <c r="QG5">
        <v>5.7107577323913574</v>
      </c>
      <c r="QH5">
        <v>45</v>
      </c>
      <c r="QI5" s="3"/>
      <c r="QJ5">
        <f t="shared" si="75"/>
        <v>28</v>
      </c>
      <c r="QK5" t="s">
        <v>653</v>
      </c>
      <c r="QL5" t="s">
        <v>654</v>
      </c>
      <c r="QM5">
        <v>7.1238458156585693</v>
      </c>
      <c r="QN5">
        <v>83</v>
      </c>
      <c r="QO5" s="2"/>
      <c r="QP5">
        <f t="shared" si="76"/>
        <v>8</v>
      </c>
      <c r="QQ5" t="s">
        <v>655</v>
      </c>
      <c r="QR5" t="s">
        <v>656</v>
      </c>
      <c r="QS5">
        <v>14.148834943771361</v>
      </c>
      <c r="QT5">
        <v>33</v>
      </c>
      <c r="QU5" s="3"/>
      <c r="QV5">
        <f t="shared" si="77"/>
        <v>20</v>
      </c>
      <c r="QW5" t="s">
        <v>657</v>
      </c>
      <c r="QX5" t="s">
        <v>658</v>
      </c>
      <c r="QY5">
        <v>1.95283031463623</v>
      </c>
      <c r="QZ5">
        <v>46</v>
      </c>
      <c r="RA5" s="2"/>
      <c r="RB5">
        <f t="shared" si="78"/>
        <v>26</v>
      </c>
      <c r="RC5" t="s">
        <v>659</v>
      </c>
      <c r="RD5" t="s">
        <v>660</v>
      </c>
      <c r="RE5">
        <v>6.2386386394500732</v>
      </c>
      <c r="RF5">
        <v>47</v>
      </c>
      <c r="RG5" s="3"/>
      <c r="RH5">
        <f t="shared" si="79"/>
        <v>23</v>
      </c>
      <c r="RI5" t="s">
        <v>661</v>
      </c>
      <c r="RJ5" t="s">
        <v>662</v>
      </c>
      <c r="RK5">
        <v>6.2216436862945557</v>
      </c>
      <c r="RL5">
        <v>45</v>
      </c>
      <c r="RM5" s="2"/>
      <c r="RN5">
        <f t="shared" si="80"/>
        <v>72</v>
      </c>
      <c r="RO5" t="s">
        <v>663</v>
      </c>
      <c r="RP5" t="s">
        <v>664</v>
      </c>
      <c r="RQ5">
        <v>11.8442714214325</v>
      </c>
      <c r="RR5">
        <v>106</v>
      </c>
      <c r="RS5" s="3"/>
      <c r="RT5">
        <f t="shared" si="81"/>
        <v>34</v>
      </c>
      <c r="RU5" t="s">
        <v>665</v>
      </c>
      <c r="RV5" t="s">
        <v>666</v>
      </c>
      <c r="RW5">
        <v>13.71511650085449</v>
      </c>
      <c r="RX5">
        <v>126</v>
      </c>
      <c r="RY5" s="2"/>
      <c r="RZ5">
        <f t="shared" si="82"/>
        <v>20</v>
      </c>
      <c r="SA5" t="s">
        <v>667</v>
      </c>
      <c r="SB5" t="s">
        <v>668</v>
      </c>
      <c r="SC5">
        <v>3.377173900604248</v>
      </c>
      <c r="SD5">
        <v>62</v>
      </c>
      <c r="SE5" s="3"/>
      <c r="SF5">
        <f t="shared" si="83"/>
        <v>16</v>
      </c>
      <c r="SG5" t="s">
        <v>669</v>
      </c>
      <c r="SH5" t="s">
        <v>670</v>
      </c>
      <c r="SI5">
        <v>2.5771291255950932</v>
      </c>
      <c r="SJ5">
        <v>106</v>
      </c>
      <c r="SK5" s="2"/>
      <c r="SL5">
        <f t="shared" si="84"/>
        <v>24</v>
      </c>
      <c r="SM5" t="s">
        <v>2</v>
      </c>
      <c r="SN5" t="s">
        <v>671</v>
      </c>
      <c r="SO5">
        <v>11.372094392776489</v>
      </c>
      <c r="SP5">
        <v>150</v>
      </c>
      <c r="SQ5" s="3"/>
      <c r="SR5">
        <f t="shared" si="85"/>
        <v>36</v>
      </c>
      <c r="SS5" t="s">
        <v>672</v>
      </c>
      <c r="ST5" t="s">
        <v>673</v>
      </c>
      <c r="SU5">
        <v>12.12579083442688</v>
      </c>
      <c r="SV5">
        <v>120</v>
      </c>
      <c r="SW5" s="4"/>
      <c r="SX5">
        <f t="shared" si="86"/>
        <v>39</v>
      </c>
      <c r="SY5" t="s">
        <v>674</v>
      </c>
      <c r="SZ5" t="s">
        <v>675</v>
      </c>
      <c r="TA5">
        <v>15.438716173172001</v>
      </c>
      <c r="TB5">
        <v>131</v>
      </c>
      <c r="TC5" s="5"/>
      <c r="TD5">
        <f t="shared" si="87"/>
        <v>19</v>
      </c>
      <c r="TE5" t="s">
        <v>676</v>
      </c>
      <c r="TF5" t="s">
        <v>677</v>
      </c>
      <c r="TG5">
        <v>13.494614839553829</v>
      </c>
      <c r="TH5">
        <v>48</v>
      </c>
      <c r="TI5" s="2"/>
      <c r="TJ5">
        <f t="shared" si="88"/>
        <v>28</v>
      </c>
      <c r="TK5" t="s">
        <v>678</v>
      </c>
      <c r="TL5" t="s">
        <v>679</v>
      </c>
      <c r="TM5">
        <v>16.691108465194699</v>
      </c>
      <c r="TN5">
        <v>95</v>
      </c>
      <c r="TO5" s="5"/>
      <c r="TP5">
        <f t="shared" si="89"/>
        <v>30</v>
      </c>
      <c r="TQ5" t="s">
        <v>133</v>
      </c>
      <c r="TR5" t="s">
        <v>680</v>
      </c>
      <c r="TS5">
        <v>12.68310022354126</v>
      </c>
      <c r="TT5">
        <v>105</v>
      </c>
      <c r="TU5" s="2"/>
      <c r="TV5">
        <f t="shared" si="90"/>
        <v>30</v>
      </c>
      <c r="TW5" t="s">
        <v>681</v>
      </c>
      <c r="TX5" t="s">
        <v>682</v>
      </c>
      <c r="TY5">
        <v>7.4720771312713623</v>
      </c>
      <c r="TZ5">
        <v>66</v>
      </c>
      <c r="UA5" s="5"/>
      <c r="UB5">
        <f t="shared" si="91"/>
        <v>20</v>
      </c>
      <c r="UC5" t="s">
        <v>683</v>
      </c>
      <c r="UD5" t="s">
        <v>684</v>
      </c>
      <c r="UE5">
        <v>14.653664588928221</v>
      </c>
      <c r="UF5">
        <v>47</v>
      </c>
      <c r="UG5" s="2"/>
      <c r="UH5">
        <f t="shared" si="92"/>
        <v>32</v>
      </c>
      <c r="UI5" t="s">
        <v>685</v>
      </c>
      <c r="UJ5" t="s">
        <v>686</v>
      </c>
      <c r="UK5">
        <v>25.751412868499759</v>
      </c>
      <c r="UL5">
        <v>87</v>
      </c>
      <c r="UM5" s="5"/>
      <c r="UN5">
        <f t="shared" si="93"/>
        <v>28</v>
      </c>
      <c r="UO5" t="s">
        <v>687</v>
      </c>
      <c r="UP5" t="s">
        <v>688</v>
      </c>
      <c r="UQ5">
        <v>83.880011081695557</v>
      </c>
      <c r="UR5">
        <v>136</v>
      </c>
      <c r="US5" s="2"/>
      <c r="UT5">
        <f t="shared" si="94"/>
        <v>30</v>
      </c>
      <c r="UU5" t="s">
        <v>689</v>
      </c>
      <c r="UV5" t="s">
        <v>690</v>
      </c>
      <c r="UW5">
        <v>10.39945864677429</v>
      </c>
      <c r="UX5">
        <v>140</v>
      </c>
      <c r="UY5" s="5"/>
      <c r="UZ5">
        <f t="shared" si="95"/>
        <v>114</v>
      </c>
      <c r="VA5" t="s">
        <v>691</v>
      </c>
      <c r="VB5" t="s">
        <v>692</v>
      </c>
      <c r="VC5">
        <v>152.76157402992251</v>
      </c>
      <c r="VD5">
        <v>183</v>
      </c>
      <c r="VE5" s="2"/>
      <c r="VF5">
        <f t="shared" si="96"/>
        <v>40</v>
      </c>
      <c r="VG5" t="s">
        <v>693</v>
      </c>
      <c r="VH5" t="s">
        <v>694</v>
      </c>
      <c r="VI5">
        <v>22.66913270950317</v>
      </c>
      <c r="VJ5">
        <v>90</v>
      </c>
      <c r="VK5" s="5"/>
      <c r="VL5">
        <f t="shared" si="97"/>
        <v>35</v>
      </c>
      <c r="VM5" t="s">
        <v>695</v>
      </c>
      <c r="VN5" t="s">
        <v>696</v>
      </c>
      <c r="VO5">
        <v>45.898253440856926</v>
      </c>
      <c r="VP5">
        <v>74</v>
      </c>
      <c r="VQ5" s="2"/>
      <c r="VR5">
        <f t="shared" si="98"/>
        <v>31</v>
      </c>
      <c r="VS5" t="s">
        <v>697</v>
      </c>
      <c r="VT5" t="s">
        <v>698</v>
      </c>
      <c r="VU5">
        <v>12.36366176605225</v>
      </c>
      <c r="VV5">
        <v>90</v>
      </c>
      <c r="VW5" s="5"/>
      <c r="VX5">
        <f t="shared" si="99"/>
        <v>66</v>
      </c>
      <c r="VY5" t="s">
        <v>699</v>
      </c>
      <c r="VZ5" t="s">
        <v>700</v>
      </c>
      <c r="WA5">
        <v>26.90367674827576</v>
      </c>
      <c r="WB5">
        <v>126</v>
      </c>
      <c r="WC5" s="2"/>
      <c r="WD5">
        <f t="shared" si="100"/>
        <v>24</v>
      </c>
      <c r="WE5" t="s">
        <v>701</v>
      </c>
      <c r="WF5" t="s">
        <v>702</v>
      </c>
      <c r="WG5">
        <v>16.242727756500241</v>
      </c>
      <c r="WH5">
        <v>61</v>
      </c>
      <c r="WI5" s="5"/>
      <c r="WJ5">
        <f t="shared" si="101"/>
        <v>56</v>
      </c>
      <c r="WK5" t="s">
        <v>703</v>
      </c>
      <c r="WL5" t="s">
        <v>704</v>
      </c>
      <c r="WM5">
        <v>12.35107779502869</v>
      </c>
      <c r="WN5">
        <v>150</v>
      </c>
      <c r="WO5" s="2"/>
      <c r="WP5">
        <f t="shared" si="102"/>
        <v>33</v>
      </c>
      <c r="WQ5" t="s">
        <v>705</v>
      </c>
      <c r="WR5" t="s">
        <v>706</v>
      </c>
      <c r="WS5">
        <v>6.596562385559082</v>
      </c>
      <c r="WT5">
        <v>77</v>
      </c>
      <c r="WU5" s="5"/>
      <c r="WV5">
        <f t="shared" si="103"/>
        <v>21</v>
      </c>
      <c r="WW5" t="s">
        <v>707</v>
      </c>
      <c r="WX5" t="s">
        <v>708</v>
      </c>
      <c r="WY5">
        <v>12.78216290473938</v>
      </c>
      <c r="WZ5">
        <v>50</v>
      </c>
      <c r="XA5" s="2"/>
      <c r="XB5">
        <f t="shared" si="104"/>
        <v>28</v>
      </c>
      <c r="XC5" t="s">
        <v>709</v>
      </c>
      <c r="XD5" t="s">
        <v>710</v>
      </c>
      <c r="XE5">
        <v>4.5815517902374268</v>
      </c>
      <c r="XF5">
        <v>107</v>
      </c>
      <c r="XG5" s="5"/>
      <c r="XH5">
        <f t="shared" si="105"/>
        <v>88</v>
      </c>
      <c r="XI5" t="s">
        <v>711</v>
      </c>
      <c r="XJ5" t="s">
        <v>712</v>
      </c>
      <c r="XK5">
        <v>24.570831060409549</v>
      </c>
      <c r="XL5">
        <v>152</v>
      </c>
      <c r="XM5" s="2"/>
      <c r="XN5">
        <f t="shared" si="106"/>
        <v>56</v>
      </c>
      <c r="XO5" t="s">
        <v>713</v>
      </c>
      <c r="XP5" t="s">
        <v>714</v>
      </c>
      <c r="XQ5">
        <v>12.487836122512819</v>
      </c>
      <c r="XR5">
        <v>108</v>
      </c>
      <c r="XS5" s="5"/>
      <c r="XT5">
        <f t="shared" si="107"/>
        <v>84</v>
      </c>
      <c r="XU5" t="s">
        <v>715</v>
      </c>
      <c r="XV5" t="s">
        <v>716</v>
      </c>
      <c r="XW5">
        <v>21.342974901199341</v>
      </c>
      <c r="XX5">
        <v>262</v>
      </c>
      <c r="XY5" s="2"/>
      <c r="XZ5">
        <f t="shared" si="108"/>
        <v>28</v>
      </c>
      <c r="YA5" t="s">
        <v>717</v>
      </c>
      <c r="YB5" t="s">
        <v>718</v>
      </c>
      <c r="YC5">
        <v>8.8425681591033936</v>
      </c>
      <c r="YD5">
        <v>63</v>
      </c>
      <c r="YE5" s="5"/>
      <c r="YF5">
        <f t="shared" si="109"/>
        <v>36</v>
      </c>
      <c r="YG5" t="s">
        <v>719</v>
      </c>
      <c r="YH5" t="s">
        <v>720</v>
      </c>
      <c r="YI5">
        <v>8.3660340309143066</v>
      </c>
      <c r="YJ5">
        <v>90</v>
      </c>
      <c r="YK5" s="2"/>
      <c r="YL5">
        <f t="shared" si="110"/>
        <v>41</v>
      </c>
      <c r="YM5" t="s">
        <v>721</v>
      </c>
      <c r="YN5" t="s">
        <v>722</v>
      </c>
      <c r="YO5">
        <v>177.2737455368042</v>
      </c>
      <c r="YP5">
        <v>120</v>
      </c>
      <c r="YQ5" s="5"/>
      <c r="YR5">
        <f t="shared" si="111"/>
        <v>26</v>
      </c>
      <c r="YS5" t="s">
        <v>723</v>
      </c>
      <c r="YT5" t="s">
        <v>724</v>
      </c>
      <c r="YU5">
        <v>15.109335899353029</v>
      </c>
      <c r="YV5">
        <v>98</v>
      </c>
      <c r="YW5" s="2"/>
      <c r="YX5">
        <f t="shared" si="112"/>
        <v>30</v>
      </c>
      <c r="YY5" t="s">
        <v>725</v>
      </c>
      <c r="YZ5" t="s">
        <v>726</v>
      </c>
      <c r="ZA5">
        <v>3.6059668064117432</v>
      </c>
      <c r="ZB5">
        <v>142</v>
      </c>
      <c r="ZC5" s="5"/>
      <c r="ZD5">
        <f t="shared" si="113"/>
        <v>38</v>
      </c>
      <c r="ZE5" t="s">
        <v>727</v>
      </c>
      <c r="ZF5" t="s">
        <v>728</v>
      </c>
      <c r="ZG5">
        <v>43.757489919662483</v>
      </c>
      <c r="ZH5">
        <v>133</v>
      </c>
      <c r="ZI5" s="2"/>
      <c r="ZJ5">
        <f t="shared" si="114"/>
        <v>31</v>
      </c>
      <c r="ZK5" t="s">
        <v>304</v>
      </c>
      <c r="ZL5" t="s">
        <v>729</v>
      </c>
      <c r="ZM5">
        <v>54.544958829879761</v>
      </c>
      <c r="ZN5">
        <v>89</v>
      </c>
      <c r="ZO5" s="5"/>
      <c r="ZP5">
        <f t="shared" si="115"/>
        <v>33</v>
      </c>
      <c r="ZQ5" t="s">
        <v>730</v>
      </c>
      <c r="ZR5" t="s">
        <v>731</v>
      </c>
      <c r="ZS5">
        <v>24.900062322616581</v>
      </c>
      <c r="ZT5">
        <v>105</v>
      </c>
      <c r="ZU5" s="2"/>
      <c r="ZV5">
        <f t="shared" si="116"/>
        <v>70</v>
      </c>
      <c r="ZW5" t="s">
        <v>732</v>
      </c>
      <c r="ZX5" t="s">
        <v>733</v>
      </c>
      <c r="ZY5">
        <v>7.5751571655273438</v>
      </c>
      <c r="ZZ5">
        <v>170</v>
      </c>
      <c r="AAA5" s="5"/>
      <c r="AAB5">
        <f t="shared" si="117"/>
        <v>46</v>
      </c>
      <c r="AAC5" t="s">
        <v>734</v>
      </c>
      <c r="AAD5" t="s">
        <v>735</v>
      </c>
      <c r="AAE5">
        <v>11.73453998565674</v>
      </c>
      <c r="AAF5">
        <v>112</v>
      </c>
      <c r="AAG5" s="2"/>
      <c r="AAH5">
        <f t="shared" si="118"/>
        <v>31</v>
      </c>
      <c r="AAI5" t="s">
        <v>736</v>
      </c>
      <c r="AAJ5" t="s">
        <v>737</v>
      </c>
      <c r="AAK5">
        <v>8.7866308689117432</v>
      </c>
      <c r="AAL5">
        <v>161</v>
      </c>
      <c r="AAM5" s="5"/>
      <c r="AAN5">
        <f t="shared" si="119"/>
        <v>26</v>
      </c>
      <c r="AAO5" t="s">
        <v>738</v>
      </c>
      <c r="AAP5" t="s">
        <v>739</v>
      </c>
      <c r="AAQ5">
        <v>31.466813087463379</v>
      </c>
      <c r="AAR5">
        <v>67</v>
      </c>
      <c r="AAS5" s="2"/>
      <c r="AAT5">
        <f t="shared" si="120"/>
        <v>36</v>
      </c>
      <c r="AAU5" t="s">
        <v>740</v>
      </c>
      <c r="AAV5" t="s">
        <v>741</v>
      </c>
      <c r="AAW5">
        <v>9.3923685550689697</v>
      </c>
      <c r="AAX5">
        <v>86</v>
      </c>
      <c r="AAY5" s="5"/>
      <c r="AAZ5">
        <f t="shared" si="121"/>
        <v>29</v>
      </c>
      <c r="ABA5" t="s">
        <v>178</v>
      </c>
      <c r="ABB5" t="s">
        <v>742</v>
      </c>
      <c r="ABC5">
        <v>13.87591981887817</v>
      </c>
      <c r="ABD5">
        <v>77</v>
      </c>
      <c r="ABE5" s="2"/>
      <c r="ABF5">
        <f t="shared" si="122"/>
        <v>42</v>
      </c>
      <c r="ABG5" t="s">
        <v>743</v>
      </c>
      <c r="ABH5" t="s">
        <v>744</v>
      </c>
      <c r="ABI5">
        <v>15.88190317153931</v>
      </c>
      <c r="ABJ5">
        <v>144</v>
      </c>
      <c r="ABK5" s="5"/>
      <c r="ABL5">
        <f t="shared" si="123"/>
        <v>21</v>
      </c>
      <c r="ABM5" t="s">
        <v>745</v>
      </c>
      <c r="ABN5" t="s">
        <v>746</v>
      </c>
      <c r="ABO5">
        <v>9.982818603515625</v>
      </c>
      <c r="ABP5">
        <v>107</v>
      </c>
      <c r="ABQ5" s="2"/>
      <c r="ABR5">
        <f t="shared" si="124"/>
        <v>55</v>
      </c>
      <c r="ABS5" t="s">
        <v>500</v>
      </c>
      <c r="ABT5" t="s">
        <v>747</v>
      </c>
      <c r="ABU5">
        <v>7.3674848079681396</v>
      </c>
      <c r="ABV5">
        <v>88</v>
      </c>
      <c r="ABW5" s="5"/>
      <c r="ABX5">
        <f t="shared" si="125"/>
        <v>37</v>
      </c>
      <c r="ABY5" t="s">
        <v>748</v>
      </c>
      <c r="ABZ5" t="s">
        <v>749</v>
      </c>
      <c r="ACA5">
        <v>25.45278167724609</v>
      </c>
      <c r="ACB5">
        <v>96</v>
      </c>
      <c r="ACC5" s="2"/>
      <c r="ACD5">
        <f t="shared" si="126"/>
        <v>34</v>
      </c>
      <c r="ACE5" t="s">
        <v>750</v>
      </c>
      <c r="ACF5" t="s">
        <v>751</v>
      </c>
      <c r="ACG5">
        <v>23.343999147415161</v>
      </c>
      <c r="ACH5">
        <v>70</v>
      </c>
      <c r="ACI5" s="5"/>
      <c r="ACJ5">
        <f t="shared" si="127"/>
        <v>42</v>
      </c>
      <c r="ACK5" t="s">
        <v>752</v>
      </c>
      <c r="ACL5" t="s">
        <v>753</v>
      </c>
      <c r="ACM5">
        <v>17.186906337738041</v>
      </c>
      <c r="ACN5">
        <v>117</v>
      </c>
      <c r="ACO5" s="2"/>
      <c r="ACP5">
        <f t="shared" si="128"/>
        <v>40</v>
      </c>
      <c r="ACQ5" t="s">
        <v>754</v>
      </c>
      <c r="ACR5" t="s">
        <v>755</v>
      </c>
      <c r="ACS5">
        <v>89.637258291244507</v>
      </c>
      <c r="ACT5">
        <v>70</v>
      </c>
      <c r="ACU5" s="5"/>
      <c r="ACV5">
        <f t="shared" si="129"/>
        <v>30</v>
      </c>
      <c r="ACW5" t="s">
        <v>756</v>
      </c>
      <c r="ACX5" t="s">
        <v>757</v>
      </c>
      <c r="ACY5">
        <v>20.563499689102169</v>
      </c>
      <c r="ACZ5">
        <v>56</v>
      </c>
      <c r="ADA5" s="2"/>
      <c r="ADB5">
        <f t="shared" si="130"/>
        <v>24</v>
      </c>
      <c r="ADC5" t="s">
        <v>758</v>
      </c>
      <c r="ADD5" t="s">
        <v>759</v>
      </c>
      <c r="ADE5">
        <v>23.18317341804504</v>
      </c>
      <c r="ADF5">
        <v>63</v>
      </c>
      <c r="ADG5" s="5"/>
      <c r="ADH5">
        <f t="shared" si="131"/>
        <v>55</v>
      </c>
      <c r="ADI5" t="s">
        <v>760</v>
      </c>
      <c r="ADJ5" t="s">
        <v>761</v>
      </c>
      <c r="ADK5">
        <v>23.110231399536129</v>
      </c>
      <c r="ADL5">
        <v>129</v>
      </c>
      <c r="ADM5" s="2"/>
      <c r="ADN5">
        <f t="shared" si="132"/>
        <v>32</v>
      </c>
      <c r="ADO5" t="s">
        <v>762</v>
      </c>
      <c r="ADP5" t="s">
        <v>763</v>
      </c>
      <c r="ADQ5">
        <v>15.082699775695801</v>
      </c>
      <c r="ADR5">
        <v>72</v>
      </c>
      <c r="ADS5" s="5"/>
      <c r="ADT5">
        <f t="shared" si="133"/>
        <v>16</v>
      </c>
      <c r="ADU5" t="s">
        <v>764</v>
      </c>
      <c r="ADV5" t="s">
        <v>765</v>
      </c>
      <c r="ADW5">
        <v>3.6250958442687988</v>
      </c>
      <c r="ADX5">
        <v>70</v>
      </c>
      <c r="ADY5" s="2"/>
      <c r="ADZ5">
        <f t="shared" si="134"/>
        <v>26</v>
      </c>
      <c r="AEA5" t="s">
        <v>766</v>
      </c>
      <c r="AEB5" t="s">
        <v>767</v>
      </c>
      <c r="AEC5">
        <v>9.1531105041503906</v>
      </c>
      <c r="AED5">
        <v>162</v>
      </c>
      <c r="AEE5" s="5"/>
      <c r="AEF5">
        <f t="shared" si="135"/>
        <v>34</v>
      </c>
      <c r="AEG5" t="s">
        <v>768</v>
      </c>
      <c r="AEH5" t="s">
        <v>769</v>
      </c>
      <c r="AEI5">
        <v>10.19978618621826</v>
      </c>
      <c r="AEJ5">
        <v>97</v>
      </c>
      <c r="AEK5" s="2"/>
      <c r="AEL5">
        <f t="shared" si="136"/>
        <v>42</v>
      </c>
      <c r="AEM5" t="s">
        <v>770</v>
      </c>
      <c r="AEN5" t="s">
        <v>771</v>
      </c>
      <c r="AEO5">
        <v>8.1857900619506836</v>
      </c>
      <c r="AEP5">
        <v>154</v>
      </c>
      <c r="AEQ5" s="5"/>
      <c r="AER5">
        <f t="shared" si="137"/>
        <v>37</v>
      </c>
      <c r="AES5" t="s">
        <v>772</v>
      </c>
      <c r="AET5" t="s">
        <v>773</v>
      </c>
      <c r="AEU5">
        <v>27.238188028335571</v>
      </c>
      <c r="AEV5">
        <v>117</v>
      </c>
      <c r="AEW5" s="2"/>
      <c r="AEX5">
        <f t="shared" si="138"/>
        <v>59</v>
      </c>
      <c r="AEY5" t="s">
        <v>774</v>
      </c>
      <c r="AEZ5" t="s">
        <v>775</v>
      </c>
      <c r="AFA5">
        <v>96.768800973892212</v>
      </c>
      <c r="AFB5">
        <v>113</v>
      </c>
      <c r="AFC5" s="5"/>
      <c r="AFD5">
        <f t="shared" si="139"/>
        <v>28</v>
      </c>
      <c r="AFE5" t="s">
        <v>776</v>
      </c>
      <c r="AFF5" t="s">
        <v>777</v>
      </c>
      <c r="AFG5">
        <v>12.233066082000731</v>
      </c>
      <c r="AFH5">
        <v>63</v>
      </c>
      <c r="AFI5" s="2"/>
      <c r="AFJ5">
        <f t="shared" si="140"/>
        <v>20</v>
      </c>
      <c r="AFK5" t="s">
        <v>778</v>
      </c>
      <c r="AFL5" t="s">
        <v>779</v>
      </c>
      <c r="AFM5">
        <v>4.8086333274841309</v>
      </c>
      <c r="AFN5">
        <v>49</v>
      </c>
      <c r="AFO5" s="5"/>
      <c r="AFP5">
        <f t="shared" si="141"/>
        <v>22</v>
      </c>
      <c r="AFQ5" t="s">
        <v>780</v>
      </c>
      <c r="AFR5" t="s">
        <v>781</v>
      </c>
      <c r="AFS5">
        <v>10.85636258125305</v>
      </c>
      <c r="AFT5">
        <v>59</v>
      </c>
      <c r="AFU5" s="2"/>
      <c r="AFV5">
        <f t="shared" si="142"/>
        <v>22</v>
      </c>
      <c r="AFW5" t="s">
        <v>782</v>
      </c>
      <c r="AFX5" t="s">
        <v>783</v>
      </c>
      <c r="AFY5">
        <v>13.88613986968994</v>
      </c>
      <c r="AFZ5">
        <v>68</v>
      </c>
      <c r="AGA5" s="5"/>
      <c r="AGB5">
        <f t="shared" si="143"/>
        <v>17</v>
      </c>
      <c r="AGC5" t="s">
        <v>784</v>
      </c>
      <c r="AGD5" t="s">
        <v>785</v>
      </c>
      <c r="AGE5">
        <v>11.596508741378781</v>
      </c>
      <c r="AGF5">
        <v>87</v>
      </c>
      <c r="AGG5" s="2"/>
      <c r="AGH5">
        <f t="shared" si="144"/>
        <v>26</v>
      </c>
      <c r="AGI5" t="s">
        <v>786</v>
      </c>
      <c r="AGJ5" t="s">
        <v>787</v>
      </c>
      <c r="AGK5">
        <v>10.82706618309021</v>
      </c>
      <c r="AGL5">
        <v>101</v>
      </c>
      <c r="AGM5" s="5"/>
      <c r="AGN5">
        <f t="shared" si="145"/>
        <v>19</v>
      </c>
      <c r="AGO5" t="s">
        <v>788</v>
      </c>
      <c r="AGP5" t="s">
        <v>789</v>
      </c>
      <c r="AGQ5">
        <v>6.1704845428466797</v>
      </c>
      <c r="AGR5">
        <v>66</v>
      </c>
      <c r="AGS5" s="2"/>
      <c r="AGT5">
        <f t="shared" si="146"/>
        <v>36</v>
      </c>
      <c r="AGU5" t="s">
        <v>790</v>
      </c>
      <c r="AGV5" t="s">
        <v>791</v>
      </c>
      <c r="AGW5">
        <v>19.666894435882568</v>
      </c>
      <c r="AGX5">
        <v>88</v>
      </c>
      <c r="AGY5" s="5"/>
      <c r="AGZ5">
        <f t="shared" si="147"/>
        <v>32</v>
      </c>
      <c r="AHA5" t="s">
        <v>792</v>
      </c>
      <c r="AHB5" t="s">
        <v>793</v>
      </c>
      <c r="AHC5">
        <v>6.5280234813690194</v>
      </c>
      <c r="AHD5">
        <v>114</v>
      </c>
      <c r="AHE5" s="2"/>
      <c r="AHF5">
        <f t="shared" si="148"/>
        <v>64</v>
      </c>
      <c r="AHG5" t="s">
        <v>794</v>
      </c>
      <c r="AHH5" t="s">
        <v>795</v>
      </c>
      <c r="AHI5">
        <v>178.38005638122559</v>
      </c>
      <c r="AHJ5">
        <v>107</v>
      </c>
      <c r="AHK5" s="5"/>
      <c r="AHL5">
        <f t="shared" si="149"/>
        <v>28</v>
      </c>
      <c r="AHM5" t="s">
        <v>796</v>
      </c>
      <c r="AHN5" t="s">
        <v>797</v>
      </c>
      <c r="AHO5">
        <v>13.237041234970089</v>
      </c>
      <c r="AHP5">
        <v>72</v>
      </c>
      <c r="AHQ5" s="2"/>
      <c r="AHR5">
        <f t="shared" si="150"/>
        <v>37</v>
      </c>
      <c r="AHS5" t="s">
        <v>798</v>
      </c>
      <c r="AHT5" t="s">
        <v>799</v>
      </c>
      <c r="AHU5">
        <v>18.435335159301761</v>
      </c>
      <c r="AHV5">
        <v>75</v>
      </c>
      <c r="AHW5" s="5"/>
      <c r="AHX5">
        <f t="shared" si="151"/>
        <v>9</v>
      </c>
      <c r="AHY5" t="s">
        <v>800</v>
      </c>
      <c r="AHZ5" t="s">
        <v>801</v>
      </c>
      <c r="AIA5">
        <v>3.48139476776123</v>
      </c>
      <c r="AIB5">
        <v>62</v>
      </c>
      <c r="AIC5" s="2"/>
      <c r="AID5">
        <f t="shared" si="152"/>
        <v>50</v>
      </c>
      <c r="AIE5" t="s">
        <v>500</v>
      </c>
      <c r="AIF5" t="s">
        <v>802</v>
      </c>
      <c r="AIG5">
        <v>3.883872270584106</v>
      </c>
      <c r="AIH5">
        <v>74</v>
      </c>
      <c r="AII5" s="5"/>
      <c r="AIJ5">
        <f t="shared" si="153"/>
        <v>15</v>
      </c>
      <c r="AIK5" t="s">
        <v>803</v>
      </c>
      <c r="AIL5" t="s">
        <v>804</v>
      </c>
      <c r="AIM5">
        <v>4.1405675411224374</v>
      </c>
      <c r="AIN5">
        <v>69</v>
      </c>
      <c r="AIO5" s="2"/>
      <c r="AIP5">
        <f t="shared" si="154"/>
        <v>36</v>
      </c>
      <c r="AIQ5" t="s">
        <v>805</v>
      </c>
      <c r="AIR5" t="s">
        <v>806</v>
      </c>
      <c r="AIS5">
        <v>17.553781270980831</v>
      </c>
      <c r="AIT5">
        <v>104</v>
      </c>
      <c r="AIU5" s="5"/>
      <c r="AIV5">
        <f t="shared" si="155"/>
        <v>39</v>
      </c>
      <c r="AIW5" t="s">
        <v>807</v>
      </c>
      <c r="AIX5" t="s">
        <v>808</v>
      </c>
      <c r="AIY5">
        <v>20.070405244827271</v>
      </c>
      <c r="AIZ5">
        <v>110</v>
      </c>
      <c r="AJA5" s="2"/>
      <c r="AJB5">
        <f t="shared" si="156"/>
        <v>72</v>
      </c>
      <c r="AJC5" t="s">
        <v>809</v>
      </c>
      <c r="AJD5" t="s">
        <v>810</v>
      </c>
      <c r="AJE5">
        <v>30.65753698348999</v>
      </c>
      <c r="AJF5">
        <v>188</v>
      </c>
      <c r="AJG5" s="5"/>
      <c r="AJH5">
        <f t="shared" si="157"/>
        <v>36</v>
      </c>
      <c r="AJI5" t="s">
        <v>811</v>
      </c>
      <c r="AJJ5" t="s">
        <v>812</v>
      </c>
      <c r="AJK5">
        <v>14.564182281494141</v>
      </c>
      <c r="AJL5">
        <v>95</v>
      </c>
      <c r="AJM5" s="2"/>
      <c r="AJN5">
        <f t="shared" si="158"/>
        <v>80</v>
      </c>
      <c r="AJO5" t="s">
        <v>813</v>
      </c>
      <c r="AJP5" t="s">
        <v>814</v>
      </c>
      <c r="AJQ5">
        <v>27.659043550491329</v>
      </c>
      <c r="AJR5">
        <v>145</v>
      </c>
      <c r="AJS5" s="5"/>
      <c r="AJT5">
        <f t="shared" si="159"/>
        <v>64</v>
      </c>
      <c r="AJU5" t="s">
        <v>815</v>
      </c>
      <c r="AJV5" t="s">
        <v>816</v>
      </c>
      <c r="AJW5">
        <v>27.558890819549561</v>
      </c>
      <c r="AJX5">
        <v>131</v>
      </c>
      <c r="AJY5" s="2"/>
      <c r="AJZ5">
        <f t="shared" si="160"/>
        <v>13</v>
      </c>
      <c r="AKA5" t="s">
        <v>817</v>
      </c>
      <c r="AKB5" t="s">
        <v>818</v>
      </c>
      <c r="AKC5">
        <v>5.9272058010101318</v>
      </c>
      <c r="AKD5">
        <v>57</v>
      </c>
      <c r="AKE5" s="5"/>
      <c r="AKF5">
        <f t="shared" si="161"/>
        <v>21</v>
      </c>
      <c r="AKG5" t="s">
        <v>819</v>
      </c>
      <c r="AKH5" t="s">
        <v>820</v>
      </c>
      <c r="AKI5">
        <v>9.2311196327209473</v>
      </c>
      <c r="AKJ5">
        <v>88</v>
      </c>
      <c r="AKK5" s="2"/>
      <c r="AKL5">
        <f t="shared" si="162"/>
        <v>38</v>
      </c>
      <c r="AKM5" t="s">
        <v>821</v>
      </c>
      <c r="AKN5" t="s">
        <v>822</v>
      </c>
      <c r="AKO5">
        <v>11.88638925552368</v>
      </c>
      <c r="AKP5">
        <v>138</v>
      </c>
      <c r="AKQ5" s="5"/>
      <c r="AKR5">
        <f t="shared" si="163"/>
        <v>37</v>
      </c>
      <c r="AKS5" t="s">
        <v>823</v>
      </c>
      <c r="AKT5" t="s">
        <v>824</v>
      </c>
      <c r="AKU5">
        <v>36.551361799240112</v>
      </c>
      <c r="AKV5">
        <v>103</v>
      </c>
      <c r="AKW5" s="2"/>
      <c r="AKX5">
        <f t="shared" si="164"/>
        <v>49</v>
      </c>
      <c r="AKY5" t="s">
        <v>825</v>
      </c>
      <c r="AKZ5" t="s">
        <v>826</v>
      </c>
      <c r="ALA5">
        <v>16.821532011032101</v>
      </c>
      <c r="ALB5">
        <v>119</v>
      </c>
      <c r="ALC5" s="5"/>
      <c r="ALD5">
        <f t="shared" si="165"/>
        <v>28</v>
      </c>
      <c r="ALE5" t="s">
        <v>827</v>
      </c>
      <c r="ALF5" t="s">
        <v>828</v>
      </c>
      <c r="ALG5">
        <v>24.946324110031131</v>
      </c>
      <c r="ALH5">
        <v>153</v>
      </c>
      <c r="ALI5" s="2"/>
      <c r="ALJ5">
        <f t="shared" si="166"/>
        <v>40</v>
      </c>
      <c r="ALK5" t="s">
        <v>138</v>
      </c>
      <c r="ALL5" t="s">
        <v>829</v>
      </c>
      <c r="ALM5">
        <v>18.56236743927002</v>
      </c>
      <c r="ALN5">
        <v>103</v>
      </c>
      <c r="ALO5" s="5"/>
      <c r="ALP5">
        <f t="shared" si="167"/>
        <v>70</v>
      </c>
      <c r="ALQ5" t="s">
        <v>830</v>
      </c>
      <c r="ALR5" t="s">
        <v>831</v>
      </c>
      <c r="ALS5">
        <v>318.60113954544067</v>
      </c>
      <c r="ALT5">
        <v>145</v>
      </c>
      <c r="ALU5" s="2"/>
      <c r="ALV5">
        <f t="shared" si="168"/>
        <v>29</v>
      </c>
      <c r="ALW5" t="s">
        <v>78</v>
      </c>
      <c r="ALX5" t="s">
        <v>832</v>
      </c>
      <c r="ALY5">
        <v>5.4443445205688477</v>
      </c>
      <c r="ALZ5">
        <v>129</v>
      </c>
      <c r="AMA5" s="5"/>
      <c r="AMB5">
        <f t="shared" si="169"/>
        <v>33</v>
      </c>
      <c r="AMC5" t="s">
        <v>833</v>
      </c>
      <c r="AMD5" t="s">
        <v>834</v>
      </c>
      <c r="AME5">
        <v>16.107956647872921</v>
      </c>
      <c r="AMF5">
        <v>86</v>
      </c>
      <c r="AMG5" s="2"/>
      <c r="AMH5">
        <f t="shared" si="170"/>
        <v>21</v>
      </c>
      <c r="AMI5" t="s">
        <v>835</v>
      </c>
      <c r="AMJ5" t="s">
        <v>836</v>
      </c>
      <c r="AMK5">
        <v>25.501975774765011</v>
      </c>
      <c r="AML5">
        <v>71</v>
      </c>
      <c r="AMM5" s="5"/>
      <c r="AMN5">
        <f t="shared" si="171"/>
        <v>27</v>
      </c>
      <c r="AMO5" t="s">
        <v>837</v>
      </c>
      <c r="AMP5" t="s">
        <v>838</v>
      </c>
      <c r="AMQ5">
        <v>16.708381175994869</v>
      </c>
      <c r="AMR5">
        <v>93</v>
      </c>
      <c r="AMS5" s="2"/>
    </row>
    <row r="6" spans="1:1033" x14ac:dyDescent="0.25">
      <c r="A6">
        <v>4</v>
      </c>
      <c r="B6">
        <f t="shared" si="0"/>
        <v>33</v>
      </c>
      <c r="C6" t="s">
        <v>128</v>
      </c>
      <c r="D6" t="s">
        <v>839</v>
      </c>
      <c r="E6">
        <v>32.941876173019409</v>
      </c>
      <c r="F6">
        <v>75</v>
      </c>
      <c r="G6" s="1"/>
      <c r="H6">
        <f t="shared" si="1"/>
        <v>74</v>
      </c>
      <c r="I6" t="s">
        <v>840</v>
      </c>
      <c r="J6" t="s">
        <v>841</v>
      </c>
      <c r="K6">
        <v>16.4443678855896</v>
      </c>
      <c r="L6">
        <v>129</v>
      </c>
      <c r="M6" s="2"/>
      <c r="N6">
        <f t="shared" si="2"/>
        <v>21</v>
      </c>
      <c r="O6" t="s">
        <v>842</v>
      </c>
      <c r="P6" t="s">
        <v>843</v>
      </c>
      <c r="Q6">
        <v>6.6393792629241943</v>
      </c>
      <c r="R6">
        <v>144</v>
      </c>
      <c r="S6" s="1"/>
      <c r="T6">
        <f t="shared" si="3"/>
        <v>34</v>
      </c>
      <c r="U6" t="s">
        <v>844</v>
      </c>
      <c r="V6" t="s">
        <v>845</v>
      </c>
      <c r="W6">
        <v>14.00219464302063</v>
      </c>
      <c r="X6">
        <v>172</v>
      </c>
      <c r="Y6" s="2"/>
      <c r="Z6">
        <f t="shared" si="4"/>
        <v>90</v>
      </c>
      <c r="AA6" t="s">
        <v>846</v>
      </c>
      <c r="AB6" t="s">
        <v>847</v>
      </c>
      <c r="AC6">
        <v>32.769117593765259</v>
      </c>
      <c r="AD6">
        <v>146</v>
      </c>
      <c r="AE6" s="1"/>
      <c r="AF6">
        <f t="shared" si="5"/>
        <v>38</v>
      </c>
      <c r="AG6" t="s">
        <v>848</v>
      </c>
      <c r="AH6" t="s">
        <v>849</v>
      </c>
      <c r="AI6">
        <v>3.9289624691009521</v>
      </c>
      <c r="AJ6">
        <v>144</v>
      </c>
      <c r="AK6" s="2"/>
      <c r="AL6">
        <f t="shared" si="6"/>
        <v>26</v>
      </c>
      <c r="AM6" t="s">
        <v>850</v>
      </c>
      <c r="AN6" t="s">
        <v>851</v>
      </c>
      <c r="AO6">
        <v>24.26778602600098</v>
      </c>
      <c r="AP6">
        <v>138</v>
      </c>
      <c r="AQ6" s="3"/>
      <c r="AR6">
        <f t="shared" si="7"/>
        <v>25</v>
      </c>
      <c r="AS6" t="s">
        <v>852</v>
      </c>
      <c r="AT6" t="s">
        <v>853</v>
      </c>
      <c r="AU6">
        <v>11.77489924430847</v>
      </c>
      <c r="AV6">
        <v>123</v>
      </c>
      <c r="AW6" s="2"/>
      <c r="AX6">
        <f t="shared" si="8"/>
        <v>84</v>
      </c>
      <c r="AY6" t="s">
        <v>854</v>
      </c>
      <c r="AZ6" t="s">
        <v>855</v>
      </c>
      <c r="BA6">
        <v>47.281616449356079</v>
      </c>
      <c r="BB6">
        <v>118</v>
      </c>
      <c r="BC6" s="3"/>
      <c r="BD6">
        <f t="shared" si="9"/>
        <v>33</v>
      </c>
      <c r="BE6" t="s">
        <v>856</v>
      </c>
      <c r="BF6" t="s">
        <v>857</v>
      </c>
      <c r="BG6">
        <v>7.222477912902832</v>
      </c>
      <c r="BH6">
        <v>134</v>
      </c>
      <c r="BI6" s="2"/>
      <c r="BJ6">
        <f t="shared" si="10"/>
        <v>135</v>
      </c>
      <c r="BK6" t="s">
        <v>858</v>
      </c>
      <c r="BL6" t="s">
        <v>859</v>
      </c>
      <c r="BM6">
        <v>34.762953281402588</v>
      </c>
      <c r="BN6">
        <v>227</v>
      </c>
      <c r="BO6" s="3"/>
      <c r="BP6">
        <f t="shared" si="11"/>
        <v>38</v>
      </c>
      <c r="BQ6" t="s">
        <v>860</v>
      </c>
      <c r="BR6" t="s">
        <v>861</v>
      </c>
      <c r="BS6">
        <v>5.9301373958587646</v>
      </c>
      <c r="BT6">
        <v>159</v>
      </c>
      <c r="BU6" s="2"/>
      <c r="BV6">
        <f t="shared" si="12"/>
        <v>32</v>
      </c>
      <c r="BW6" t="s">
        <v>862</v>
      </c>
      <c r="BX6" t="s">
        <v>863</v>
      </c>
      <c r="BY6">
        <v>23.975284576416019</v>
      </c>
      <c r="BZ6">
        <v>216</v>
      </c>
      <c r="CA6" s="3"/>
      <c r="CB6">
        <f t="shared" si="13"/>
        <v>34</v>
      </c>
      <c r="CC6" t="s">
        <v>864</v>
      </c>
      <c r="CD6" t="s">
        <v>865</v>
      </c>
      <c r="CE6">
        <v>14.375767230987551</v>
      </c>
      <c r="CF6">
        <v>128</v>
      </c>
      <c r="CG6" s="2"/>
      <c r="CH6">
        <f t="shared" si="14"/>
        <v>33</v>
      </c>
      <c r="CI6" t="s">
        <v>866</v>
      </c>
      <c r="CJ6" t="s">
        <v>867</v>
      </c>
      <c r="CK6">
        <v>33.941526651382453</v>
      </c>
      <c r="CL6">
        <v>85</v>
      </c>
      <c r="CM6" s="3"/>
      <c r="CN6">
        <f t="shared" si="15"/>
        <v>36</v>
      </c>
      <c r="CO6" t="s">
        <v>868</v>
      </c>
      <c r="CP6" t="s">
        <v>869</v>
      </c>
      <c r="CQ6">
        <v>10.568472862243651</v>
      </c>
      <c r="CR6">
        <v>143</v>
      </c>
      <c r="CS6" s="2"/>
      <c r="CT6">
        <f t="shared" si="16"/>
        <v>15</v>
      </c>
      <c r="CU6" t="s">
        <v>46</v>
      </c>
      <c r="CV6" t="s">
        <v>870</v>
      </c>
      <c r="CW6">
        <v>14.68844246864319</v>
      </c>
      <c r="CX6">
        <v>114</v>
      </c>
      <c r="CY6" s="3"/>
      <c r="CZ6">
        <f t="shared" si="17"/>
        <v>28</v>
      </c>
      <c r="DA6" t="s">
        <v>871</v>
      </c>
      <c r="DB6" t="s">
        <v>872</v>
      </c>
      <c r="DC6">
        <v>15.27778744697571</v>
      </c>
      <c r="DD6">
        <v>113</v>
      </c>
      <c r="DE6" s="2"/>
      <c r="DF6">
        <f t="shared" si="18"/>
        <v>43</v>
      </c>
      <c r="DG6" t="s">
        <v>873</v>
      </c>
      <c r="DH6" t="s">
        <v>874</v>
      </c>
      <c r="DI6">
        <v>5.9811029434204102</v>
      </c>
      <c r="DJ6">
        <v>109</v>
      </c>
      <c r="DK6" s="3"/>
      <c r="DL6">
        <f t="shared" si="19"/>
        <v>45</v>
      </c>
      <c r="DM6" t="s">
        <v>875</v>
      </c>
      <c r="DN6" t="s">
        <v>876</v>
      </c>
      <c r="DO6">
        <v>13.89414286613464</v>
      </c>
      <c r="DP6">
        <v>110</v>
      </c>
      <c r="DQ6" s="2"/>
      <c r="DR6">
        <f t="shared" si="20"/>
        <v>26</v>
      </c>
      <c r="DS6" t="s">
        <v>877</v>
      </c>
      <c r="DT6" t="s">
        <v>878</v>
      </c>
      <c r="DU6">
        <v>38.729429244995117</v>
      </c>
      <c r="DV6">
        <v>117</v>
      </c>
      <c r="DW6" s="3"/>
      <c r="DX6">
        <f t="shared" si="21"/>
        <v>39</v>
      </c>
      <c r="DY6" t="s">
        <v>879</v>
      </c>
      <c r="DZ6" t="s">
        <v>880</v>
      </c>
      <c r="EA6">
        <v>15.66183876991272</v>
      </c>
      <c r="EB6">
        <v>134</v>
      </c>
      <c r="EC6" s="2"/>
      <c r="ED6">
        <f t="shared" si="22"/>
        <v>20</v>
      </c>
      <c r="EE6" t="s">
        <v>881</v>
      </c>
      <c r="EF6" t="s">
        <v>882</v>
      </c>
      <c r="EG6">
        <v>7.1087744235992432</v>
      </c>
      <c r="EH6">
        <v>61</v>
      </c>
      <c r="EI6" s="3"/>
      <c r="EJ6">
        <f t="shared" si="23"/>
        <v>33</v>
      </c>
      <c r="EK6" t="s">
        <v>883</v>
      </c>
      <c r="EL6" t="s">
        <v>884</v>
      </c>
      <c r="EM6">
        <v>9.0973861217498779</v>
      </c>
      <c r="EN6">
        <v>167</v>
      </c>
      <c r="EO6" s="2"/>
      <c r="EP6">
        <f t="shared" si="24"/>
        <v>27</v>
      </c>
      <c r="EQ6" t="s">
        <v>491</v>
      </c>
      <c r="ER6" t="s">
        <v>885</v>
      </c>
      <c r="ES6">
        <v>7.5861585140228271</v>
      </c>
      <c r="ET6">
        <v>118</v>
      </c>
      <c r="EU6" s="3"/>
      <c r="EV6">
        <f t="shared" si="25"/>
        <v>36</v>
      </c>
      <c r="EW6" t="s">
        <v>886</v>
      </c>
      <c r="EX6" t="s">
        <v>887</v>
      </c>
      <c r="EY6">
        <v>28.4468879699707</v>
      </c>
      <c r="EZ6">
        <v>115</v>
      </c>
      <c r="FA6" s="2"/>
      <c r="FB6">
        <f t="shared" si="26"/>
        <v>50</v>
      </c>
      <c r="FC6" t="s">
        <v>888</v>
      </c>
      <c r="FD6" t="s">
        <v>889</v>
      </c>
      <c r="FE6">
        <v>50.820858716964722</v>
      </c>
      <c r="FF6">
        <v>176</v>
      </c>
      <c r="FG6" s="3"/>
      <c r="FH6">
        <f t="shared" si="27"/>
        <v>60</v>
      </c>
      <c r="FI6" t="s">
        <v>890</v>
      </c>
      <c r="FJ6" t="s">
        <v>891</v>
      </c>
      <c r="FK6">
        <v>10.343661785125731</v>
      </c>
      <c r="FL6">
        <v>142</v>
      </c>
      <c r="FM6" s="2"/>
      <c r="FN6">
        <f t="shared" si="28"/>
        <v>18</v>
      </c>
      <c r="FO6" t="s">
        <v>892</v>
      </c>
      <c r="FP6" t="s">
        <v>893</v>
      </c>
      <c r="FQ6">
        <v>6.0674431324005127</v>
      </c>
      <c r="FR6">
        <v>198</v>
      </c>
      <c r="FS6" s="3"/>
      <c r="FT6">
        <f t="shared" si="29"/>
        <v>32</v>
      </c>
      <c r="FU6" t="s">
        <v>894</v>
      </c>
      <c r="FV6" t="s">
        <v>895</v>
      </c>
      <c r="FW6">
        <v>13.341473340988159</v>
      </c>
      <c r="FX6">
        <v>200</v>
      </c>
      <c r="FY6" s="2"/>
      <c r="FZ6">
        <f t="shared" si="30"/>
        <v>18</v>
      </c>
      <c r="GA6" t="s">
        <v>896</v>
      </c>
      <c r="GB6" t="s">
        <v>897</v>
      </c>
      <c r="GC6">
        <v>9.5004217624664307</v>
      </c>
      <c r="GD6">
        <v>95</v>
      </c>
      <c r="GE6" s="3"/>
      <c r="GF6">
        <f t="shared" si="31"/>
        <v>22</v>
      </c>
      <c r="GG6" t="s">
        <v>898</v>
      </c>
      <c r="GH6" t="s">
        <v>899</v>
      </c>
      <c r="GI6">
        <v>24.014968395233151</v>
      </c>
      <c r="GJ6">
        <v>102</v>
      </c>
      <c r="GK6" s="2"/>
      <c r="GL6">
        <f t="shared" si="32"/>
        <v>36</v>
      </c>
      <c r="GM6" t="s">
        <v>900</v>
      </c>
      <c r="GN6" t="s">
        <v>901</v>
      </c>
      <c r="GO6">
        <v>11.835144281387331</v>
      </c>
      <c r="GP6">
        <v>105</v>
      </c>
      <c r="GQ6" s="3"/>
      <c r="GR6">
        <f t="shared" si="33"/>
        <v>34</v>
      </c>
      <c r="GS6" t="s">
        <v>902</v>
      </c>
      <c r="GT6" t="s">
        <v>903</v>
      </c>
      <c r="GU6">
        <v>5.2238950729370117</v>
      </c>
      <c r="GV6">
        <v>228</v>
      </c>
      <c r="GW6" s="2"/>
      <c r="GX6">
        <f t="shared" si="34"/>
        <v>16</v>
      </c>
      <c r="GY6" t="s">
        <v>904</v>
      </c>
      <c r="GZ6" t="s">
        <v>905</v>
      </c>
      <c r="HA6">
        <v>3.729145765304565</v>
      </c>
      <c r="HB6">
        <v>98</v>
      </c>
      <c r="HC6" s="3"/>
      <c r="HD6">
        <f t="shared" si="35"/>
        <v>36</v>
      </c>
      <c r="HE6" t="s">
        <v>906</v>
      </c>
      <c r="HF6" t="s">
        <v>907</v>
      </c>
      <c r="HG6">
        <v>9.220381498336792</v>
      </c>
      <c r="HH6">
        <v>109</v>
      </c>
      <c r="HI6" s="2"/>
      <c r="HJ6">
        <f t="shared" si="36"/>
        <v>36</v>
      </c>
      <c r="HK6" t="s">
        <v>908</v>
      </c>
      <c r="HL6" t="s">
        <v>909</v>
      </c>
      <c r="HM6">
        <v>20.540151119232181</v>
      </c>
      <c r="HN6">
        <v>111</v>
      </c>
      <c r="HO6" s="3"/>
      <c r="HP6">
        <f t="shared" si="37"/>
        <v>48</v>
      </c>
      <c r="HQ6" t="s">
        <v>910</v>
      </c>
      <c r="HR6" t="s">
        <v>911</v>
      </c>
      <c r="HS6">
        <v>8.5737061500549316</v>
      </c>
      <c r="HT6">
        <v>179</v>
      </c>
      <c r="HU6" s="2"/>
      <c r="HV6">
        <f t="shared" si="38"/>
        <v>77</v>
      </c>
      <c r="HW6" t="s">
        <v>912</v>
      </c>
      <c r="HX6" t="s">
        <v>913</v>
      </c>
      <c r="HY6">
        <v>33.104910373687737</v>
      </c>
      <c r="HZ6">
        <v>146</v>
      </c>
      <c r="IA6" s="3"/>
      <c r="IB6">
        <f t="shared" si="39"/>
        <v>35</v>
      </c>
      <c r="IC6" t="s">
        <v>914</v>
      </c>
      <c r="ID6" t="s">
        <v>915</v>
      </c>
      <c r="IE6">
        <v>13.06426477432251</v>
      </c>
      <c r="IF6">
        <v>160</v>
      </c>
      <c r="IG6" s="2"/>
      <c r="IH6">
        <f t="shared" si="40"/>
        <v>26</v>
      </c>
      <c r="II6" t="s">
        <v>916</v>
      </c>
      <c r="IJ6" t="s">
        <v>917</v>
      </c>
      <c r="IK6">
        <v>8.758378267288208</v>
      </c>
      <c r="IL6">
        <v>162</v>
      </c>
      <c r="IM6" s="3"/>
      <c r="IN6">
        <f t="shared" si="41"/>
        <v>38</v>
      </c>
      <c r="IO6" t="s">
        <v>918</v>
      </c>
      <c r="IP6" t="s">
        <v>919</v>
      </c>
      <c r="IQ6">
        <v>68.426606178283691</v>
      </c>
      <c r="IR6">
        <v>136</v>
      </c>
      <c r="IS6" s="2"/>
      <c r="IT6">
        <f t="shared" si="42"/>
        <v>28</v>
      </c>
      <c r="IU6" t="s">
        <v>920</v>
      </c>
      <c r="IV6" t="s">
        <v>921</v>
      </c>
      <c r="IW6">
        <v>24.985340356826779</v>
      </c>
      <c r="IX6">
        <v>84</v>
      </c>
      <c r="IY6" s="3"/>
      <c r="IZ6">
        <f t="shared" si="43"/>
        <v>16</v>
      </c>
      <c r="JA6" t="s">
        <v>922</v>
      </c>
      <c r="JB6" t="s">
        <v>923</v>
      </c>
      <c r="JC6">
        <v>6.3120567798614502</v>
      </c>
      <c r="JD6">
        <v>89</v>
      </c>
      <c r="JE6" s="2"/>
      <c r="JF6">
        <f t="shared" si="44"/>
        <v>13</v>
      </c>
      <c r="JG6" t="s">
        <v>924</v>
      </c>
      <c r="JH6" t="s">
        <v>925</v>
      </c>
      <c r="JI6">
        <v>6.9838910102844238</v>
      </c>
      <c r="JJ6">
        <v>89</v>
      </c>
      <c r="JK6" s="3"/>
      <c r="JL6">
        <f t="shared" si="45"/>
        <v>20</v>
      </c>
      <c r="JM6" t="s">
        <v>926</v>
      </c>
      <c r="JN6" t="s">
        <v>927</v>
      </c>
      <c r="JO6">
        <v>10.812598466873171</v>
      </c>
      <c r="JP6">
        <v>90</v>
      </c>
      <c r="JQ6" s="2"/>
      <c r="JR6">
        <f t="shared" si="46"/>
        <v>12</v>
      </c>
      <c r="JS6" t="s">
        <v>928</v>
      </c>
      <c r="JT6" t="s">
        <v>929</v>
      </c>
      <c r="JU6">
        <v>4.8846747875213623</v>
      </c>
      <c r="JV6">
        <v>87</v>
      </c>
      <c r="JW6" s="3"/>
      <c r="JX6">
        <f t="shared" si="47"/>
        <v>26</v>
      </c>
      <c r="JY6" t="s">
        <v>930</v>
      </c>
      <c r="JZ6" t="s">
        <v>931</v>
      </c>
      <c r="KA6">
        <v>10.50707745552063</v>
      </c>
      <c r="KB6">
        <v>155</v>
      </c>
      <c r="KC6" s="2"/>
      <c r="KD6">
        <f t="shared" si="48"/>
        <v>12</v>
      </c>
      <c r="KE6" t="s">
        <v>932</v>
      </c>
      <c r="KF6" t="s">
        <v>933</v>
      </c>
      <c r="KG6">
        <v>8.4969973564147949</v>
      </c>
      <c r="KH6">
        <v>38</v>
      </c>
      <c r="KI6" s="3"/>
      <c r="KJ6">
        <f t="shared" si="49"/>
        <v>38</v>
      </c>
      <c r="KK6" t="s">
        <v>934</v>
      </c>
      <c r="KL6" t="s">
        <v>935</v>
      </c>
      <c r="KM6">
        <v>6.6502294540405273</v>
      </c>
      <c r="KN6">
        <v>131</v>
      </c>
      <c r="KO6" s="2"/>
      <c r="KP6">
        <f t="shared" si="50"/>
        <v>96</v>
      </c>
      <c r="KQ6" t="s">
        <v>936</v>
      </c>
      <c r="KR6" t="s">
        <v>937</v>
      </c>
      <c r="KS6">
        <v>10.030096769332889</v>
      </c>
      <c r="KT6">
        <v>213</v>
      </c>
      <c r="KU6" s="3"/>
      <c r="KV6">
        <f t="shared" si="51"/>
        <v>28</v>
      </c>
      <c r="KW6" t="s">
        <v>938</v>
      </c>
      <c r="KX6" t="s">
        <v>939</v>
      </c>
      <c r="KY6">
        <v>17.031213998794559</v>
      </c>
      <c r="KZ6">
        <v>143</v>
      </c>
      <c r="LA6" s="2"/>
      <c r="LB6">
        <f t="shared" si="52"/>
        <v>22</v>
      </c>
      <c r="LC6" t="s">
        <v>940</v>
      </c>
      <c r="LD6" t="s">
        <v>941</v>
      </c>
      <c r="LE6">
        <v>9.0472683906555176</v>
      </c>
      <c r="LF6">
        <v>132</v>
      </c>
      <c r="LG6" s="3"/>
      <c r="LH6">
        <f t="shared" si="53"/>
        <v>46</v>
      </c>
      <c r="LI6" t="s">
        <v>942</v>
      </c>
      <c r="LJ6" t="s">
        <v>943</v>
      </c>
      <c r="LK6">
        <v>26.554507493972778</v>
      </c>
      <c r="LL6">
        <v>165</v>
      </c>
      <c r="LM6" s="2"/>
      <c r="LN6">
        <f t="shared" si="54"/>
        <v>23</v>
      </c>
      <c r="LO6" t="s">
        <v>944</v>
      </c>
      <c r="LP6" t="s">
        <v>945</v>
      </c>
      <c r="LQ6">
        <v>20.820101737976071</v>
      </c>
      <c r="LR6">
        <v>99</v>
      </c>
      <c r="LS6" s="3"/>
      <c r="LT6">
        <f t="shared" si="55"/>
        <v>64</v>
      </c>
      <c r="LU6" t="s">
        <v>946</v>
      </c>
      <c r="LV6" t="s">
        <v>947</v>
      </c>
      <c r="LW6">
        <v>20.06737756729126</v>
      </c>
      <c r="LX6">
        <v>197</v>
      </c>
      <c r="LY6" s="2"/>
      <c r="LZ6">
        <f t="shared" si="56"/>
        <v>27</v>
      </c>
      <c r="MA6" t="s">
        <v>948</v>
      </c>
      <c r="MB6" t="s">
        <v>949</v>
      </c>
      <c r="MC6">
        <v>6.5125522613525391</v>
      </c>
      <c r="MD6">
        <v>151</v>
      </c>
      <c r="ME6" s="3"/>
      <c r="MF6">
        <f t="shared" si="57"/>
        <v>71</v>
      </c>
      <c r="MG6" t="s">
        <v>950</v>
      </c>
      <c r="MH6" t="s">
        <v>951</v>
      </c>
      <c r="MI6">
        <v>45.942063570022583</v>
      </c>
      <c r="MJ6">
        <v>258</v>
      </c>
      <c r="MK6" s="2"/>
      <c r="ML6">
        <f t="shared" si="58"/>
        <v>37</v>
      </c>
      <c r="MM6" t="s">
        <v>952</v>
      </c>
      <c r="MN6" t="s">
        <v>953</v>
      </c>
      <c r="MO6">
        <v>20.669834852218631</v>
      </c>
      <c r="MP6">
        <v>93</v>
      </c>
      <c r="MQ6" s="3"/>
      <c r="MR6">
        <f t="shared" si="59"/>
        <v>33</v>
      </c>
      <c r="MS6" t="s">
        <v>954</v>
      </c>
      <c r="MT6" t="s">
        <v>955</v>
      </c>
      <c r="MU6">
        <v>29.4893958568573</v>
      </c>
      <c r="MV6">
        <v>180</v>
      </c>
      <c r="MW6" s="2"/>
      <c r="MX6">
        <f t="shared" si="60"/>
        <v>36</v>
      </c>
      <c r="MY6" t="s">
        <v>502</v>
      </c>
      <c r="MZ6" t="s">
        <v>956</v>
      </c>
      <c r="NA6">
        <v>14.008674144744869</v>
      </c>
      <c r="NB6">
        <v>154</v>
      </c>
      <c r="NC6" s="3"/>
      <c r="ND6">
        <f t="shared" si="61"/>
        <v>37</v>
      </c>
      <c r="NE6" t="s">
        <v>957</v>
      </c>
      <c r="NF6" t="s">
        <v>958</v>
      </c>
      <c r="NG6">
        <v>19.061971426010128</v>
      </c>
      <c r="NH6">
        <v>145</v>
      </c>
      <c r="NI6" s="2"/>
      <c r="NJ6">
        <f t="shared" si="62"/>
        <v>24</v>
      </c>
      <c r="NK6" t="s">
        <v>959</v>
      </c>
      <c r="NL6" t="s">
        <v>960</v>
      </c>
      <c r="NM6">
        <v>5.737321138381958</v>
      </c>
      <c r="NN6">
        <v>133</v>
      </c>
      <c r="NO6" s="3"/>
      <c r="NP6">
        <f t="shared" si="63"/>
        <v>18</v>
      </c>
      <c r="NQ6" t="s">
        <v>961</v>
      </c>
      <c r="NR6" t="s">
        <v>962</v>
      </c>
      <c r="NS6">
        <v>6.1849064826965332</v>
      </c>
      <c r="NT6">
        <v>104</v>
      </c>
      <c r="NU6" s="2"/>
      <c r="NV6">
        <f t="shared" si="64"/>
        <v>23</v>
      </c>
      <c r="NW6" t="s">
        <v>120</v>
      </c>
      <c r="NX6" t="s">
        <v>963</v>
      </c>
      <c r="NY6">
        <v>147.9586169719696</v>
      </c>
      <c r="NZ6">
        <v>105</v>
      </c>
      <c r="OA6" s="3"/>
      <c r="OB6">
        <f t="shared" si="65"/>
        <v>29</v>
      </c>
      <c r="OC6" t="s">
        <v>964</v>
      </c>
      <c r="OD6" t="s">
        <v>965</v>
      </c>
      <c r="OE6">
        <v>12.908307790756229</v>
      </c>
      <c r="OF6">
        <v>168</v>
      </c>
      <c r="OG6" s="2"/>
      <c r="OH6">
        <f t="shared" si="66"/>
        <v>20</v>
      </c>
      <c r="OI6" t="s">
        <v>966</v>
      </c>
      <c r="OJ6" t="s">
        <v>967</v>
      </c>
      <c r="OK6">
        <v>15.49024271965027</v>
      </c>
      <c r="OL6">
        <v>120</v>
      </c>
      <c r="OM6" s="3"/>
      <c r="ON6">
        <f t="shared" si="67"/>
        <v>28</v>
      </c>
      <c r="OO6" t="s">
        <v>968</v>
      </c>
      <c r="OP6" t="s">
        <v>969</v>
      </c>
      <c r="OQ6">
        <v>24.52970290184021</v>
      </c>
      <c r="OR6">
        <v>180</v>
      </c>
      <c r="OS6" s="2"/>
      <c r="OT6">
        <f t="shared" si="68"/>
        <v>29</v>
      </c>
      <c r="OU6" t="s">
        <v>970</v>
      </c>
      <c r="OV6" t="s">
        <v>971</v>
      </c>
      <c r="OW6">
        <v>18.357582330703739</v>
      </c>
      <c r="OX6">
        <v>147</v>
      </c>
      <c r="OY6" s="3"/>
      <c r="OZ6">
        <f t="shared" si="69"/>
        <v>34</v>
      </c>
      <c r="PA6" t="s">
        <v>972</v>
      </c>
      <c r="PB6" t="s">
        <v>973</v>
      </c>
      <c r="PC6">
        <v>17.760486841201779</v>
      </c>
      <c r="PD6">
        <v>147</v>
      </c>
      <c r="PE6" s="2"/>
      <c r="PF6">
        <f t="shared" si="70"/>
        <v>22</v>
      </c>
      <c r="PG6" t="s">
        <v>974</v>
      </c>
      <c r="PH6" t="s">
        <v>975</v>
      </c>
      <c r="PI6">
        <v>8.4141037464141846</v>
      </c>
      <c r="PJ6">
        <v>131</v>
      </c>
      <c r="PK6" s="3"/>
      <c r="PL6">
        <f t="shared" si="71"/>
        <v>32</v>
      </c>
      <c r="PM6" t="s">
        <v>976</v>
      </c>
      <c r="PN6" t="s">
        <v>977</v>
      </c>
      <c r="PO6">
        <v>26.99190092086792</v>
      </c>
      <c r="PP6">
        <v>146</v>
      </c>
      <c r="PQ6" s="2"/>
      <c r="PR6">
        <f t="shared" si="72"/>
        <v>19</v>
      </c>
      <c r="PS6" t="s">
        <v>978</v>
      </c>
      <c r="PT6" t="s">
        <v>979</v>
      </c>
      <c r="PU6">
        <v>24.58272814750671</v>
      </c>
      <c r="PV6">
        <v>63</v>
      </c>
      <c r="PW6" s="3"/>
      <c r="PX6">
        <f t="shared" si="73"/>
        <v>37</v>
      </c>
      <c r="PY6" t="s">
        <v>980</v>
      </c>
      <c r="PZ6" t="s">
        <v>981</v>
      </c>
      <c r="QA6">
        <v>7.4141678810119629</v>
      </c>
      <c r="QB6">
        <v>163</v>
      </c>
      <c r="QC6" s="2"/>
      <c r="QD6">
        <f t="shared" si="74"/>
        <v>26</v>
      </c>
      <c r="QE6" t="s">
        <v>982</v>
      </c>
      <c r="QF6" t="s">
        <v>983</v>
      </c>
      <c r="QG6">
        <v>2.8466298580169682</v>
      </c>
      <c r="QH6">
        <v>71</v>
      </c>
      <c r="QI6" s="3"/>
      <c r="QJ6">
        <f t="shared" si="75"/>
        <v>34</v>
      </c>
      <c r="QK6" t="s">
        <v>984</v>
      </c>
      <c r="QL6" t="s">
        <v>985</v>
      </c>
      <c r="QM6">
        <v>13.446738243103029</v>
      </c>
      <c r="QN6">
        <v>117</v>
      </c>
      <c r="QO6" s="2"/>
      <c r="QP6">
        <f t="shared" si="76"/>
        <v>5</v>
      </c>
      <c r="QQ6" t="s">
        <v>800</v>
      </c>
      <c r="QR6" t="s">
        <v>986</v>
      </c>
      <c r="QS6">
        <v>16.99846887588501</v>
      </c>
      <c r="QT6">
        <v>38</v>
      </c>
      <c r="QU6" s="3"/>
      <c r="QV6">
        <f t="shared" si="77"/>
        <v>10</v>
      </c>
      <c r="QW6" t="s">
        <v>987</v>
      </c>
      <c r="QX6" t="s">
        <v>988</v>
      </c>
      <c r="QY6">
        <v>2.0290331840515141</v>
      </c>
      <c r="QZ6">
        <v>56</v>
      </c>
      <c r="RA6" s="2"/>
      <c r="RB6">
        <f t="shared" si="78"/>
        <v>33</v>
      </c>
      <c r="RC6" t="s">
        <v>989</v>
      </c>
      <c r="RD6" t="s">
        <v>990</v>
      </c>
      <c r="RE6">
        <v>6.2976877689361572</v>
      </c>
      <c r="RF6">
        <v>80</v>
      </c>
      <c r="RG6" s="3"/>
      <c r="RH6">
        <f t="shared" si="79"/>
        <v>23</v>
      </c>
      <c r="RI6" t="s">
        <v>991</v>
      </c>
      <c r="RJ6" t="s">
        <v>992</v>
      </c>
      <c r="RK6">
        <v>3.4174294471740718</v>
      </c>
      <c r="RL6">
        <v>68</v>
      </c>
      <c r="RM6" s="2"/>
      <c r="RN6">
        <f t="shared" si="80"/>
        <v>39</v>
      </c>
      <c r="RO6" t="s">
        <v>993</v>
      </c>
      <c r="RP6" t="s">
        <v>994</v>
      </c>
      <c r="RQ6">
        <v>9.8140935897827148</v>
      </c>
      <c r="RR6">
        <v>145</v>
      </c>
      <c r="RS6" s="3"/>
      <c r="RT6">
        <f t="shared" si="81"/>
        <v>34</v>
      </c>
      <c r="RU6" t="s">
        <v>995</v>
      </c>
      <c r="RV6" t="s">
        <v>996</v>
      </c>
      <c r="RW6">
        <v>9.0682764053344727</v>
      </c>
      <c r="RX6">
        <v>160</v>
      </c>
      <c r="RY6" s="2"/>
      <c r="RZ6">
        <f t="shared" si="82"/>
        <v>23</v>
      </c>
      <c r="SA6" t="s">
        <v>997</v>
      </c>
      <c r="SB6" t="s">
        <v>998</v>
      </c>
      <c r="SC6">
        <v>5.9819812774658203</v>
      </c>
      <c r="SD6">
        <v>85</v>
      </c>
      <c r="SE6" s="3"/>
      <c r="SF6">
        <f t="shared" si="83"/>
        <v>32</v>
      </c>
      <c r="SG6" t="s">
        <v>999</v>
      </c>
      <c r="SH6" t="s">
        <v>1000</v>
      </c>
      <c r="SI6">
        <v>11.199835538864139</v>
      </c>
      <c r="SJ6">
        <v>138</v>
      </c>
      <c r="SK6" s="2"/>
      <c r="SL6">
        <f t="shared" si="84"/>
        <v>18</v>
      </c>
      <c r="SM6" t="s">
        <v>1001</v>
      </c>
      <c r="SN6" t="s">
        <v>1002</v>
      </c>
      <c r="SO6">
        <v>13.365677833557131</v>
      </c>
      <c r="SP6">
        <v>168</v>
      </c>
      <c r="SQ6" s="3"/>
      <c r="SR6">
        <f t="shared" si="85"/>
        <v>29</v>
      </c>
      <c r="SS6" t="s">
        <v>1003</v>
      </c>
      <c r="ST6" t="s">
        <v>1004</v>
      </c>
      <c r="SU6">
        <v>13.5993218421936</v>
      </c>
      <c r="SV6">
        <v>149</v>
      </c>
      <c r="SW6" s="4"/>
      <c r="SX6">
        <f t="shared" si="86"/>
        <v>35</v>
      </c>
      <c r="SY6" t="s">
        <v>1005</v>
      </c>
      <c r="SZ6" t="s">
        <v>1006</v>
      </c>
      <c r="TA6">
        <v>9.4420161247253418</v>
      </c>
      <c r="TB6">
        <v>166</v>
      </c>
      <c r="TC6" s="5"/>
      <c r="TD6">
        <f t="shared" si="87"/>
        <v>14</v>
      </c>
      <c r="TE6" t="s">
        <v>1007</v>
      </c>
      <c r="TF6" t="s">
        <v>1008</v>
      </c>
      <c r="TG6">
        <v>20.174788236618038</v>
      </c>
      <c r="TH6">
        <v>62</v>
      </c>
      <c r="TI6" s="2"/>
      <c r="TJ6">
        <f t="shared" si="88"/>
        <v>75</v>
      </c>
      <c r="TK6" t="s">
        <v>1009</v>
      </c>
      <c r="TL6" t="s">
        <v>1010</v>
      </c>
      <c r="TM6">
        <v>301.16385555267328</v>
      </c>
      <c r="TN6">
        <v>170</v>
      </c>
      <c r="TO6" s="5"/>
      <c r="TP6">
        <f t="shared" si="89"/>
        <v>25</v>
      </c>
      <c r="TQ6" t="s">
        <v>1011</v>
      </c>
      <c r="TR6" t="s">
        <v>1012</v>
      </c>
      <c r="TS6">
        <v>16.580033302307129</v>
      </c>
      <c r="TT6">
        <v>130</v>
      </c>
      <c r="TU6" s="2"/>
      <c r="TV6">
        <f t="shared" si="90"/>
        <v>30</v>
      </c>
      <c r="TW6" t="s">
        <v>1013</v>
      </c>
      <c r="TX6" t="s">
        <v>1014</v>
      </c>
      <c r="TY6">
        <v>5.8909635543823242</v>
      </c>
      <c r="TZ6">
        <v>96</v>
      </c>
      <c r="UA6" s="5"/>
      <c r="UB6">
        <f t="shared" si="91"/>
        <v>22</v>
      </c>
      <c r="UC6" t="s">
        <v>1015</v>
      </c>
      <c r="UD6" t="s">
        <v>1016</v>
      </c>
      <c r="UE6">
        <v>7.972442626953125</v>
      </c>
      <c r="UF6">
        <v>69</v>
      </c>
      <c r="UG6" s="2"/>
      <c r="UH6">
        <f t="shared" si="92"/>
        <v>32</v>
      </c>
      <c r="UI6" t="s">
        <v>1017</v>
      </c>
      <c r="UJ6" t="s">
        <v>1018</v>
      </c>
      <c r="UK6">
        <v>16.006757497787479</v>
      </c>
      <c r="UL6">
        <v>119</v>
      </c>
      <c r="UM6" s="5"/>
      <c r="UN6">
        <f t="shared" si="93"/>
        <v>30</v>
      </c>
      <c r="UO6" t="s">
        <v>1019</v>
      </c>
      <c r="UP6" t="s">
        <v>1020</v>
      </c>
      <c r="UQ6">
        <v>200.12812304496771</v>
      </c>
      <c r="UR6">
        <v>166</v>
      </c>
      <c r="US6" s="2"/>
      <c r="UT6">
        <f t="shared" si="94"/>
        <v>30</v>
      </c>
      <c r="UU6" t="s">
        <v>1021</v>
      </c>
      <c r="UV6" t="s">
        <v>1022</v>
      </c>
      <c r="UW6">
        <v>17.719054698944088</v>
      </c>
      <c r="UX6">
        <v>170</v>
      </c>
      <c r="UY6" s="5"/>
      <c r="UZ6">
        <f t="shared" si="95"/>
        <v>42</v>
      </c>
      <c r="VA6" t="s">
        <v>1023</v>
      </c>
      <c r="VB6" t="s">
        <v>1024</v>
      </c>
      <c r="VC6">
        <v>25.784287929534909</v>
      </c>
      <c r="VD6">
        <v>225</v>
      </c>
      <c r="VE6" s="2"/>
      <c r="VF6">
        <f t="shared" si="96"/>
        <v>49</v>
      </c>
      <c r="VG6" t="s">
        <v>1025</v>
      </c>
      <c r="VH6" t="s">
        <v>1026</v>
      </c>
      <c r="VI6">
        <v>19.971144437789921</v>
      </c>
      <c r="VJ6">
        <v>139</v>
      </c>
      <c r="VK6" s="5"/>
      <c r="VL6">
        <f t="shared" si="97"/>
        <v>27</v>
      </c>
      <c r="VM6" t="s">
        <v>1027</v>
      </c>
      <c r="VN6" t="s">
        <v>1028</v>
      </c>
      <c r="VO6">
        <v>19.781961679458622</v>
      </c>
      <c r="VP6">
        <v>101</v>
      </c>
      <c r="VQ6" s="2"/>
      <c r="VR6">
        <f t="shared" si="98"/>
        <v>66</v>
      </c>
      <c r="VS6" t="s">
        <v>1029</v>
      </c>
      <c r="VT6" t="s">
        <v>1030</v>
      </c>
      <c r="VU6">
        <v>296.51850175857538</v>
      </c>
      <c r="VV6">
        <v>156</v>
      </c>
      <c r="VW6" s="5"/>
      <c r="VX6">
        <f t="shared" si="99"/>
        <v>29</v>
      </c>
      <c r="VY6" t="s">
        <v>87</v>
      </c>
      <c r="VZ6" t="s">
        <v>1031</v>
      </c>
      <c r="WA6">
        <v>25.704941272735599</v>
      </c>
      <c r="WB6">
        <v>155</v>
      </c>
      <c r="WC6" s="2"/>
      <c r="WD6">
        <f t="shared" si="100"/>
        <v>38</v>
      </c>
      <c r="WE6" t="s">
        <v>1032</v>
      </c>
      <c r="WF6" t="s">
        <v>1033</v>
      </c>
      <c r="WG6">
        <v>33.146728038787842</v>
      </c>
      <c r="WH6">
        <v>99</v>
      </c>
      <c r="WI6" s="5"/>
      <c r="WJ6">
        <f t="shared" si="101"/>
        <v>23</v>
      </c>
      <c r="WK6" t="s">
        <v>1034</v>
      </c>
      <c r="WL6" t="s">
        <v>1035</v>
      </c>
      <c r="WM6">
        <v>12.10919880867004</v>
      </c>
      <c r="WN6">
        <v>173</v>
      </c>
      <c r="WO6" s="2"/>
      <c r="WP6">
        <f t="shared" si="102"/>
        <v>21</v>
      </c>
      <c r="WQ6" t="s">
        <v>926</v>
      </c>
      <c r="WR6" t="s">
        <v>1036</v>
      </c>
      <c r="WS6">
        <v>2.634377241134644</v>
      </c>
      <c r="WT6">
        <v>98</v>
      </c>
      <c r="WU6" s="5"/>
      <c r="WV6">
        <f t="shared" si="103"/>
        <v>30</v>
      </c>
      <c r="WW6" t="s">
        <v>1037</v>
      </c>
      <c r="WX6" t="s">
        <v>1038</v>
      </c>
      <c r="WY6">
        <v>6.6817409992218018</v>
      </c>
      <c r="WZ6">
        <v>80</v>
      </c>
      <c r="XA6" s="2"/>
      <c r="XB6">
        <f t="shared" si="104"/>
        <v>38</v>
      </c>
      <c r="XC6" t="s">
        <v>1039</v>
      </c>
      <c r="XD6" t="s">
        <v>1040</v>
      </c>
      <c r="XE6">
        <v>71.367426872253418</v>
      </c>
      <c r="XF6">
        <v>145</v>
      </c>
      <c r="XG6" s="5"/>
      <c r="XH6">
        <f t="shared" si="105"/>
        <v>32</v>
      </c>
      <c r="XI6" t="s">
        <v>1041</v>
      </c>
      <c r="XJ6" t="s">
        <v>1042</v>
      </c>
      <c r="XK6">
        <v>14.33186149597168</v>
      </c>
      <c r="XL6">
        <v>184</v>
      </c>
      <c r="XM6" s="2"/>
      <c r="XN6">
        <f t="shared" si="106"/>
        <v>36</v>
      </c>
      <c r="XO6" t="s">
        <v>1043</v>
      </c>
      <c r="XP6" t="s">
        <v>1044</v>
      </c>
      <c r="XQ6">
        <v>21.935988903045651</v>
      </c>
      <c r="XR6">
        <v>144</v>
      </c>
      <c r="XS6" s="5"/>
      <c r="XT6">
        <f t="shared" si="107"/>
        <v>47</v>
      </c>
      <c r="XU6" t="s">
        <v>1045</v>
      </c>
      <c r="XV6" t="s">
        <v>1046</v>
      </c>
      <c r="XW6">
        <v>4.1601896286010742</v>
      </c>
      <c r="XX6">
        <v>309</v>
      </c>
      <c r="XY6" s="2"/>
      <c r="XZ6">
        <f t="shared" si="108"/>
        <v>27</v>
      </c>
      <c r="YA6" t="s">
        <v>1047</v>
      </c>
      <c r="YB6" t="s">
        <v>1048</v>
      </c>
      <c r="YC6">
        <v>16.571918487548832</v>
      </c>
      <c r="YD6">
        <v>90</v>
      </c>
      <c r="YE6" s="5"/>
      <c r="YF6">
        <f t="shared" si="109"/>
        <v>15</v>
      </c>
      <c r="YG6" t="s">
        <v>1049</v>
      </c>
      <c r="YH6" t="s">
        <v>1050</v>
      </c>
      <c r="YI6">
        <v>6.5305302143096924</v>
      </c>
      <c r="YJ6">
        <v>105</v>
      </c>
      <c r="YK6" s="2"/>
      <c r="YL6">
        <f t="shared" si="110"/>
        <v>33</v>
      </c>
      <c r="YM6" t="s">
        <v>1051</v>
      </c>
      <c r="YN6" t="s">
        <v>1052</v>
      </c>
      <c r="YO6">
        <v>91.46321964263916</v>
      </c>
      <c r="YP6">
        <v>153</v>
      </c>
      <c r="YQ6" s="5"/>
      <c r="YR6">
        <f t="shared" si="111"/>
        <v>40</v>
      </c>
      <c r="YS6" t="s">
        <v>1053</v>
      </c>
      <c r="YT6" t="s">
        <v>1054</v>
      </c>
      <c r="YU6">
        <v>42.234554529190063</v>
      </c>
      <c r="YV6">
        <v>138</v>
      </c>
      <c r="YW6" s="2"/>
      <c r="YX6">
        <f t="shared" si="112"/>
        <v>30</v>
      </c>
      <c r="YY6" t="s">
        <v>1055</v>
      </c>
      <c r="YZ6" t="s">
        <v>1056</v>
      </c>
      <c r="ZA6">
        <v>7.2321147918701172</v>
      </c>
      <c r="ZB6">
        <v>172</v>
      </c>
      <c r="ZC6" s="5"/>
      <c r="ZD6">
        <f t="shared" si="113"/>
        <v>31</v>
      </c>
      <c r="ZE6" t="s">
        <v>1057</v>
      </c>
      <c r="ZF6" t="s">
        <v>1058</v>
      </c>
      <c r="ZG6">
        <v>96.970858097076416</v>
      </c>
      <c r="ZH6">
        <v>164</v>
      </c>
      <c r="ZI6" s="2"/>
      <c r="ZJ6">
        <f t="shared" si="114"/>
        <v>82</v>
      </c>
      <c r="ZK6" t="s">
        <v>1059</v>
      </c>
      <c r="ZL6" t="s">
        <v>1060</v>
      </c>
      <c r="ZM6">
        <v>278.71885347366327</v>
      </c>
      <c r="ZN6">
        <v>171</v>
      </c>
      <c r="ZO6" s="5"/>
      <c r="ZP6">
        <f t="shared" si="115"/>
        <v>32</v>
      </c>
      <c r="ZQ6" t="s">
        <v>1061</v>
      </c>
      <c r="ZR6" t="s">
        <v>1062</v>
      </c>
      <c r="ZS6">
        <v>18.274201154708859</v>
      </c>
      <c r="ZT6">
        <v>137</v>
      </c>
      <c r="ZU6" s="2"/>
      <c r="ZV6">
        <f t="shared" si="116"/>
        <v>59</v>
      </c>
      <c r="ZW6" t="s">
        <v>1063</v>
      </c>
      <c r="ZX6" t="s">
        <v>1064</v>
      </c>
      <c r="ZY6">
        <v>17.401444435119629</v>
      </c>
      <c r="ZZ6">
        <v>229</v>
      </c>
      <c r="AAA6" s="5"/>
      <c r="AAB6">
        <f t="shared" si="117"/>
        <v>27</v>
      </c>
      <c r="AAC6" t="s">
        <v>1065</v>
      </c>
      <c r="AAD6" t="s">
        <v>1066</v>
      </c>
      <c r="AAE6">
        <v>40.036167144775391</v>
      </c>
      <c r="AAF6">
        <v>139</v>
      </c>
      <c r="AAG6" s="2"/>
      <c r="AAH6">
        <f t="shared" si="118"/>
        <v>26</v>
      </c>
      <c r="AAI6" t="s">
        <v>1067</v>
      </c>
      <c r="AAJ6" t="s">
        <v>1068</v>
      </c>
      <c r="AAK6">
        <v>8.8073484897613525</v>
      </c>
      <c r="AAL6">
        <v>187</v>
      </c>
      <c r="AAM6" s="5"/>
      <c r="AAN6">
        <f t="shared" si="119"/>
        <v>73</v>
      </c>
      <c r="AAO6" t="s">
        <v>1069</v>
      </c>
      <c r="AAP6" t="s">
        <v>1070</v>
      </c>
      <c r="AAQ6">
        <v>27.464225292205811</v>
      </c>
      <c r="AAR6">
        <v>140</v>
      </c>
      <c r="AAS6" s="2"/>
      <c r="AAT6">
        <f t="shared" si="120"/>
        <v>78</v>
      </c>
      <c r="AAU6" t="s">
        <v>1071</v>
      </c>
      <c r="AAV6" t="s">
        <v>1072</v>
      </c>
      <c r="AAW6">
        <v>44.808022499084473</v>
      </c>
      <c r="AAX6">
        <v>164</v>
      </c>
      <c r="AAY6" s="5"/>
      <c r="AAZ6">
        <f t="shared" si="121"/>
        <v>25</v>
      </c>
      <c r="ABA6" t="s">
        <v>1073</v>
      </c>
      <c r="ABB6" t="s">
        <v>1074</v>
      </c>
      <c r="ABC6">
        <v>13.167187929153441</v>
      </c>
      <c r="ABD6">
        <v>102</v>
      </c>
      <c r="ABE6" s="2"/>
      <c r="ABF6">
        <f t="shared" si="122"/>
        <v>36</v>
      </c>
      <c r="ABG6" t="s">
        <v>1075</v>
      </c>
      <c r="ABH6" t="s">
        <v>1076</v>
      </c>
      <c r="ABI6">
        <v>44.770210981369019</v>
      </c>
      <c r="ABJ6">
        <v>180</v>
      </c>
      <c r="ABK6" s="5"/>
      <c r="ABL6">
        <f t="shared" si="123"/>
        <v>28</v>
      </c>
      <c r="ABM6" t="s">
        <v>1077</v>
      </c>
      <c r="ABN6" t="s">
        <v>1078</v>
      </c>
      <c r="ABO6">
        <v>37.436414480209351</v>
      </c>
      <c r="ABP6">
        <v>135</v>
      </c>
      <c r="ABQ6" s="2"/>
      <c r="ABR6">
        <f t="shared" si="124"/>
        <v>32</v>
      </c>
      <c r="ABS6" t="s">
        <v>1079</v>
      </c>
      <c r="ABT6" t="s">
        <v>1080</v>
      </c>
      <c r="ABU6">
        <v>18.69587683677673</v>
      </c>
      <c r="ABV6">
        <v>120</v>
      </c>
      <c r="ABW6" s="5"/>
      <c r="ABX6">
        <f t="shared" si="125"/>
        <v>30</v>
      </c>
      <c r="ABY6" t="s">
        <v>1081</v>
      </c>
      <c r="ABZ6" t="s">
        <v>1082</v>
      </c>
      <c r="ACA6">
        <v>166.50584840774539</v>
      </c>
      <c r="ACB6">
        <v>126</v>
      </c>
      <c r="ACC6" s="2"/>
      <c r="ACD6">
        <f t="shared" si="126"/>
        <v>26</v>
      </c>
      <c r="ACE6" t="s">
        <v>1083</v>
      </c>
      <c r="ACF6" t="s">
        <v>1084</v>
      </c>
      <c r="ACG6">
        <v>13.34000992774963</v>
      </c>
      <c r="ACH6">
        <v>96</v>
      </c>
      <c r="ACI6" s="5"/>
      <c r="ACJ6">
        <f t="shared" si="127"/>
        <v>41</v>
      </c>
      <c r="ACK6" t="s">
        <v>1085</v>
      </c>
      <c r="ACL6" t="s">
        <v>1086</v>
      </c>
      <c r="ACM6">
        <v>30.584015846252441</v>
      </c>
      <c r="ACN6">
        <v>158</v>
      </c>
      <c r="ACO6" s="2"/>
      <c r="ACP6">
        <f t="shared" si="128"/>
        <v>27</v>
      </c>
      <c r="ACQ6" t="s">
        <v>1087</v>
      </c>
      <c r="ACR6" t="s">
        <v>1088</v>
      </c>
      <c r="ACS6">
        <v>6.4080102443695068</v>
      </c>
      <c r="ACT6">
        <v>97</v>
      </c>
      <c r="ACU6" s="5"/>
      <c r="ACV6">
        <f t="shared" si="129"/>
        <v>22</v>
      </c>
      <c r="ACW6" t="s">
        <v>1089</v>
      </c>
      <c r="ACX6" t="s">
        <v>1090</v>
      </c>
      <c r="ACY6">
        <v>12.15651631355286</v>
      </c>
      <c r="ACZ6">
        <v>78</v>
      </c>
      <c r="ADA6" s="2"/>
      <c r="ADB6">
        <f t="shared" si="130"/>
        <v>26</v>
      </c>
      <c r="ADC6" t="s">
        <v>1091</v>
      </c>
      <c r="ADD6" t="s">
        <v>1092</v>
      </c>
      <c r="ADE6">
        <v>138.23491716384891</v>
      </c>
      <c r="ADF6">
        <v>89</v>
      </c>
      <c r="ADG6" s="5"/>
      <c r="ADH6">
        <f t="shared" si="131"/>
        <v>26</v>
      </c>
      <c r="ADI6" t="s">
        <v>1093</v>
      </c>
      <c r="ADJ6" t="s">
        <v>1094</v>
      </c>
      <c r="ADK6">
        <v>22.805049180984501</v>
      </c>
      <c r="ADL6">
        <v>155</v>
      </c>
      <c r="ADM6" s="2"/>
      <c r="ADN6">
        <f t="shared" si="132"/>
        <v>34</v>
      </c>
      <c r="ADO6" t="s">
        <v>1095</v>
      </c>
      <c r="ADP6" t="s">
        <v>1096</v>
      </c>
      <c r="ADQ6">
        <v>9.1116666793823242</v>
      </c>
      <c r="ADR6">
        <v>106</v>
      </c>
      <c r="ADS6" s="5"/>
      <c r="ADT6">
        <f t="shared" si="133"/>
        <v>24</v>
      </c>
      <c r="ADU6" t="s">
        <v>1097</v>
      </c>
      <c r="ADV6" t="s">
        <v>1098</v>
      </c>
      <c r="ADW6">
        <v>4.3767054080963126</v>
      </c>
      <c r="ADX6">
        <v>94</v>
      </c>
      <c r="ADY6" s="2"/>
      <c r="ADZ6">
        <f t="shared" si="134"/>
        <v>61</v>
      </c>
      <c r="AEA6" t="s">
        <v>1099</v>
      </c>
      <c r="AEB6" t="s">
        <v>1100</v>
      </c>
      <c r="AEC6">
        <v>25.911163091659549</v>
      </c>
      <c r="AED6">
        <v>223</v>
      </c>
      <c r="AEE6" s="5"/>
      <c r="AEF6">
        <f t="shared" si="135"/>
        <v>36</v>
      </c>
      <c r="AEG6" t="s">
        <v>1101</v>
      </c>
      <c r="AEH6" t="s">
        <v>1102</v>
      </c>
      <c r="AEI6">
        <v>16.452816009521481</v>
      </c>
      <c r="AEJ6">
        <v>133</v>
      </c>
      <c r="AEK6" s="2"/>
      <c r="AEL6">
        <f t="shared" si="136"/>
        <v>37</v>
      </c>
      <c r="AEM6" t="s">
        <v>1103</v>
      </c>
      <c r="AEN6" t="s">
        <v>1104</v>
      </c>
      <c r="AEO6">
        <v>14.19205284118652</v>
      </c>
      <c r="AEP6">
        <v>191</v>
      </c>
      <c r="AEQ6" s="5"/>
      <c r="AER6">
        <f t="shared" si="137"/>
        <v>34</v>
      </c>
      <c r="AES6" t="s">
        <v>1105</v>
      </c>
      <c r="AET6" t="s">
        <v>1106</v>
      </c>
      <c r="AEU6">
        <v>20.503900289535519</v>
      </c>
      <c r="AEV6">
        <v>151</v>
      </c>
      <c r="AEW6" s="2"/>
      <c r="AEX6">
        <f t="shared" si="138"/>
        <v>38</v>
      </c>
      <c r="AEY6" t="s">
        <v>1107</v>
      </c>
      <c r="AEZ6" t="s">
        <v>1108</v>
      </c>
      <c r="AFA6">
        <v>14.052251100540159</v>
      </c>
      <c r="AFB6">
        <v>151</v>
      </c>
      <c r="AFC6" s="5"/>
      <c r="AFD6">
        <f t="shared" si="139"/>
        <v>15</v>
      </c>
      <c r="AFE6" t="s">
        <v>1109</v>
      </c>
      <c r="AFF6" t="s">
        <v>1110</v>
      </c>
      <c r="AFG6">
        <v>8.3180835247039795</v>
      </c>
      <c r="AFH6">
        <v>78</v>
      </c>
      <c r="AFI6" s="2"/>
      <c r="AFJ6">
        <f t="shared" si="140"/>
        <v>22</v>
      </c>
      <c r="AFK6" t="s">
        <v>1111</v>
      </c>
      <c r="AFL6" t="s">
        <v>1112</v>
      </c>
      <c r="AFM6">
        <v>2.628456830978394</v>
      </c>
      <c r="AFN6">
        <v>71</v>
      </c>
      <c r="AFO6" s="5"/>
      <c r="AFP6">
        <f t="shared" si="141"/>
        <v>19</v>
      </c>
      <c r="AFQ6" t="s">
        <v>1113</v>
      </c>
      <c r="AFR6" t="s">
        <v>1114</v>
      </c>
      <c r="AFS6">
        <v>4.678398609161377</v>
      </c>
      <c r="AFT6">
        <v>78</v>
      </c>
      <c r="AFU6" s="2"/>
      <c r="AFV6">
        <f t="shared" si="142"/>
        <v>32</v>
      </c>
      <c r="AFW6" t="s">
        <v>1115</v>
      </c>
      <c r="AFX6" t="s">
        <v>1116</v>
      </c>
      <c r="AFY6">
        <v>18.198837041854858</v>
      </c>
      <c r="AFZ6">
        <v>100</v>
      </c>
      <c r="AGA6" s="5"/>
      <c r="AGB6">
        <f t="shared" si="143"/>
        <v>28</v>
      </c>
      <c r="AGC6" t="s">
        <v>1117</v>
      </c>
      <c r="AGD6" t="s">
        <v>1118</v>
      </c>
      <c r="AGE6">
        <v>11.5074679851532</v>
      </c>
      <c r="AGF6">
        <v>115</v>
      </c>
      <c r="AGG6" s="2"/>
      <c r="AGH6">
        <f t="shared" si="144"/>
        <v>26</v>
      </c>
      <c r="AGI6" t="s">
        <v>1119</v>
      </c>
      <c r="AGJ6" t="s">
        <v>1120</v>
      </c>
      <c r="AGK6">
        <v>20.81510591506958</v>
      </c>
      <c r="AGL6">
        <v>127</v>
      </c>
      <c r="AGM6" s="5"/>
      <c r="AGN6">
        <f t="shared" si="145"/>
        <v>27</v>
      </c>
      <c r="AGO6" t="s">
        <v>1121</v>
      </c>
      <c r="AGP6" t="s">
        <v>1122</v>
      </c>
      <c r="AGQ6">
        <v>12.11030435562134</v>
      </c>
      <c r="AGR6">
        <v>93</v>
      </c>
      <c r="AGS6" s="2"/>
      <c r="AGT6">
        <f t="shared" si="146"/>
        <v>38</v>
      </c>
      <c r="AGU6" t="s">
        <v>34</v>
      </c>
      <c r="AGV6" t="s">
        <v>1123</v>
      </c>
      <c r="AGW6">
        <v>10.27475953102112</v>
      </c>
      <c r="AGX6">
        <v>126</v>
      </c>
      <c r="AGY6" s="5"/>
      <c r="AGZ6">
        <f t="shared" si="147"/>
        <v>32</v>
      </c>
      <c r="AHA6" t="s">
        <v>1124</v>
      </c>
      <c r="AHB6" t="s">
        <v>1125</v>
      </c>
      <c r="AHC6">
        <v>168.32584142684939</v>
      </c>
      <c r="AHD6">
        <v>146</v>
      </c>
      <c r="AHE6" s="2"/>
      <c r="AHF6">
        <f t="shared" si="148"/>
        <v>34</v>
      </c>
      <c r="AHG6" t="s">
        <v>1126</v>
      </c>
      <c r="AHH6" t="s">
        <v>1127</v>
      </c>
      <c r="AHI6">
        <v>15.351350069046021</v>
      </c>
      <c r="AHJ6">
        <v>141</v>
      </c>
      <c r="AHK6" s="5"/>
      <c r="AHL6">
        <f t="shared" si="149"/>
        <v>19</v>
      </c>
      <c r="AHM6" t="s">
        <v>1128</v>
      </c>
      <c r="AHN6" t="s">
        <v>1129</v>
      </c>
      <c r="AHO6">
        <v>17.248759508132931</v>
      </c>
      <c r="AHP6">
        <v>91</v>
      </c>
      <c r="AHQ6" s="2"/>
      <c r="AHR6">
        <f t="shared" si="150"/>
        <v>51</v>
      </c>
      <c r="AHS6" t="s">
        <v>1130</v>
      </c>
      <c r="AHT6" t="s">
        <v>1131</v>
      </c>
      <c r="AHU6">
        <v>12.101424694061279</v>
      </c>
      <c r="AHV6">
        <v>126</v>
      </c>
      <c r="AHW6" s="5"/>
      <c r="AHX6">
        <f t="shared" si="151"/>
        <v>11</v>
      </c>
      <c r="AHY6" t="s">
        <v>1132</v>
      </c>
      <c r="AHZ6" t="s">
        <v>1133</v>
      </c>
      <c r="AIA6">
        <v>4.102574348449707</v>
      </c>
      <c r="AIB6">
        <v>73</v>
      </c>
      <c r="AIC6" s="2"/>
      <c r="AID6">
        <f t="shared" si="152"/>
        <v>28</v>
      </c>
      <c r="AIE6" t="s">
        <v>1134</v>
      </c>
      <c r="AIF6" t="s">
        <v>1135</v>
      </c>
      <c r="AIG6">
        <v>4.2366673946380624</v>
      </c>
      <c r="AIH6">
        <v>102</v>
      </c>
      <c r="AII6" s="5"/>
      <c r="AIJ6">
        <f t="shared" si="153"/>
        <v>12</v>
      </c>
      <c r="AIK6" t="s">
        <v>1136</v>
      </c>
      <c r="AIL6" t="s">
        <v>1137</v>
      </c>
      <c r="AIM6">
        <v>4.9038197994232178</v>
      </c>
      <c r="AIN6">
        <v>81</v>
      </c>
      <c r="AIO6" s="2"/>
      <c r="AIP6">
        <f t="shared" si="154"/>
        <v>26</v>
      </c>
      <c r="AIQ6" t="s">
        <v>1138</v>
      </c>
      <c r="AIR6" t="s">
        <v>1139</v>
      </c>
      <c r="AIS6">
        <v>15.45074820518494</v>
      </c>
      <c r="AIT6">
        <v>130</v>
      </c>
      <c r="AIU6" s="5"/>
      <c r="AIV6">
        <f t="shared" si="155"/>
        <v>22</v>
      </c>
      <c r="AIW6" t="s">
        <v>1140</v>
      </c>
      <c r="AIX6" t="s">
        <v>1141</v>
      </c>
      <c r="AIY6">
        <v>11.93485736846924</v>
      </c>
      <c r="AIZ6">
        <v>132</v>
      </c>
      <c r="AJA6" s="2"/>
      <c r="AJB6">
        <f t="shared" si="156"/>
        <v>41</v>
      </c>
      <c r="AJC6" t="s">
        <v>11</v>
      </c>
      <c r="AJD6" t="s">
        <v>1142</v>
      </c>
      <c r="AJE6">
        <v>9.8337006568908691</v>
      </c>
      <c r="AJF6">
        <v>229</v>
      </c>
      <c r="AJG6" s="5"/>
      <c r="AJH6">
        <f t="shared" si="157"/>
        <v>53</v>
      </c>
      <c r="AJI6" t="s">
        <v>1143</v>
      </c>
      <c r="AJJ6" t="s">
        <v>1144</v>
      </c>
      <c r="AJK6">
        <v>39.82446026802063</v>
      </c>
      <c r="AJL6">
        <v>148</v>
      </c>
      <c r="AJM6" s="2"/>
      <c r="AJN6">
        <f t="shared" si="158"/>
        <v>36</v>
      </c>
      <c r="AJO6" t="s">
        <v>1145</v>
      </c>
      <c r="AJP6" t="s">
        <v>1146</v>
      </c>
      <c r="AJQ6">
        <v>16.30156302452087</v>
      </c>
      <c r="AJR6">
        <v>181</v>
      </c>
      <c r="AJS6" s="5"/>
      <c r="AJT6">
        <f t="shared" si="159"/>
        <v>39</v>
      </c>
      <c r="AJU6" t="s">
        <v>1147</v>
      </c>
      <c r="AJV6" t="s">
        <v>1148</v>
      </c>
      <c r="AJW6">
        <v>11.11371874809265</v>
      </c>
      <c r="AJX6">
        <v>170</v>
      </c>
      <c r="AJY6" s="2"/>
      <c r="AJZ6">
        <f t="shared" si="160"/>
        <v>16</v>
      </c>
      <c r="AKA6" t="s">
        <v>1149</v>
      </c>
      <c r="AKB6" t="s">
        <v>1150</v>
      </c>
      <c r="AKC6">
        <v>2.8168487548828121</v>
      </c>
      <c r="AKD6">
        <v>73</v>
      </c>
      <c r="AKE6" s="5"/>
      <c r="AKF6">
        <f t="shared" si="161"/>
        <v>26</v>
      </c>
      <c r="AKG6" t="s">
        <v>1151</v>
      </c>
      <c r="AKH6" t="s">
        <v>1152</v>
      </c>
      <c r="AKI6">
        <v>4.1154749393463126</v>
      </c>
      <c r="AKJ6">
        <v>114</v>
      </c>
      <c r="AKK6" s="2"/>
      <c r="AKL6">
        <f t="shared" si="162"/>
        <v>24</v>
      </c>
      <c r="AKM6" t="s">
        <v>1153</v>
      </c>
      <c r="AKN6" t="s">
        <v>1154</v>
      </c>
      <c r="AKO6">
        <v>16.00963568687439</v>
      </c>
      <c r="AKP6">
        <v>162</v>
      </c>
      <c r="AKQ6" s="5"/>
      <c r="AKR6">
        <f t="shared" si="163"/>
        <v>36</v>
      </c>
      <c r="AKS6" t="s">
        <v>1155</v>
      </c>
      <c r="AKT6" t="s">
        <v>1156</v>
      </c>
      <c r="AKU6">
        <v>18.16431188583374</v>
      </c>
      <c r="AKV6">
        <v>139</v>
      </c>
      <c r="AKW6" s="2"/>
      <c r="AKX6">
        <f t="shared" si="164"/>
        <v>60</v>
      </c>
      <c r="AKY6" t="s">
        <v>1157</v>
      </c>
      <c r="AKZ6" t="s">
        <v>1158</v>
      </c>
      <c r="ALA6">
        <v>32.724555015563958</v>
      </c>
      <c r="ALB6">
        <v>179</v>
      </c>
      <c r="ALC6" s="5"/>
      <c r="ALD6">
        <f t="shared" si="165"/>
        <v>38</v>
      </c>
      <c r="ALE6" t="s">
        <v>1159</v>
      </c>
      <c r="ALF6" t="s">
        <v>1160</v>
      </c>
      <c r="ALG6">
        <v>31.71065616607666</v>
      </c>
      <c r="ALH6">
        <v>191</v>
      </c>
      <c r="ALI6" s="2"/>
      <c r="ALJ6">
        <f t="shared" si="166"/>
        <v>33</v>
      </c>
      <c r="ALK6" t="s">
        <v>1161</v>
      </c>
      <c r="ALL6" t="s">
        <v>1162</v>
      </c>
      <c r="ALM6">
        <v>14.21314549446106</v>
      </c>
      <c r="ALN6">
        <v>136</v>
      </c>
      <c r="ALO6" s="5"/>
      <c r="ALP6">
        <f t="shared" si="167"/>
        <v>24</v>
      </c>
      <c r="ALQ6" t="s">
        <v>1163</v>
      </c>
      <c r="ALR6" t="s">
        <v>1164</v>
      </c>
      <c r="ALS6">
        <v>26.314295768737789</v>
      </c>
      <c r="ALT6">
        <v>169</v>
      </c>
      <c r="ALU6" s="2"/>
      <c r="ALV6">
        <f t="shared" si="168"/>
        <v>17</v>
      </c>
      <c r="ALW6" t="s">
        <v>1165</v>
      </c>
      <c r="ALX6" t="s">
        <v>1166</v>
      </c>
      <c r="ALY6">
        <v>2.6781315803527832</v>
      </c>
      <c r="ALZ6">
        <v>146</v>
      </c>
      <c r="AMA6" s="5"/>
      <c r="AMB6">
        <f t="shared" si="169"/>
        <v>24</v>
      </c>
      <c r="AMC6" t="s">
        <v>1167</v>
      </c>
      <c r="AMD6" t="s">
        <v>1168</v>
      </c>
      <c r="AME6">
        <v>11.27275228500366</v>
      </c>
      <c r="AMF6">
        <v>110</v>
      </c>
      <c r="AMG6" s="2"/>
      <c r="AMH6">
        <f t="shared" si="170"/>
        <v>20</v>
      </c>
      <c r="AMI6" t="s">
        <v>1169</v>
      </c>
      <c r="AMJ6" t="s">
        <v>1170</v>
      </c>
      <c r="AMK6">
        <v>19.1703987121582</v>
      </c>
      <c r="AML6">
        <v>91</v>
      </c>
      <c r="AMM6" s="5"/>
      <c r="AMN6">
        <f t="shared" si="171"/>
        <v>26</v>
      </c>
      <c r="AMO6" t="s">
        <v>1171</v>
      </c>
      <c r="AMP6" t="s">
        <v>1172</v>
      </c>
      <c r="AMQ6">
        <v>23.234968662261959</v>
      </c>
      <c r="AMR6">
        <v>119</v>
      </c>
      <c r="AMS6" s="2"/>
    </row>
    <row r="7" spans="1:1033" x14ac:dyDescent="0.25">
      <c r="A7">
        <v>5</v>
      </c>
      <c r="B7">
        <f t="shared" si="0"/>
        <v>72</v>
      </c>
      <c r="C7" t="s">
        <v>1173</v>
      </c>
      <c r="D7" t="s">
        <v>1174</v>
      </c>
      <c r="E7">
        <v>16.222700119018551</v>
      </c>
      <c r="F7">
        <v>147</v>
      </c>
      <c r="G7" s="1"/>
      <c r="H7">
        <f t="shared" si="1"/>
        <v>38</v>
      </c>
      <c r="I7" t="s">
        <v>1175</v>
      </c>
      <c r="J7" t="s">
        <v>1176</v>
      </c>
      <c r="K7">
        <v>28.747519969940189</v>
      </c>
      <c r="L7">
        <v>167</v>
      </c>
      <c r="M7" s="2"/>
      <c r="N7">
        <f t="shared" si="2"/>
        <v>24</v>
      </c>
      <c r="O7" t="s">
        <v>1177</v>
      </c>
      <c r="P7" t="s">
        <v>1178</v>
      </c>
      <c r="Q7">
        <v>11.44817280769348</v>
      </c>
      <c r="R7">
        <v>168</v>
      </c>
      <c r="S7" s="1"/>
      <c r="T7">
        <f t="shared" si="3"/>
        <v>32</v>
      </c>
      <c r="U7" t="s">
        <v>1179</v>
      </c>
      <c r="V7" t="s">
        <v>1180</v>
      </c>
      <c r="W7">
        <v>85.155764579772949</v>
      </c>
      <c r="X7">
        <v>204</v>
      </c>
      <c r="Y7" s="2"/>
      <c r="Z7">
        <f t="shared" si="4"/>
        <v>31</v>
      </c>
      <c r="AA7" t="s">
        <v>270</v>
      </c>
      <c r="AB7" t="s">
        <v>1181</v>
      </c>
      <c r="AC7">
        <v>11.32526779174805</v>
      </c>
      <c r="AD7">
        <v>177</v>
      </c>
      <c r="AE7" s="1"/>
      <c r="AF7">
        <f t="shared" si="5"/>
        <v>52</v>
      </c>
      <c r="AG7" t="s">
        <v>1182</v>
      </c>
      <c r="AH7" t="s">
        <v>1183</v>
      </c>
      <c r="AI7">
        <v>19.847998142242432</v>
      </c>
      <c r="AJ7">
        <v>196</v>
      </c>
      <c r="AK7" s="2"/>
      <c r="AL7">
        <f t="shared" si="6"/>
        <v>48</v>
      </c>
      <c r="AM7" t="s">
        <v>1184</v>
      </c>
      <c r="AN7" t="s">
        <v>1185</v>
      </c>
      <c r="AO7">
        <v>38.943843841552727</v>
      </c>
      <c r="AP7">
        <v>186</v>
      </c>
      <c r="AQ7" s="3"/>
      <c r="AR7">
        <f t="shared" si="7"/>
        <v>28</v>
      </c>
      <c r="AS7" t="s">
        <v>1186</v>
      </c>
      <c r="AT7" t="s">
        <v>1187</v>
      </c>
      <c r="AU7">
        <v>33.55164647102356</v>
      </c>
      <c r="AV7">
        <v>151</v>
      </c>
      <c r="AW7" s="2"/>
      <c r="AX7">
        <f t="shared" si="8"/>
        <v>36</v>
      </c>
      <c r="AY7" t="s">
        <v>1188</v>
      </c>
      <c r="AZ7" t="s">
        <v>1189</v>
      </c>
      <c r="BA7">
        <v>18.549404144287109</v>
      </c>
      <c r="BB7">
        <v>154</v>
      </c>
      <c r="BC7" s="3"/>
      <c r="BD7">
        <f t="shared" si="9"/>
        <v>72</v>
      </c>
      <c r="BE7" t="s">
        <v>1190</v>
      </c>
      <c r="BF7" t="s">
        <v>1191</v>
      </c>
      <c r="BG7">
        <v>7.9834210872650146</v>
      </c>
      <c r="BH7">
        <v>206</v>
      </c>
      <c r="BI7" s="2"/>
      <c r="BJ7">
        <f t="shared" si="10"/>
        <v>51</v>
      </c>
      <c r="BK7" t="s">
        <v>1192</v>
      </c>
      <c r="BL7" t="s">
        <v>1193</v>
      </c>
      <c r="BM7">
        <v>33.331365823745728</v>
      </c>
      <c r="BN7">
        <v>278</v>
      </c>
      <c r="BO7" s="3"/>
      <c r="BP7">
        <f t="shared" si="11"/>
        <v>33</v>
      </c>
      <c r="BQ7" t="s">
        <v>1194</v>
      </c>
      <c r="BR7" t="s">
        <v>1195</v>
      </c>
      <c r="BS7">
        <v>21.297194957733151</v>
      </c>
      <c r="BT7">
        <v>192</v>
      </c>
      <c r="BU7" s="2"/>
      <c r="BV7">
        <f t="shared" si="12"/>
        <v>68</v>
      </c>
      <c r="BW7" t="s">
        <v>1196</v>
      </c>
      <c r="BX7" t="s">
        <v>1197</v>
      </c>
      <c r="BY7">
        <v>202.82178401947019</v>
      </c>
      <c r="BZ7">
        <v>284</v>
      </c>
      <c r="CA7" s="3"/>
      <c r="CB7">
        <f t="shared" si="13"/>
        <v>27</v>
      </c>
      <c r="CC7" t="s">
        <v>1198</v>
      </c>
      <c r="CD7" t="s">
        <v>1199</v>
      </c>
      <c r="CE7">
        <v>10.10696601867676</v>
      </c>
      <c r="CF7">
        <v>155</v>
      </c>
      <c r="CG7" s="2"/>
      <c r="CH7">
        <f t="shared" si="14"/>
        <v>32</v>
      </c>
      <c r="CI7" t="s">
        <v>1200</v>
      </c>
      <c r="CJ7" t="s">
        <v>1201</v>
      </c>
      <c r="CK7">
        <v>25.375680685043331</v>
      </c>
      <c r="CL7">
        <v>117</v>
      </c>
      <c r="CM7" s="3"/>
      <c r="CN7">
        <f t="shared" si="15"/>
        <v>62</v>
      </c>
      <c r="CO7" t="s">
        <v>1202</v>
      </c>
      <c r="CP7" t="s">
        <v>1203</v>
      </c>
      <c r="CQ7">
        <v>15.16665244102478</v>
      </c>
      <c r="CR7">
        <v>205</v>
      </c>
      <c r="CS7" s="2"/>
      <c r="CT7">
        <f t="shared" si="16"/>
        <v>16</v>
      </c>
      <c r="CU7" t="s">
        <v>1204</v>
      </c>
      <c r="CV7" t="s">
        <v>1205</v>
      </c>
      <c r="CW7">
        <v>11.724647760391241</v>
      </c>
      <c r="CX7">
        <v>130</v>
      </c>
      <c r="CY7" s="3"/>
      <c r="CZ7">
        <f t="shared" si="17"/>
        <v>21</v>
      </c>
      <c r="DA7" t="s">
        <v>1206</v>
      </c>
      <c r="DB7" t="s">
        <v>1207</v>
      </c>
      <c r="DC7">
        <v>5.8485558032989502</v>
      </c>
      <c r="DD7">
        <v>134</v>
      </c>
      <c r="DE7" s="2"/>
      <c r="DF7">
        <f t="shared" si="18"/>
        <v>14</v>
      </c>
      <c r="DG7" t="s">
        <v>1208</v>
      </c>
      <c r="DH7" t="s">
        <v>1209</v>
      </c>
      <c r="DI7">
        <v>3.018560409545898</v>
      </c>
      <c r="DJ7">
        <v>123</v>
      </c>
      <c r="DK7" s="3"/>
      <c r="DL7">
        <f t="shared" si="19"/>
        <v>27</v>
      </c>
      <c r="DM7" t="s">
        <v>1210</v>
      </c>
      <c r="DN7" t="s">
        <v>1211</v>
      </c>
      <c r="DO7">
        <v>7.4490981101989746</v>
      </c>
      <c r="DP7">
        <v>137</v>
      </c>
      <c r="DQ7" s="2"/>
      <c r="DR7">
        <f t="shared" si="20"/>
        <v>29</v>
      </c>
      <c r="DS7" t="s">
        <v>1212</v>
      </c>
      <c r="DT7" t="s">
        <v>1213</v>
      </c>
      <c r="DU7">
        <v>31.594474792480469</v>
      </c>
      <c r="DV7">
        <v>146</v>
      </c>
      <c r="DW7" s="3"/>
      <c r="DX7">
        <f t="shared" si="21"/>
        <v>51</v>
      </c>
      <c r="DY7" t="s">
        <v>1214</v>
      </c>
      <c r="DZ7" t="s">
        <v>1215</v>
      </c>
      <c r="EA7">
        <v>12.866215944290159</v>
      </c>
      <c r="EB7">
        <v>185</v>
      </c>
      <c r="EC7" s="2"/>
      <c r="ED7">
        <f t="shared" si="22"/>
        <v>24</v>
      </c>
      <c r="EE7" t="s">
        <v>1216</v>
      </c>
      <c r="EF7" t="s">
        <v>1217</v>
      </c>
      <c r="EG7">
        <v>5.1582558155059806</v>
      </c>
      <c r="EH7">
        <v>85</v>
      </c>
      <c r="EI7" s="3"/>
      <c r="EJ7">
        <f t="shared" si="23"/>
        <v>41</v>
      </c>
      <c r="EK7" t="s">
        <v>1218</v>
      </c>
      <c r="EL7" t="s">
        <v>1219</v>
      </c>
      <c r="EM7">
        <v>11.353558301925659</v>
      </c>
      <c r="EN7">
        <v>208</v>
      </c>
      <c r="EO7" s="2"/>
      <c r="EP7">
        <f t="shared" si="24"/>
        <v>27</v>
      </c>
      <c r="EQ7" t="s">
        <v>1220</v>
      </c>
      <c r="ER7" t="s">
        <v>1221</v>
      </c>
      <c r="ES7">
        <v>9.7203471660614014</v>
      </c>
      <c r="ET7">
        <v>145</v>
      </c>
      <c r="EU7" s="3"/>
      <c r="EV7">
        <f t="shared" si="25"/>
        <v>40</v>
      </c>
      <c r="EW7" t="s">
        <v>1222</v>
      </c>
      <c r="EX7" t="s">
        <v>1223</v>
      </c>
      <c r="EY7">
        <v>336.11445617675781</v>
      </c>
      <c r="EZ7">
        <v>155</v>
      </c>
      <c r="FA7" s="2"/>
      <c r="FB7">
        <f t="shared" si="26"/>
        <v>28</v>
      </c>
      <c r="FC7" t="s">
        <v>1224</v>
      </c>
      <c r="FD7" t="s">
        <v>1225</v>
      </c>
      <c r="FE7">
        <v>30.200879573822021</v>
      </c>
      <c r="FF7">
        <v>204</v>
      </c>
      <c r="FG7" s="3"/>
      <c r="FH7">
        <f t="shared" si="27"/>
        <v>33</v>
      </c>
      <c r="FI7" t="s">
        <v>2</v>
      </c>
      <c r="FJ7" t="s">
        <v>1226</v>
      </c>
      <c r="FK7">
        <v>9.2077734470367432</v>
      </c>
      <c r="FL7">
        <v>175</v>
      </c>
      <c r="FM7" s="2"/>
      <c r="FN7">
        <f t="shared" si="28"/>
        <v>48</v>
      </c>
      <c r="FO7" t="s">
        <v>1227</v>
      </c>
      <c r="FP7" t="s">
        <v>1228</v>
      </c>
      <c r="FQ7">
        <v>16.129496574401859</v>
      </c>
      <c r="FR7">
        <v>246</v>
      </c>
      <c r="FS7" s="3"/>
      <c r="FT7">
        <f t="shared" si="29"/>
        <v>25</v>
      </c>
      <c r="FU7" t="s">
        <v>1229</v>
      </c>
      <c r="FV7" t="s">
        <v>1230</v>
      </c>
      <c r="FW7">
        <v>11.35985279083252</v>
      </c>
      <c r="FX7">
        <v>225</v>
      </c>
      <c r="FY7" s="2"/>
      <c r="FZ7">
        <f t="shared" si="30"/>
        <v>29</v>
      </c>
      <c r="GA7" t="s">
        <v>1005</v>
      </c>
      <c r="GB7" t="s">
        <v>1231</v>
      </c>
      <c r="GC7">
        <v>11.39587235450745</v>
      </c>
      <c r="GD7">
        <v>124</v>
      </c>
      <c r="GE7" s="3"/>
      <c r="GF7">
        <f t="shared" si="31"/>
        <v>58</v>
      </c>
      <c r="GG7" t="s">
        <v>1232</v>
      </c>
      <c r="GH7" t="s">
        <v>1233</v>
      </c>
      <c r="GI7">
        <v>19.12834358215332</v>
      </c>
      <c r="GJ7">
        <v>160</v>
      </c>
      <c r="GK7" s="2"/>
      <c r="GL7">
        <f t="shared" si="32"/>
        <v>42</v>
      </c>
      <c r="GM7" t="s">
        <v>1234</v>
      </c>
      <c r="GN7" t="s">
        <v>1235</v>
      </c>
      <c r="GO7">
        <v>11.473219156265261</v>
      </c>
      <c r="GP7">
        <v>147</v>
      </c>
      <c r="GQ7" s="3"/>
      <c r="GR7">
        <f t="shared" si="33"/>
        <v>28</v>
      </c>
      <c r="GS7" t="s">
        <v>1236</v>
      </c>
      <c r="GT7" t="s">
        <v>1237</v>
      </c>
      <c r="GU7">
        <v>10.0515239238739</v>
      </c>
      <c r="GV7">
        <v>256</v>
      </c>
      <c r="GW7" s="2"/>
      <c r="GX7">
        <f t="shared" si="34"/>
        <v>22</v>
      </c>
      <c r="GY7" t="s">
        <v>1238</v>
      </c>
      <c r="GZ7" t="s">
        <v>1239</v>
      </c>
      <c r="HA7">
        <v>4.9793887138366699</v>
      </c>
      <c r="HB7">
        <v>120</v>
      </c>
      <c r="HC7" s="3"/>
      <c r="HD7">
        <f t="shared" si="35"/>
        <v>22</v>
      </c>
      <c r="HE7" t="s">
        <v>1240</v>
      </c>
      <c r="HF7" t="s">
        <v>1241</v>
      </c>
      <c r="HG7">
        <v>9.0921463966369629</v>
      </c>
      <c r="HH7">
        <v>131</v>
      </c>
      <c r="HI7" s="2"/>
      <c r="HJ7">
        <f t="shared" si="36"/>
        <v>22</v>
      </c>
      <c r="HK7" t="s">
        <v>1242</v>
      </c>
      <c r="HL7" t="s">
        <v>1243</v>
      </c>
      <c r="HM7">
        <v>15.216436624526979</v>
      </c>
      <c r="HN7">
        <v>133</v>
      </c>
      <c r="HO7" s="3"/>
      <c r="HP7">
        <f t="shared" si="37"/>
        <v>43</v>
      </c>
      <c r="HQ7" t="s">
        <v>1244</v>
      </c>
      <c r="HR7" t="s">
        <v>1245</v>
      </c>
      <c r="HS7">
        <v>8.310615062713623</v>
      </c>
      <c r="HT7">
        <v>222</v>
      </c>
      <c r="HU7" s="2"/>
      <c r="HV7">
        <f t="shared" si="38"/>
        <v>39</v>
      </c>
      <c r="HW7" t="s">
        <v>1246</v>
      </c>
      <c r="HX7" t="s">
        <v>1247</v>
      </c>
      <c r="HY7">
        <v>15.345706462860109</v>
      </c>
      <c r="HZ7">
        <v>185</v>
      </c>
      <c r="IA7" s="3"/>
      <c r="IB7">
        <f t="shared" si="39"/>
        <v>40</v>
      </c>
      <c r="IC7" t="s">
        <v>1248</v>
      </c>
      <c r="ID7" t="s">
        <v>1249</v>
      </c>
      <c r="IE7">
        <v>8.9041426181793213</v>
      </c>
      <c r="IF7">
        <v>200</v>
      </c>
      <c r="IG7" s="2"/>
      <c r="IH7">
        <f t="shared" si="40"/>
        <v>26</v>
      </c>
      <c r="II7" t="s">
        <v>1250</v>
      </c>
      <c r="IJ7" t="s">
        <v>1251</v>
      </c>
      <c r="IK7">
        <v>16.00331807136536</v>
      </c>
      <c r="IL7">
        <v>188</v>
      </c>
      <c r="IM7" s="3"/>
      <c r="IN7">
        <f t="shared" si="41"/>
        <v>61</v>
      </c>
      <c r="IO7" t="s">
        <v>1252</v>
      </c>
      <c r="IP7" t="s">
        <v>1253</v>
      </c>
      <c r="IQ7">
        <v>23.451966047286991</v>
      </c>
      <c r="IR7">
        <v>197</v>
      </c>
      <c r="IS7" s="2"/>
      <c r="IT7">
        <f t="shared" si="42"/>
        <v>21</v>
      </c>
      <c r="IU7" t="s">
        <v>1254</v>
      </c>
      <c r="IV7" t="s">
        <v>1255</v>
      </c>
      <c r="IW7">
        <v>15.979208469390869</v>
      </c>
      <c r="IX7">
        <v>105</v>
      </c>
      <c r="IY7" s="3"/>
      <c r="IZ7">
        <f t="shared" si="43"/>
        <v>18</v>
      </c>
      <c r="JA7" t="s">
        <v>1256</v>
      </c>
      <c r="JB7" t="s">
        <v>1257</v>
      </c>
      <c r="JC7">
        <v>4.7399041652679443</v>
      </c>
      <c r="JD7">
        <v>107</v>
      </c>
      <c r="JE7" s="2"/>
      <c r="JF7">
        <f t="shared" si="44"/>
        <v>30</v>
      </c>
      <c r="JG7" t="s">
        <v>1258</v>
      </c>
      <c r="JH7" t="s">
        <v>1259</v>
      </c>
      <c r="JI7">
        <v>3.9186639785766602</v>
      </c>
      <c r="JJ7">
        <v>119</v>
      </c>
      <c r="JK7" s="3"/>
      <c r="JL7">
        <f t="shared" si="45"/>
        <v>19</v>
      </c>
      <c r="JM7" t="s">
        <v>1260</v>
      </c>
      <c r="JN7" t="s">
        <v>1261</v>
      </c>
      <c r="JO7">
        <v>13.49383544921875</v>
      </c>
      <c r="JP7">
        <v>109</v>
      </c>
      <c r="JQ7" s="2"/>
      <c r="JR7">
        <f t="shared" si="46"/>
        <v>16</v>
      </c>
      <c r="JS7" t="s">
        <v>1262</v>
      </c>
      <c r="JT7" t="s">
        <v>1263</v>
      </c>
      <c r="JU7">
        <v>5.0213747024536133</v>
      </c>
      <c r="JV7">
        <v>103</v>
      </c>
      <c r="JW7" s="3"/>
      <c r="JX7">
        <f t="shared" si="47"/>
        <v>24</v>
      </c>
      <c r="JY7" t="s">
        <v>1264</v>
      </c>
      <c r="JZ7" t="s">
        <v>1265</v>
      </c>
      <c r="KA7">
        <v>4.6277825832366943</v>
      </c>
      <c r="KB7">
        <v>179</v>
      </c>
      <c r="KC7" s="2"/>
      <c r="KD7">
        <f t="shared" si="48"/>
        <v>54</v>
      </c>
      <c r="KE7" t="s">
        <v>349</v>
      </c>
      <c r="KF7" t="s">
        <v>1266</v>
      </c>
      <c r="KG7">
        <v>10.68515992164612</v>
      </c>
      <c r="KH7">
        <v>92</v>
      </c>
      <c r="KI7" s="3"/>
      <c r="KJ7">
        <f t="shared" si="49"/>
        <v>44</v>
      </c>
      <c r="KK7" t="s">
        <v>1267</v>
      </c>
      <c r="KL7" t="s">
        <v>1268</v>
      </c>
      <c r="KM7">
        <v>20.832850933074951</v>
      </c>
      <c r="KN7">
        <v>175</v>
      </c>
      <c r="KO7" s="2"/>
      <c r="KP7">
        <f t="shared" si="50"/>
        <v>58</v>
      </c>
      <c r="KQ7" t="s">
        <v>1269</v>
      </c>
      <c r="KR7" t="s">
        <v>1270</v>
      </c>
      <c r="KS7">
        <v>276.83375692367548</v>
      </c>
      <c r="KT7">
        <v>271</v>
      </c>
      <c r="KU7" s="3"/>
      <c r="KV7">
        <f t="shared" si="51"/>
        <v>58</v>
      </c>
      <c r="KW7" t="s">
        <v>1271</v>
      </c>
      <c r="KX7" t="s">
        <v>1272</v>
      </c>
      <c r="KY7">
        <v>29.56673955917358</v>
      </c>
      <c r="KZ7">
        <v>201</v>
      </c>
      <c r="LA7" s="2"/>
      <c r="LB7">
        <f t="shared" si="52"/>
        <v>26</v>
      </c>
      <c r="LC7" t="s">
        <v>1273</v>
      </c>
      <c r="LD7" t="s">
        <v>1274</v>
      </c>
      <c r="LE7">
        <v>9.4904687404632568</v>
      </c>
      <c r="LF7">
        <v>158</v>
      </c>
      <c r="LG7" s="3"/>
      <c r="LH7">
        <f t="shared" si="53"/>
        <v>82</v>
      </c>
      <c r="LI7" t="s">
        <v>1275</v>
      </c>
      <c r="LJ7" t="s">
        <v>1276</v>
      </c>
      <c r="LK7">
        <v>23.439536809921261</v>
      </c>
      <c r="LL7">
        <v>247</v>
      </c>
      <c r="LM7" s="2"/>
      <c r="LN7">
        <f t="shared" si="54"/>
        <v>48</v>
      </c>
      <c r="LO7" t="s">
        <v>1277</v>
      </c>
      <c r="LP7" t="s">
        <v>1278</v>
      </c>
      <c r="LQ7">
        <v>15.653124570846559</v>
      </c>
      <c r="LR7">
        <v>147</v>
      </c>
      <c r="LS7" s="3"/>
      <c r="LT7">
        <f t="shared" si="55"/>
        <v>37</v>
      </c>
      <c r="LU7" t="s">
        <v>1279</v>
      </c>
      <c r="LV7" t="s">
        <v>1280</v>
      </c>
      <c r="LW7">
        <v>22.83855938911438</v>
      </c>
      <c r="LX7">
        <v>234</v>
      </c>
      <c r="LY7" s="2"/>
      <c r="LZ7">
        <f t="shared" si="56"/>
        <v>48</v>
      </c>
      <c r="MA7" t="s">
        <v>1281</v>
      </c>
      <c r="MB7" t="s">
        <v>1282</v>
      </c>
      <c r="MC7">
        <v>31.520233154296879</v>
      </c>
      <c r="MD7">
        <v>199</v>
      </c>
      <c r="ME7" s="3"/>
      <c r="MF7">
        <f t="shared" si="57"/>
        <v>34</v>
      </c>
      <c r="MG7" t="s">
        <v>1283</v>
      </c>
      <c r="MH7" t="s">
        <v>1284</v>
      </c>
      <c r="MI7">
        <v>13.04855585098267</v>
      </c>
      <c r="MJ7">
        <v>292</v>
      </c>
      <c r="MK7" s="2"/>
      <c r="ML7">
        <f t="shared" si="58"/>
        <v>31</v>
      </c>
      <c r="MM7" t="s">
        <v>1285</v>
      </c>
      <c r="MN7" t="s">
        <v>1286</v>
      </c>
      <c r="MO7">
        <v>11.066754102706909</v>
      </c>
      <c r="MP7">
        <v>124</v>
      </c>
      <c r="MQ7" s="3"/>
      <c r="MR7">
        <f t="shared" si="59"/>
        <v>30</v>
      </c>
      <c r="MS7" t="s">
        <v>1287</v>
      </c>
      <c r="MT7" t="s">
        <v>1288</v>
      </c>
      <c r="MU7">
        <v>10.99201989173889</v>
      </c>
      <c r="MV7">
        <v>210</v>
      </c>
      <c r="MW7" s="2"/>
      <c r="MX7">
        <f t="shared" si="60"/>
        <v>21</v>
      </c>
      <c r="MY7" t="s">
        <v>567</v>
      </c>
      <c r="MZ7" t="s">
        <v>1289</v>
      </c>
      <c r="NA7">
        <v>20.143437623977661</v>
      </c>
      <c r="NB7">
        <v>175</v>
      </c>
      <c r="NC7" s="3"/>
      <c r="ND7">
        <f t="shared" si="61"/>
        <v>45</v>
      </c>
      <c r="NE7" t="s">
        <v>1290</v>
      </c>
      <c r="NF7" t="s">
        <v>1291</v>
      </c>
      <c r="NG7">
        <v>16.32512283325195</v>
      </c>
      <c r="NH7">
        <v>190</v>
      </c>
      <c r="NI7" s="2"/>
      <c r="NJ7">
        <f t="shared" si="62"/>
        <v>14</v>
      </c>
      <c r="NK7" t="s">
        <v>657</v>
      </c>
      <c r="NL7" t="s">
        <v>1292</v>
      </c>
      <c r="NM7">
        <v>6.2611954212188721</v>
      </c>
      <c r="NN7">
        <v>147</v>
      </c>
      <c r="NO7" s="3"/>
      <c r="NP7">
        <f t="shared" si="63"/>
        <v>25</v>
      </c>
      <c r="NQ7" t="s">
        <v>1293</v>
      </c>
      <c r="NR7" t="s">
        <v>1294</v>
      </c>
      <c r="NS7">
        <v>2.6537051200866699</v>
      </c>
      <c r="NT7">
        <v>129</v>
      </c>
      <c r="NU7" s="2"/>
      <c r="NV7">
        <f t="shared" si="64"/>
        <v>17</v>
      </c>
      <c r="NW7" t="s">
        <v>1295</v>
      </c>
      <c r="NX7" t="s">
        <v>1296</v>
      </c>
      <c r="NY7">
        <v>27.37617135047913</v>
      </c>
      <c r="NZ7">
        <v>122</v>
      </c>
      <c r="OA7" s="3"/>
      <c r="OB7">
        <f t="shared" si="65"/>
        <v>43</v>
      </c>
      <c r="OC7" t="s">
        <v>1297</v>
      </c>
      <c r="OD7" t="s">
        <v>1298</v>
      </c>
      <c r="OE7">
        <v>15.562984943389891</v>
      </c>
      <c r="OF7">
        <v>211</v>
      </c>
      <c r="OG7" s="2"/>
      <c r="OH7">
        <f t="shared" si="66"/>
        <v>23</v>
      </c>
      <c r="OI7" t="s">
        <v>1299</v>
      </c>
      <c r="OJ7" t="s">
        <v>1300</v>
      </c>
      <c r="OK7">
        <v>14.6567280292511</v>
      </c>
      <c r="OL7">
        <v>143</v>
      </c>
      <c r="OM7" s="3"/>
      <c r="ON7">
        <f t="shared" si="67"/>
        <v>62</v>
      </c>
      <c r="OO7" t="s">
        <v>1301</v>
      </c>
      <c r="OP7" t="s">
        <v>1302</v>
      </c>
      <c r="OQ7">
        <v>50.316037893295288</v>
      </c>
      <c r="OR7">
        <v>242</v>
      </c>
      <c r="OS7" s="2"/>
      <c r="OT7">
        <f t="shared" si="68"/>
        <v>20</v>
      </c>
      <c r="OU7" t="s">
        <v>1303</v>
      </c>
      <c r="OV7" t="s">
        <v>1304</v>
      </c>
      <c r="OW7">
        <v>4.9444527626037598</v>
      </c>
      <c r="OX7">
        <v>167</v>
      </c>
      <c r="OY7" s="3"/>
      <c r="OZ7">
        <f t="shared" si="69"/>
        <v>74</v>
      </c>
      <c r="PA7" t="s">
        <v>1305</v>
      </c>
      <c r="PB7" t="s">
        <v>1306</v>
      </c>
      <c r="PC7">
        <v>32.669275999069207</v>
      </c>
      <c r="PD7">
        <v>221</v>
      </c>
      <c r="PE7" s="2"/>
      <c r="PF7">
        <f t="shared" si="70"/>
        <v>27</v>
      </c>
      <c r="PG7" t="s">
        <v>1307</v>
      </c>
      <c r="PH7" t="s">
        <v>1308</v>
      </c>
      <c r="PI7">
        <v>16.6681809425354</v>
      </c>
      <c r="PJ7">
        <v>158</v>
      </c>
      <c r="PK7" s="3"/>
      <c r="PL7">
        <f t="shared" si="71"/>
        <v>85</v>
      </c>
      <c r="PM7" t="s">
        <v>1309</v>
      </c>
      <c r="PN7" t="s">
        <v>1310</v>
      </c>
      <c r="PO7">
        <v>44.757714986801147</v>
      </c>
      <c r="PP7">
        <v>231</v>
      </c>
      <c r="PQ7" s="2"/>
      <c r="PR7">
        <f t="shared" si="72"/>
        <v>53</v>
      </c>
      <c r="PS7" t="s">
        <v>1311</v>
      </c>
      <c r="PT7" t="s">
        <v>1312</v>
      </c>
      <c r="PU7">
        <v>156.0094096660614</v>
      </c>
      <c r="PV7">
        <v>116</v>
      </c>
      <c r="PW7" s="3"/>
      <c r="PX7">
        <f t="shared" si="73"/>
        <v>39</v>
      </c>
      <c r="PY7" t="s">
        <v>1313</v>
      </c>
      <c r="PZ7" t="s">
        <v>1314</v>
      </c>
      <c r="QA7">
        <v>14.628026008605961</v>
      </c>
      <c r="QB7">
        <v>202</v>
      </c>
      <c r="QC7" s="2"/>
      <c r="QD7">
        <f t="shared" si="74"/>
        <v>19</v>
      </c>
      <c r="QE7" t="s">
        <v>1315</v>
      </c>
      <c r="QF7" t="s">
        <v>1316</v>
      </c>
      <c r="QG7">
        <v>3.3619146347045898</v>
      </c>
      <c r="QH7">
        <v>90</v>
      </c>
      <c r="QI7" s="3"/>
      <c r="QJ7">
        <f t="shared" si="75"/>
        <v>26</v>
      </c>
      <c r="QK7" t="s">
        <v>1317</v>
      </c>
      <c r="QL7" t="s">
        <v>1318</v>
      </c>
      <c r="QM7">
        <v>110.40439033508299</v>
      </c>
      <c r="QN7">
        <v>143</v>
      </c>
      <c r="QO7" s="2"/>
      <c r="QP7">
        <f t="shared" si="76"/>
        <v>3</v>
      </c>
      <c r="QQ7" t="s">
        <v>264</v>
      </c>
      <c r="QR7" t="s">
        <v>1319</v>
      </c>
      <c r="QS7">
        <v>8.0866825580596924</v>
      </c>
      <c r="QT7">
        <v>41</v>
      </c>
      <c r="QU7" s="3"/>
      <c r="QV7">
        <f t="shared" si="77"/>
        <v>12</v>
      </c>
      <c r="QW7" t="s">
        <v>1320</v>
      </c>
      <c r="QX7" t="s">
        <v>1321</v>
      </c>
      <c r="QY7">
        <v>2.1331980228424068</v>
      </c>
      <c r="QZ7">
        <v>68</v>
      </c>
      <c r="RA7" s="2"/>
      <c r="RB7">
        <f t="shared" si="78"/>
        <v>53</v>
      </c>
      <c r="RC7" t="s">
        <v>1322</v>
      </c>
      <c r="RD7" t="s">
        <v>1323</v>
      </c>
      <c r="RE7">
        <v>5.8730084896087646</v>
      </c>
      <c r="RF7">
        <v>133</v>
      </c>
      <c r="RG7" s="3"/>
      <c r="RH7">
        <f t="shared" si="79"/>
        <v>22</v>
      </c>
      <c r="RI7" t="s">
        <v>1324</v>
      </c>
      <c r="RJ7" t="s">
        <v>1325</v>
      </c>
      <c r="RK7">
        <v>10.050366163253781</v>
      </c>
      <c r="RL7">
        <v>90</v>
      </c>
      <c r="RM7" s="2"/>
      <c r="RN7">
        <f t="shared" si="80"/>
        <v>23</v>
      </c>
      <c r="RO7" t="s">
        <v>1326</v>
      </c>
      <c r="RP7" t="s">
        <v>1327</v>
      </c>
      <c r="RQ7">
        <v>12.774183034896851</v>
      </c>
      <c r="RR7">
        <v>168</v>
      </c>
      <c r="RS7" s="3"/>
      <c r="RT7">
        <f t="shared" si="81"/>
        <v>32</v>
      </c>
      <c r="RU7" t="s">
        <v>1328</v>
      </c>
      <c r="RV7" t="s">
        <v>1329</v>
      </c>
      <c r="RW7">
        <v>9.8976798057556152</v>
      </c>
      <c r="RX7">
        <v>192</v>
      </c>
      <c r="RY7" s="2"/>
      <c r="RZ7">
        <f t="shared" si="82"/>
        <v>19</v>
      </c>
      <c r="SA7" t="s">
        <v>120</v>
      </c>
      <c r="SB7" t="s">
        <v>1330</v>
      </c>
      <c r="SC7">
        <v>29.17139101028442</v>
      </c>
      <c r="SD7">
        <v>104</v>
      </c>
      <c r="SE7" s="3"/>
      <c r="SF7">
        <f t="shared" si="83"/>
        <v>38</v>
      </c>
      <c r="SG7" t="s">
        <v>1331</v>
      </c>
      <c r="SH7" t="s">
        <v>1332</v>
      </c>
      <c r="SI7">
        <v>8.6039814949035645</v>
      </c>
      <c r="SJ7">
        <v>176</v>
      </c>
      <c r="SK7" s="2"/>
      <c r="SL7">
        <f t="shared" si="84"/>
        <v>44</v>
      </c>
      <c r="SM7" t="s">
        <v>404</v>
      </c>
      <c r="SN7" t="s">
        <v>1333</v>
      </c>
      <c r="SO7">
        <v>9.7913813591003418</v>
      </c>
      <c r="SP7">
        <v>212</v>
      </c>
      <c r="SQ7" s="3"/>
      <c r="SR7">
        <f t="shared" si="85"/>
        <v>24</v>
      </c>
      <c r="SS7" t="s">
        <v>1334</v>
      </c>
      <c r="ST7" t="s">
        <v>1335</v>
      </c>
      <c r="SU7">
        <v>9.080521821975708</v>
      </c>
      <c r="SV7">
        <v>173</v>
      </c>
      <c r="SW7" s="4"/>
      <c r="SX7">
        <f t="shared" si="86"/>
        <v>34</v>
      </c>
      <c r="SY7" t="s">
        <v>1336</v>
      </c>
      <c r="SZ7" t="s">
        <v>1337</v>
      </c>
      <c r="TA7">
        <v>192.6122000217438</v>
      </c>
      <c r="TB7">
        <v>200</v>
      </c>
      <c r="TC7" s="5"/>
      <c r="TD7">
        <f t="shared" si="87"/>
        <v>20</v>
      </c>
      <c r="TE7" t="s">
        <v>1338</v>
      </c>
      <c r="TF7" t="s">
        <v>1339</v>
      </c>
      <c r="TG7">
        <v>23.068088531494141</v>
      </c>
      <c r="TH7">
        <v>82</v>
      </c>
      <c r="TI7" s="2"/>
      <c r="TJ7">
        <f t="shared" si="88"/>
        <v>24</v>
      </c>
      <c r="TK7" t="s">
        <v>1340</v>
      </c>
      <c r="TL7" t="s">
        <v>1341</v>
      </c>
      <c r="TM7">
        <v>14.92820978164673</v>
      </c>
      <c r="TN7">
        <v>194</v>
      </c>
      <c r="TO7" s="5"/>
      <c r="TP7">
        <f t="shared" si="89"/>
        <v>37</v>
      </c>
      <c r="TQ7" t="s">
        <v>1342</v>
      </c>
      <c r="TR7" t="s">
        <v>1343</v>
      </c>
      <c r="TS7">
        <v>30.879185438156131</v>
      </c>
      <c r="TT7">
        <v>167</v>
      </c>
      <c r="TU7" s="2"/>
      <c r="TV7">
        <f t="shared" si="90"/>
        <v>22</v>
      </c>
      <c r="TW7" t="s">
        <v>1344</v>
      </c>
      <c r="TX7" t="s">
        <v>1345</v>
      </c>
      <c r="TY7">
        <v>3.8271598815917969</v>
      </c>
      <c r="TZ7">
        <v>118</v>
      </c>
      <c r="UA7" s="5"/>
      <c r="UB7">
        <f t="shared" si="91"/>
        <v>60</v>
      </c>
      <c r="UC7" t="s">
        <v>1346</v>
      </c>
      <c r="UD7" t="s">
        <v>1347</v>
      </c>
      <c r="UE7">
        <v>13.97565817832947</v>
      </c>
      <c r="UF7">
        <v>129</v>
      </c>
      <c r="UG7" s="2"/>
      <c r="UH7">
        <f t="shared" si="92"/>
        <v>33</v>
      </c>
      <c r="UI7" t="s">
        <v>1348</v>
      </c>
      <c r="UJ7" t="s">
        <v>1349</v>
      </c>
      <c r="UK7">
        <v>29.226369142532349</v>
      </c>
      <c r="UL7">
        <v>152</v>
      </c>
      <c r="UM7" s="5"/>
      <c r="UN7">
        <f t="shared" si="93"/>
        <v>62</v>
      </c>
      <c r="UO7" t="s">
        <v>1350</v>
      </c>
      <c r="UP7" t="s">
        <v>1351</v>
      </c>
      <c r="UQ7">
        <v>180.74263048172</v>
      </c>
      <c r="UR7">
        <v>228</v>
      </c>
      <c r="US7" s="2"/>
      <c r="UT7">
        <f t="shared" si="94"/>
        <v>32</v>
      </c>
      <c r="UU7" t="s">
        <v>1352</v>
      </c>
      <c r="UV7" t="s">
        <v>1353</v>
      </c>
      <c r="UW7">
        <v>28.557285070419312</v>
      </c>
      <c r="UX7">
        <v>202</v>
      </c>
      <c r="UY7" s="5"/>
      <c r="UZ7">
        <f t="shared" si="95"/>
        <v>48</v>
      </c>
      <c r="VA7" t="s">
        <v>1354</v>
      </c>
      <c r="VB7" t="s">
        <v>1355</v>
      </c>
      <c r="VC7">
        <v>40.296399831771851</v>
      </c>
      <c r="VD7">
        <v>273</v>
      </c>
      <c r="VE7" s="2"/>
      <c r="VF7">
        <f t="shared" si="96"/>
        <v>25</v>
      </c>
      <c r="VG7" t="s">
        <v>1356</v>
      </c>
      <c r="VH7" t="s">
        <v>1357</v>
      </c>
      <c r="VI7">
        <v>10.007611036300659</v>
      </c>
      <c r="VJ7">
        <v>164</v>
      </c>
      <c r="VK7" s="5"/>
      <c r="VL7">
        <f t="shared" si="97"/>
        <v>17</v>
      </c>
      <c r="VM7" t="s">
        <v>1358</v>
      </c>
      <c r="VN7" t="s">
        <v>1359</v>
      </c>
      <c r="VO7">
        <v>8.157113790512085</v>
      </c>
      <c r="VP7">
        <v>118</v>
      </c>
      <c r="VQ7" s="2"/>
      <c r="VR7">
        <f t="shared" si="98"/>
        <v>45</v>
      </c>
      <c r="VS7" t="s">
        <v>1360</v>
      </c>
      <c r="VT7" t="s">
        <v>1361</v>
      </c>
      <c r="VU7">
        <v>12.306953430175779</v>
      </c>
      <c r="VV7">
        <v>201</v>
      </c>
      <c r="VW7" s="5"/>
      <c r="VX7">
        <f t="shared" si="99"/>
        <v>22</v>
      </c>
      <c r="VY7" t="s">
        <v>1362</v>
      </c>
      <c r="VZ7" t="s">
        <v>1363</v>
      </c>
      <c r="WA7">
        <v>29.925531625747681</v>
      </c>
      <c r="WB7">
        <v>177</v>
      </c>
      <c r="WC7" s="2"/>
      <c r="WD7">
        <f t="shared" si="100"/>
        <v>29</v>
      </c>
      <c r="WE7" t="s">
        <v>1364</v>
      </c>
      <c r="WF7" t="s">
        <v>1365</v>
      </c>
      <c r="WG7">
        <v>30.873086452484131</v>
      </c>
      <c r="WH7">
        <v>128</v>
      </c>
      <c r="WI7" s="5"/>
      <c r="WJ7">
        <f t="shared" si="101"/>
        <v>36</v>
      </c>
      <c r="WK7" t="s">
        <v>1366</v>
      </c>
      <c r="WL7" t="s">
        <v>1367</v>
      </c>
      <c r="WM7">
        <v>6.9621961116790771</v>
      </c>
      <c r="WN7">
        <v>209</v>
      </c>
      <c r="WO7" s="2"/>
      <c r="WP7">
        <f t="shared" si="102"/>
        <v>21</v>
      </c>
      <c r="WQ7" t="s">
        <v>1368</v>
      </c>
      <c r="WR7" t="s">
        <v>1369</v>
      </c>
      <c r="WS7">
        <v>4.9286935329437256</v>
      </c>
      <c r="WT7">
        <v>119</v>
      </c>
      <c r="WU7" s="5"/>
      <c r="WV7">
        <f t="shared" si="103"/>
        <v>24</v>
      </c>
      <c r="WW7" t="s">
        <v>1370</v>
      </c>
      <c r="WX7" t="s">
        <v>1371</v>
      </c>
      <c r="WY7">
        <v>13.971235036849979</v>
      </c>
      <c r="WZ7">
        <v>104</v>
      </c>
      <c r="XA7" s="2"/>
      <c r="XB7">
        <f t="shared" si="104"/>
        <v>32</v>
      </c>
      <c r="XC7" t="s">
        <v>1372</v>
      </c>
      <c r="XD7" t="s">
        <v>1373</v>
      </c>
      <c r="XE7">
        <v>6.471383810043335</v>
      </c>
      <c r="XF7">
        <v>177</v>
      </c>
      <c r="XG7" s="5"/>
      <c r="XH7">
        <f t="shared" si="105"/>
        <v>34</v>
      </c>
      <c r="XI7" t="s">
        <v>140</v>
      </c>
      <c r="XJ7" t="s">
        <v>1374</v>
      </c>
      <c r="XK7">
        <v>11.87358927726746</v>
      </c>
      <c r="XL7">
        <v>218</v>
      </c>
      <c r="XM7" s="2"/>
      <c r="XN7">
        <f t="shared" si="106"/>
        <v>30</v>
      </c>
      <c r="XO7" t="s">
        <v>1375</v>
      </c>
      <c r="XP7" t="s">
        <v>1376</v>
      </c>
      <c r="XQ7">
        <v>25.288792610168461</v>
      </c>
      <c r="XR7">
        <v>174</v>
      </c>
      <c r="XS7" s="5"/>
      <c r="XT7">
        <f t="shared" si="107"/>
        <v>19</v>
      </c>
      <c r="XU7" t="s">
        <v>1377</v>
      </c>
      <c r="XV7" t="s">
        <v>1378</v>
      </c>
      <c r="XW7">
        <v>13.564354658126829</v>
      </c>
      <c r="XX7">
        <v>328</v>
      </c>
      <c r="XY7" s="2"/>
      <c r="XZ7">
        <f t="shared" si="108"/>
        <v>28</v>
      </c>
      <c r="YA7" t="s">
        <v>1379</v>
      </c>
      <c r="YB7" t="s">
        <v>1380</v>
      </c>
      <c r="YC7">
        <v>12.27691602706909</v>
      </c>
      <c r="YD7">
        <v>118</v>
      </c>
      <c r="YE7" s="5"/>
      <c r="YF7">
        <f t="shared" si="109"/>
        <v>13</v>
      </c>
      <c r="YG7" t="s">
        <v>1381</v>
      </c>
      <c r="YH7" t="s">
        <v>1382</v>
      </c>
      <c r="YI7">
        <v>8.7242138385772705</v>
      </c>
      <c r="YJ7">
        <v>118</v>
      </c>
      <c r="YK7" s="2"/>
      <c r="YL7">
        <f t="shared" si="110"/>
        <v>21</v>
      </c>
      <c r="YM7" t="s">
        <v>1383</v>
      </c>
      <c r="YN7" t="s">
        <v>1384</v>
      </c>
      <c r="YO7">
        <v>10.16943454742432</v>
      </c>
      <c r="YP7">
        <v>174</v>
      </c>
      <c r="YQ7" s="5"/>
      <c r="YR7">
        <f t="shared" si="111"/>
        <v>72</v>
      </c>
      <c r="YS7" t="s">
        <v>1385</v>
      </c>
      <c r="YT7" t="s">
        <v>1386</v>
      </c>
      <c r="YU7">
        <v>33.060718536376953</v>
      </c>
      <c r="YV7">
        <v>210</v>
      </c>
      <c r="YW7" s="2"/>
      <c r="YX7">
        <f t="shared" si="112"/>
        <v>34</v>
      </c>
      <c r="YY7" t="s">
        <v>1387</v>
      </c>
      <c r="YZ7" t="s">
        <v>1388</v>
      </c>
      <c r="ZA7">
        <v>10.12470769882202</v>
      </c>
      <c r="ZB7">
        <v>206</v>
      </c>
      <c r="ZC7" s="5"/>
      <c r="ZD7">
        <f t="shared" si="113"/>
        <v>25</v>
      </c>
      <c r="ZE7" t="s">
        <v>1389</v>
      </c>
      <c r="ZF7" t="s">
        <v>1390</v>
      </c>
      <c r="ZG7">
        <v>11.774251937866209</v>
      </c>
      <c r="ZH7">
        <v>189</v>
      </c>
      <c r="ZI7" s="2"/>
      <c r="ZJ7">
        <f t="shared" si="114"/>
        <v>36</v>
      </c>
      <c r="ZK7" t="s">
        <v>1391</v>
      </c>
      <c r="ZL7" t="s">
        <v>1392</v>
      </c>
      <c r="ZM7">
        <v>11.158055305480961</v>
      </c>
      <c r="ZN7">
        <v>207</v>
      </c>
      <c r="ZO7" s="5"/>
      <c r="ZP7">
        <f t="shared" si="115"/>
        <v>23</v>
      </c>
      <c r="ZQ7" t="s">
        <v>412</v>
      </c>
      <c r="ZR7" t="s">
        <v>1393</v>
      </c>
      <c r="ZS7">
        <v>31.668597459793091</v>
      </c>
      <c r="ZT7">
        <v>160</v>
      </c>
      <c r="ZU7" s="2"/>
      <c r="ZV7">
        <f t="shared" si="116"/>
        <v>32</v>
      </c>
      <c r="ZW7" t="s">
        <v>444</v>
      </c>
      <c r="ZX7" t="s">
        <v>1394</v>
      </c>
      <c r="ZY7">
        <v>13.38022994995117</v>
      </c>
      <c r="ZZ7">
        <v>261</v>
      </c>
      <c r="AAA7" s="5"/>
      <c r="AAB7">
        <f t="shared" si="117"/>
        <v>23</v>
      </c>
      <c r="AAC7" t="s">
        <v>1395</v>
      </c>
      <c r="AAD7" t="s">
        <v>1396</v>
      </c>
      <c r="AAE7">
        <v>26.335090398788449</v>
      </c>
      <c r="AAF7">
        <v>162</v>
      </c>
      <c r="AAG7" s="2"/>
      <c r="AAH7">
        <f t="shared" si="118"/>
        <v>34</v>
      </c>
      <c r="AAI7" t="s">
        <v>1397</v>
      </c>
      <c r="AAJ7" t="s">
        <v>1398</v>
      </c>
      <c r="AAK7">
        <v>9.663222074508667</v>
      </c>
      <c r="AAL7">
        <v>221</v>
      </c>
      <c r="AAM7" s="5"/>
      <c r="AAN7">
        <f t="shared" si="119"/>
        <v>26</v>
      </c>
      <c r="AAO7" t="s">
        <v>420</v>
      </c>
      <c r="AAP7" t="s">
        <v>1399</v>
      </c>
      <c r="AAQ7">
        <v>25.88140439987183</v>
      </c>
      <c r="AAR7">
        <v>166</v>
      </c>
      <c r="AAS7" s="2"/>
      <c r="AAT7">
        <f t="shared" si="120"/>
        <v>30</v>
      </c>
      <c r="AAU7" t="s">
        <v>1400</v>
      </c>
      <c r="AAV7" t="s">
        <v>1401</v>
      </c>
      <c r="AAW7">
        <v>16.89298939704895</v>
      </c>
      <c r="AAX7">
        <v>194</v>
      </c>
      <c r="AAY7" s="5"/>
      <c r="AAZ7">
        <f t="shared" si="121"/>
        <v>24</v>
      </c>
      <c r="ABA7" t="s">
        <v>1402</v>
      </c>
      <c r="ABB7" t="s">
        <v>1403</v>
      </c>
      <c r="ABC7">
        <v>6.5691556930541992</v>
      </c>
      <c r="ABD7">
        <v>126</v>
      </c>
      <c r="ABE7" s="2"/>
      <c r="ABF7">
        <f t="shared" si="122"/>
        <v>37</v>
      </c>
      <c r="ABG7" t="s">
        <v>268</v>
      </c>
      <c r="ABH7" t="s">
        <v>1404</v>
      </c>
      <c r="ABI7">
        <v>20.019255638122559</v>
      </c>
      <c r="ABJ7">
        <v>217</v>
      </c>
      <c r="ABK7" s="5"/>
      <c r="ABL7">
        <f t="shared" si="123"/>
        <v>24</v>
      </c>
      <c r="ABM7" t="s">
        <v>1405</v>
      </c>
      <c r="ABN7" t="s">
        <v>1406</v>
      </c>
      <c r="ABO7">
        <v>5.6996815204620361</v>
      </c>
      <c r="ABP7">
        <v>159</v>
      </c>
      <c r="ABQ7" s="2"/>
      <c r="ABR7">
        <f t="shared" si="124"/>
        <v>30</v>
      </c>
      <c r="ABS7" t="s">
        <v>1407</v>
      </c>
      <c r="ABT7" t="s">
        <v>1408</v>
      </c>
      <c r="ABU7">
        <v>12.465336561202999</v>
      </c>
      <c r="ABV7">
        <v>150</v>
      </c>
      <c r="ABW7" s="5"/>
      <c r="ABX7">
        <f t="shared" si="125"/>
        <v>25</v>
      </c>
      <c r="ABY7" t="s">
        <v>1409</v>
      </c>
      <c r="ABZ7" t="s">
        <v>1410</v>
      </c>
      <c r="ACA7">
        <v>43.452712297439582</v>
      </c>
      <c r="ACB7">
        <v>151</v>
      </c>
      <c r="ACC7" s="2"/>
      <c r="ACD7">
        <f t="shared" si="126"/>
        <v>32</v>
      </c>
      <c r="ACE7" t="s">
        <v>1411</v>
      </c>
      <c r="ACF7" t="s">
        <v>1412</v>
      </c>
      <c r="ACG7">
        <v>18.274129390716549</v>
      </c>
      <c r="ACH7">
        <v>128</v>
      </c>
      <c r="ACI7" s="5"/>
      <c r="ACJ7">
        <f t="shared" si="127"/>
        <v>33</v>
      </c>
      <c r="ACK7" t="s">
        <v>1413</v>
      </c>
      <c r="ACL7" t="s">
        <v>1414</v>
      </c>
      <c r="ACM7">
        <v>19.028848171234131</v>
      </c>
      <c r="ACN7">
        <v>191</v>
      </c>
      <c r="ACO7" s="2"/>
      <c r="ACP7">
        <f t="shared" si="128"/>
        <v>29</v>
      </c>
      <c r="ACQ7" t="s">
        <v>1415</v>
      </c>
      <c r="ACR7" t="s">
        <v>1416</v>
      </c>
      <c r="ACS7">
        <v>68.673831939697266</v>
      </c>
      <c r="ACT7">
        <v>126</v>
      </c>
      <c r="ACU7" s="5"/>
      <c r="ACV7">
        <f t="shared" si="129"/>
        <v>47</v>
      </c>
      <c r="ACW7" t="s">
        <v>1417</v>
      </c>
      <c r="ACX7" t="s">
        <v>1418</v>
      </c>
      <c r="ACY7">
        <v>26.575901985168461</v>
      </c>
      <c r="ACZ7">
        <v>125</v>
      </c>
      <c r="ADA7" s="2"/>
      <c r="ADB7">
        <f t="shared" si="130"/>
        <v>44</v>
      </c>
      <c r="ADC7" t="s">
        <v>1419</v>
      </c>
      <c r="ADD7" t="s">
        <v>1420</v>
      </c>
      <c r="ADE7">
        <v>20.872867584228519</v>
      </c>
      <c r="ADF7">
        <v>133</v>
      </c>
      <c r="ADG7" s="5"/>
      <c r="ADH7">
        <f t="shared" si="131"/>
        <v>75</v>
      </c>
      <c r="ADI7" t="s">
        <v>1421</v>
      </c>
      <c r="ADJ7" t="s">
        <v>1422</v>
      </c>
      <c r="ADK7">
        <v>46.692445039749153</v>
      </c>
      <c r="ADL7">
        <v>230</v>
      </c>
      <c r="ADM7" s="2"/>
      <c r="ADN7">
        <f t="shared" si="132"/>
        <v>39</v>
      </c>
      <c r="ADO7" t="s">
        <v>1423</v>
      </c>
      <c r="ADP7" t="s">
        <v>1424</v>
      </c>
      <c r="ADQ7">
        <v>6.6828546524047852</v>
      </c>
      <c r="ADR7">
        <v>145</v>
      </c>
      <c r="ADS7" s="5"/>
      <c r="ADT7">
        <f t="shared" si="133"/>
        <v>23</v>
      </c>
      <c r="ADU7" t="s">
        <v>1425</v>
      </c>
      <c r="ADV7" t="s">
        <v>1426</v>
      </c>
      <c r="ADW7">
        <v>8.9260351657867432</v>
      </c>
      <c r="ADX7">
        <v>117</v>
      </c>
      <c r="ADY7" s="2"/>
      <c r="ADZ7">
        <f t="shared" si="134"/>
        <v>34</v>
      </c>
      <c r="AEA7" t="s">
        <v>1427</v>
      </c>
      <c r="AEB7" t="s">
        <v>1428</v>
      </c>
      <c r="AEC7">
        <v>21.615825414657589</v>
      </c>
      <c r="AED7">
        <v>257</v>
      </c>
      <c r="AEE7" s="5"/>
      <c r="AEF7">
        <f t="shared" si="135"/>
        <v>112</v>
      </c>
      <c r="AEG7" t="s">
        <v>1429</v>
      </c>
      <c r="AEH7" t="s">
        <v>1430</v>
      </c>
      <c r="AEI7">
        <v>451.13462948799128</v>
      </c>
      <c r="AEJ7">
        <v>245</v>
      </c>
      <c r="AEK7" s="2"/>
      <c r="AEL7">
        <f t="shared" si="136"/>
        <v>38</v>
      </c>
      <c r="AEM7" t="s">
        <v>1431</v>
      </c>
      <c r="AEN7" t="s">
        <v>1432</v>
      </c>
      <c r="AEO7">
        <v>26.250040531158451</v>
      </c>
      <c r="AEP7">
        <v>229</v>
      </c>
      <c r="AEQ7" s="5"/>
      <c r="AER7">
        <f t="shared" si="137"/>
        <v>60</v>
      </c>
      <c r="AES7" t="s">
        <v>1433</v>
      </c>
      <c r="AET7" t="s">
        <v>1434</v>
      </c>
      <c r="AEU7">
        <v>20.136474132537838</v>
      </c>
      <c r="AEV7">
        <v>211</v>
      </c>
      <c r="AEW7" s="2"/>
      <c r="AEX7">
        <f t="shared" si="138"/>
        <v>68</v>
      </c>
      <c r="AEY7" t="s">
        <v>1435</v>
      </c>
      <c r="AEZ7" t="s">
        <v>1436</v>
      </c>
      <c r="AFA7">
        <v>13.543160915374759</v>
      </c>
      <c r="AFB7">
        <v>219</v>
      </c>
      <c r="AFC7" s="5"/>
      <c r="AFD7">
        <f t="shared" si="139"/>
        <v>37</v>
      </c>
      <c r="AFE7" t="s">
        <v>1437</v>
      </c>
      <c r="AFF7" t="s">
        <v>1438</v>
      </c>
      <c r="AFG7">
        <v>13.95085835456848</v>
      </c>
      <c r="AFH7">
        <v>115</v>
      </c>
      <c r="AFI7" s="2"/>
      <c r="AFJ7">
        <f t="shared" si="140"/>
        <v>20</v>
      </c>
      <c r="AFK7" t="s">
        <v>1439</v>
      </c>
      <c r="AFL7" t="s">
        <v>1440</v>
      </c>
      <c r="AFM7">
        <v>5.0729434490203857</v>
      </c>
      <c r="AFN7">
        <v>91</v>
      </c>
      <c r="AFO7" s="5"/>
      <c r="AFP7">
        <f t="shared" si="141"/>
        <v>45</v>
      </c>
      <c r="AFQ7" t="s">
        <v>1441</v>
      </c>
      <c r="AFR7" t="s">
        <v>1442</v>
      </c>
      <c r="AFS7">
        <v>12.041359901428221</v>
      </c>
      <c r="AFT7">
        <v>123</v>
      </c>
      <c r="AFU7" s="2"/>
      <c r="AFV7">
        <f t="shared" si="142"/>
        <v>38</v>
      </c>
      <c r="AFW7" t="s">
        <v>1443</v>
      </c>
      <c r="AFX7" t="s">
        <v>1444</v>
      </c>
      <c r="AFY7">
        <v>13.438877105712891</v>
      </c>
      <c r="AFZ7">
        <v>138</v>
      </c>
      <c r="AGA7" s="5"/>
      <c r="AGB7">
        <f t="shared" si="143"/>
        <v>22</v>
      </c>
      <c r="AGC7" t="s">
        <v>924</v>
      </c>
      <c r="AGD7" t="s">
        <v>1445</v>
      </c>
      <c r="AGE7">
        <v>16.76211047172546</v>
      </c>
      <c r="AGF7">
        <v>137</v>
      </c>
      <c r="AGG7" s="2"/>
      <c r="AGH7">
        <f t="shared" si="144"/>
        <v>136</v>
      </c>
      <c r="AGI7" t="s">
        <v>1446</v>
      </c>
      <c r="AGJ7" t="s">
        <v>1447</v>
      </c>
      <c r="AGK7">
        <v>34.120729446411133</v>
      </c>
      <c r="AGL7">
        <v>263</v>
      </c>
      <c r="AGM7" s="5"/>
      <c r="AGN7">
        <f t="shared" si="145"/>
        <v>71</v>
      </c>
      <c r="AGO7" t="s">
        <v>1448</v>
      </c>
      <c r="AGP7" t="s">
        <v>1449</v>
      </c>
      <c r="AGQ7">
        <v>163.80695295333859</v>
      </c>
      <c r="AGR7">
        <v>164</v>
      </c>
      <c r="AGS7" s="2"/>
      <c r="AGT7">
        <f t="shared" si="146"/>
        <v>32</v>
      </c>
      <c r="AGU7" t="s">
        <v>1450</v>
      </c>
      <c r="AGV7" t="s">
        <v>1451</v>
      </c>
      <c r="AGW7">
        <v>13.65777325630188</v>
      </c>
      <c r="AGX7">
        <v>158</v>
      </c>
      <c r="AGY7" s="5"/>
      <c r="AGZ7">
        <f t="shared" si="147"/>
        <v>69</v>
      </c>
      <c r="AHA7" t="s">
        <v>1452</v>
      </c>
      <c r="AHB7" t="s">
        <v>1453</v>
      </c>
      <c r="AHC7">
        <v>289.28910517692572</v>
      </c>
      <c r="AHD7">
        <v>215</v>
      </c>
      <c r="AHE7" s="2"/>
      <c r="AHF7">
        <f t="shared" si="148"/>
        <v>23</v>
      </c>
      <c r="AHG7" t="s">
        <v>1454</v>
      </c>
      <c r="AHH7" t="s">
        <v>1455</v>
      </c>
      <c r="AHI7">
        <v>75.524230718612671</v>
      </c>
      <c r="AHJ7">
        <v>164</v>
      </c>
      <c r="AHK7" s="5"/>
      <c r="AHL7">
        <f t="shared" si="149"/>
        <v>27</v>
      </c>
      <c r="AHM7" t="s">
        <v>786</v>
      </c>
      <c r="AHN7" t="s">
        <v>1456</v>
      </c>
      <c r="AHO7">
        <v>14.50470995903015</v>
      </c>
      <c r="AHP7">
        <v>118</v>
      </c>
      <c r="AHQ7" s="2"/>
      <c r="AHR7">
        <f t="shared" si="150"/>
        <v>34</v>
      </c>
      <c r="AHS7" t="s">
        <v>961</v>
      </c>
      <c r="AHT7" t="s">
        <v>1457</v>
      </c>
      <c r="AHU7">
        <v>14.71210336685181</v>
      </c>
      <c r="AHV7">
        <v>160</v>
      </c>
      <c r="AHW7" s="5"/>
      <c r="AHX7">
        <f t="shared" si="151"/>
        <v>19</v>
      </c>
      <c r="AHY7" t="s">
        <v>1458</v>
      </c>
      <c r="AHZ7" t="s">
        <v>1459</v>
      </c>
      <c r="AIA7">
        <v>4.936617374420166</v>
      </c>
      <c r="AIB7">
        <v>92</v>
      </c>
      <c r="AIC7" s="2"/>
      <c r="AID7">
        <f t="shared" si="152"/>
        <v>19</v>
      </c>
      <c r="AIE7" t="s">
        <v>1460</v>
      </c>
      <c r="AIF7" t="s">
        <v>1461</v>
      </c>
      <c r="AIG7">
        <v>3.5244426727294922</v>
      </c>
      <c r="AIH7">
        <v>121</v>
      </c>
      <c r="AII7" s="5"/>
      <c r="AIJ7">
        <f t="shared" si="153"/>
        <v>20</v>
      </c>
      <c r="AIK7" t="s">
        <v>1462</v>
      </c>
      <c r="AIL7" t="s">
        <v>1463</v>
      </c>
      <c r="AIM7">
        <v>4.4157953262329102</v>
      </c>
      <c r="AIN7">
        <v>101</v>
      </c>
      <c r="AIO7" s="2"/>
      <c r="AIP7">
        <f t="shared" si="154"/>
        <v>25</v>
      </c>
      <c r="AIQ7" t="s">
        <v>1464</v>
      </c>
      <c r="AIR7" t="s">
        <v>1465</v>
      </c>
      <c r="AIS7">
        <v>9.6177225112915039</v>
      </c>
      <c r="AIT7">
        <v>155</v>
      </c>
      <c r="AIU7" s="5"/>
      <c r="AIV7">
        <f t="shared" si="155"/>
        <v>24</v>
      </c>
      <c r="AIW7" t="s">
        <v>1466</v>
      </c>
      <c r="AIX7" t="s">
        <v>1467</v>
      </c>
      <c r="AIY7">
        <v>16.046205043792721</v>
      </c>
      <c r="AIZ7">
        <v>156</v>
      </c>
      <c r="AJA7" s="2"/>
      <c r="AJB7">
        <f t="shared" si="156"/>
        <v>53</v>
      </c>
      <c r="AJC7" t="s">
        <v>1468</v>
      </c>
      <c r="AJD7" t="s">
        <v>1469</v>
      </c>
      <c r="AJE7">
        <v>273.66765594482422</v>
      </c>
      <c r="AJF7">
        <v>282</v>
      </c>
      <c r="AJG7" s="5"/>
      <c r="AJH7">
        <f t="shared" si="157"/>
        <v>48</v>
      </c>
      <c r="AJI7" t="s">
        <v>1470</v>
      </c>
      <c r="AJJ7" t="s">
        <v>1471</v>
      </c>
      <c r="AJK7">
        <v>18.943150043487549</v>
      </c>
      <c r="AJL7">
        <v>196</v>
      </c>
      <c r="AJM7" s="2"/>
      <c r="AJN7">
        <f t="shared" si="158"/>
        <v>32</v>
      </c>
      <c r="AJO7" t="s">
        <v>382</v>
      </c>
      <c r="AJP7" t="s">
        <v>1472</v>
      </c>
      <c r="AJQ7">
        <v>8.6081092357635498</v>
      </c>
      <c r="AJR7">
        <v>213</v>
      </c>
      <c r="AJS7" s="5"/>
      <c r="AJT7">
        <f t="shared" si="159"/>
        <v>60</v>
      </c>
      <c r="AJU7" t="s">
        <v>1473</v>
      </c>
      <c r="AJV7" t="s">
        <v>1474</v>
      </c>
      <c r="AJW7">
        <v>181.88642168045041</v>
      </c>
      <c r="AJX7">
        <v>230</v>
      </c>
      <c r="AJY7" s="2"/>
      <c r="AJZ7">
        <f t="shared" si="160"/>
        <v>24</v>
      </c>
      <c r="AKA7" t="s">
        <v>1475</v>
      </c>
      <c r="AKB7" t="s">
        <v>1476</v>
      </c>
      <c r="AKC7">
        <v>3.0395574569702148</v>
      </c>
      <c r="AKD7">
        <v>97</v>
      </c>
      <c r="AKE7" s="5"/>
      <c r="AKF7">
        <f t="shared" si="161"/>
        <v>20</v>
      </c>
      <c r="AKG7" t="s">
        <v>1477</v>
      </c>
      <c r="AKH7" t="s">
        <v>1478</v>
      </c>
      <c r="AKI7">
        <v>6.2847731113433838</v>
      </c>
      <c r="AKJ7">
        <v>134</v>
      </c>
      <c r="AKK7" s="2"/>
      <c r="AKL7">
        <f t="shared" si="162"/>
        <v>18</v>
      </c>
      <c r="AKM7" t="s">
        <v>1479</v>
      </c>
      <c r="AKN7" t="s">
        <v>1480</v>
      </c>
      <c r="AKO7">
        <v>8.1136744022369385</v>
      </c>
      <c r="AKP7">
        <v>180</v>
      </c>
      <c r="AKQ7" s="5"/>
      <c r="AKR7">
        <f t="shared" si="163"/>
        <v>18</v>
      </c>
      <c r="AKS7" t="s">
        <v>1481</v>
      </c>
      <c r="AKT7" t="s">
        <v>1482</v>
      </c>
      <c r="AKU7">
        <v>30.62966680526733</v>
      </c>
      <c r="AKV7">
        <v>157</v>
      </c>
      <c r="AKW7" s="2"/>
      <c r="AKX7">
        <f t="shared" si="164"/>
        <v>34</v>
      </c>
      <c r="AKY7" t="s">
        <v>1483</v>
      </c>
      <c r="AKZ7" t="s">
        <v>1484</v>
      </c>
      <c r="ALA7">
        <v>20.376538753509521</v>
      </c>
      <c r="ALB7">
        <v>213</v>
      </c>
      <c r="ALC7" s="5"/>
      <c r="ALD7">
        <f t="shared" si="165"/>
        <v>62</v>
      </c>
      <c r="ALE7" t="s">
        <v>1485</v>
      </c>
      <c r="ALF7" t="s">
        <v>1486</v>
      </c>
      <c r="ALG7">
        <v>20.728171825408939</v>
      </c>
      <c r="ALH7">
        <v>253</v>
      </c>
      <c r="ALI7" s="2"/>
      <c r="ALJ7">
        <f t="shared" si="166"/>
        <v>34</v>
      </c>
      <c r="ALK7" t="s">
        <v>1487</v>
      </c>
      <c r="ALL7" t="s">
        <v>1488</v>
      </c>
      <c r="ALM7">
        <v>20.685804128646851</v>
      </c>
      <c r="ALN7">
        <v>170</v>
      </c>
      <c r="ALO7" s="5"/>
      <c r="ALP7">
        <f t="shared" si="167"/>
        <v>36</v>
      </c>
      <c r="ALQ7" t="s">
        <v>1489</v>
      </c>
      <c r="ALR7" t="s">
        <v>1490</v>
      </c>
      <c r="ALS7">
        <v>189.0648486614227</v>
      </c>
      <c r="ALT7">
        <v>205</v>
      </c>
      <c r="ALU7" s="2"/>
      <c r="ALV7">
        <f t="shared" si="168"/>
        <v>41</v>
      </c>
      <c r="ALW7" t="s">
        <v>1491</v>
      </c>
      <c r="ALX7" t="s">
        <v>1492</v>
      </c>
      <c r="ALY7">
        <v>23.090604066848751</v>
      </c>
      <c r="ALZ7">
        <v>187</v>
      </c>
      <c r="AMA7" s="5"/>
      <c r="AMB7">
        <f t="shared" si="169"/>
        <v>30</v>
      </c>
      <c r="AMC7" t="s">
        <v>1493</v>
      </c>
      <c r="AMD7" t="s">
        <v>1494</v>
      </c>
      <c r="AME7">
        <v>9.1987671852111816</v>
      </c>
      <c r="AMF7">
        <v>140</v>
      </c>
      <c r="AMG7" s="2"/>
      <c r="AMH7">
        <f t="shared" si="170"/>
        <v>22</v>
      </c>
      <c r="AMI7" t="s">
        <v>1495</v>
      </c>
      <c r="AMJ7" t="s">
        <v>1496</v>
      </c>
      <c r="AMK7">
        <v>19.020328044891361</v>
      </c>
      <c r="AML7">
        <v>113</v>
      </c>
      <c r="AMM7" s="5"/>
      <c r="AMN7">
        <f t="shared" si="171"/>
        <v>28</v>
      </c>
      <c r="AMO7" t="s">
        <v>1497</v>
      </c>
      <c r="AMP7" t="s">
        <v>1498</v>
      </c>
      <c r="AMQ7">
        <v>15.355610847473139</v>
      </c>
      <c r="AMR7">
        <v>147</v>
      </c>
      <c r="AMS7" s="2"/>
    </row>
    <row r="8" spans="1:1033" x14ac:dyDescent="0.25">
      <c r="A8">
        <v>6</v>
      </c>
      <c r="B8">
        <f t="shared" si="0"/>
        <v>24</v>
      </c>
      <c r="C8" t="s">
        <v>1499</v>
      </c>
      <c r="D8" t="s">
        <v>1500</v>
      </c>
      <c r="E8">
        <v>26.317082405090328</v>
      </c>
      <c r="F8">
        <v>171</v>
      </c>
      <c r="G8" s="1"/>
      <c r="H8">
        <f t="shared" si="1"/>
        <v>31</v>
      </c>
      <c r="I8" t="s">
        <v>382</v>
      </c>
      <c r="J8" t="s">
        <v>1501</v>
      </c>
      <c r="K8">
        <v>9.7054629325866699</v>
      </c>
      <c r="L8">
        <v>198</v>
      </c>
      <c r="M8" s="2"/>
      <c r="N8">
        <f t="shared" si="2"/>
        <v>29</v>
      </c>
      <c r="O8" t="s">
        <v>1502</v>
      </c>
      <c r="P8" t="s">
        <v>1503</v>
      </c>
      <c r="Q8">
        <v>15.50360321998596</v>
      </c>
      <c r="R8">
        <v>197</v>
      </c>
      <c r="S8" s="1"/>
      <c r="T8">
        <f t="shared" si="3"/>
        <v>22</v>
      </c>
      <c r="U8" t="s">
        <v>1504</v>
      </c>
      <c r="V8" t="s">
        <v>1505</v>
      </c>
      <c r="W8">
        <v>15.023011684417719</v>
      </c>
      <c r="X8">
        <v>226</v>
      </c>
      <c r="Y8" s="2"/>
      <c r="Z8">
        <f t="shared" si="4"/>
        <v>36</v>
      </c>
      <c r="AA8" t="s">
        <v>1506</v>
      </c>
      <c r="AB8" t="s">
        <v>1507</v>
      </c>
      <c r="AC8">
        <v>16.667571306228641</v>
      </c>
      <c r="AD8">
        <v>213</v>
      </c>
      <c r="AE8" s="1"/>
      <c r="AF8">
        <f t="shared" si="5"/>
        <v>26</v>
      </c>
      <c r="AG8" t="s">
        <v>11</v>
      </c>
      <c r="AH8" t="s">
        <v>1508</v>
      </c>
      <c r="AI8">
        <v>5.1828784942626953</v>
      </c>
      <c r="AJ8">
        <v>222</v>
      </c>
      <c r="AK8" s="2"/>
      <c r="AL8">
        <f t="shared" si="6"/>
        <v>59</v>
      </c>
      <c r="AM8" t="s">
        <v>1509</v>
      </c>
      <c r="AN8" t="s">
        <v>1510</v>
      </c>
      <c r="AO8">
        <v>32.83798885345459</v>
      </c>
      <c r="AP8">
        <v>245</v>
      </c>
      <c r="AQ8" s="3"/>
      <c r="AR8">
        <f t="shared" si="7"/>
        <v>63</v>
      </c>
      <c r="AS8" t="s">
        <v>1511</v>
      </c>
      <c r="AT8" t="s">
        <v>1512</v>
      </c>
      <c r="AU8">
        <v>34.416865348815918</v>
      </c>
      <c r="AV8">
        <v>214</v>
      </c>
      <c r="AW8" s="2"/>
      <c r="AX8">
        <f t="shared" si="8"/>
        <v>25</v>
      </c>
      <c r="AY8" t="s">
        <v>1513</v>
      </c>
      <c r="AZ8" t="s">
        <v>1514</v>
      </c>
      <c r="BA8">
        <v>34.476803064346313</v>
      </c>
      <c r="BB8">
        <v>179</v>
      </c>
      <c r="BC8" s="3"/>
      <c r="BD8">
        <f t="shared" si="9"/>
        <v>30</v>
      </c>
      <c r="BE8" t="s">
        <v>1515</v>
      </c>
      <c r="BF8" t="s">
        <v>1516</v>
      </c>
      <c r="BG8">
        <v>13.302536010742189</v>
      </c>
      <c r="BH8">
        <v>236</v>
      </c>
      <c r="BI8" s="2"/>
      <c r="BJ8">
        <f t="shared" si="10"/>
        <v>20</v>
      </c>
      <c r="BK8" t="s">
        <v>1011</v>
      </c>
      <c r="BL8" t="s">
        <v>1517</v>
      </c>
      <c r="BM8">
        <v>8.8499276638031006</v>
      </c>
      <c r="BN8">
        <v>298</v>
      </c>
      <c r="BO8" s="3"/>
      <c r="BP8">
        <f t="shared" si="11"/>
        <v>30</v>
      </c>
      <c r="BQ8" t="s">
        <v>1518</v>
      </c>
      <c r="BR8" t="s">
        <v>1519</v>
      </c>
      <c r="BS8">
        <v>8.4360895156860352</v>
      </c>
      <c r="BT8">
        <v>222</v>
      </c>
      <c r="BU8" s="2"/>
      <c r="BV8">
        <f t="shared" si="12"/>
        <v>32</v>
      </c>
      <c r="BW8" t="s">
        <v>727</v>
      </c>
      <c r="BX8" t="s">
        <v>1520</v>
      </c>
      <c r="BY8">
        <v>6.8842651844024658</v>
      </c>
      <c r="BZ8">
        <v>316</v>
      </c>
      <c r="CA8" s="3"/>
      <c r="CB8">
        <f t="shared" si="13"/>
        <v>36</v>
      </c>
      <c r="CC8" t="s">
        <v>780</v>
      </c>
      <c r="CD8" t="s">
        <v>1521</v>
      </c>
      <c r="CE8">
        <v>10.33017992973328</v>
      </c>
      <c r="CF8">
        <v>191</v>
      </c>
      <c r="CG8" s="2"/>
      <c r="CH8">
        <f t="shared" si="14"/>
        <v>24</v>
      </c>
      <c r="CI8" t="s">
        <v>1522</v>
      </c>
      <c r="CJ8" t="s">
        <v>1523</v>
      </c>
      <c r="CK8">
        <v>18.772814273834229</v>
      </c>
      <c r="CL8">
        <v>141</v>
      </c>
      <c r="CM8" s="3"/>
      <c r="CN8">
        <f t="shared" si="15"/>
        <v>27</v>
      </c>
      <c r="CO8" t="s">
        <v>1524</v>
      </c>
      <c r="CP8" t="s">
        <v>1525</v>
      </c>
      <c r="CQ8">
        <v>23.73145055770874</v>
      </c>
      <c r="CR8">
        <v>232</v>
      </c>
      <c r="CS8" s="2"/>
      <c r="CT8">
        <f t="shared" si="16"/>
        <v>118</v>
      </c>
      <c r="CU8" t="s">
        <v>1526</v>
      </c>
      <c r="CV8" t="s">
        <v>1527</v>
      </c>
      <c r="CW8">
        <v>176.95605516433719</v>
      </c>
      <c r="CX8">
        <v>248</v>
      </c>
      <c r="CY8" s="3"/>
      <c r="CZ8">
        <f t="shared" si="17"/>
        <v>25</v>
      </c>
      <c r="DA8" t="s">
        <v>1528</v>
      </c>
      <c r="DB8" t="s">
        <v>1529</v>
      </c>
      <c r="DC8">
        <v>18.652810573577881</v>
      </c>
      <c r="DD8">
        <v>159</v>
      </c>
      <c r="DE8" s="2"/>
      <c r="DF8">
        <f t="shared" si="18"/>
        <v>6</v>
      </c>
      <c r="DG8" t="s">
        <v>1530</v>
      </c>
      <c r="DH8" t="s">
        <v>1531</v>
      </c>
      <c r="DI8">
        <v>3.347373247146606</v>
      </c>
      <c r="DJ8">
        <v>129</v>
      </c>
      <c r="DK8" s="3"/>
      <c r="DL8">
        <f t="shared" si="19"/>
        <v>39</v>
      </c>
      <c r="DM8" t="s">
        <v>1532</v>
      </c>
      <c r="DN8" t="s">
        <v>1533</v>
      </c>
      <c r="DO8">
        <v>16.29661917686462</v>
      </c>
      <c r="DP8">
        <v>176</v>
      </c>
      <c r="DQ8" s="2"/>
      <c r="DR8">
        <f t="shared" si="20"/>
        <v>71</v>
      </c>
      <c r="DS8" t="s">
        <v>1534</v>
      </c>
      <c r="DT8" t="s">
        <v>1535</v>
      </c>
      <c r="DU8">
        <v>39.145262241363532</v>
      </c>
      <c r="DV8">
        <v>217</v>
      </c>
      <c r="DW8" s="3"/>
      <c r="DX8">
        <f t="shared" si="21"/>
        <v>33</v>
      </c>
      <c r="DY8" t="s">
        <v>1536</v>
      </c>
      <c r="DZ8" t="s">
        <v>1537</v>
      </c>
      <c r="EA8">
        <v>15.439911603927611</v>
      </c>
      <c r="EB8">
        <v>218</v>
      </c>
      <c r="EC8" s="2"/>
      <c r="ED8">
        <f t="shared" si="22"/>
        <v>29</v>
      </c>
      <c r="EE8" t="s">
        <v>268</v>
      </c>
      <c r="EF8" t="s">
        <v>1538</v>
      </c>
      <c r="EG8">
        <v>4.6788883209228516</v>
      </c>
      <c r="EH8">
        <v>114</v>
      </c>
      <c r="EI8" s="3"/>
      <c r="EJ8">
        <f t="shared" si="23"/>
        <v>25</v>
      </c>
      <c r="EK8" t="s">
        <v>1539</v>
      </c>
      <c r="EL8" t="s">
        <v>1540</v>
      </c>
      <c r="EM8">
        <v>12.932061433792111</v>
      </c>
      <c r="EN8">
        <v>233</v>
      </c>
      <c r="EO8" s="2"/>
      <c r="EP8">
        <f t="shared" si="24"/>
        <v>26</v>
      </c>
      <c r="EQ8" t="s">
        <v>1541</v>
      </c>
      <c r="ER8" t="s">
        <v>1542</v>
      </c>
      <c r="ES8">
        <v>11.860054016113279</v>
      </c>
      <c r="ET8">
        <v>171</v>
      </c>
      <c r="EU8" s="3"/>
      <c r="EV8">
        <f t="shared" si="25"/>
        <v>14</v>
      </c>
      <c r="EW8" t="s">
        <v>1543</v>
      </c>
      <c r="EX8" t="s">
        <v>1544</v>
      </c>
      <c r="EY8">
        <v>5.309192419052124</v>
      </c>
      <c r="EZ8">
        <v>169</v>
      </c>
      <c r="FA8" s="2"/>
      <c r="FB8">
        <f t="shared" si="26"/>
        <v>21</v>
      </c>
      <c r="FC8" t="s">
        <v>1545</v>
      </c>
      <c r="FD8" t="s">
        <v>1546</v>
      </c>
      <c r="FE8">
        <v>16.925934791564941</v>
      </c>
      <c r="FF8">
        <v>225</v>
      </c>
      <c r="FG8" s="3"/>
      <c r="FH8">
        <f t="shared" si="27"/>
        <v>34</v>
      </c>
      <c r="FI8" t="s">
        <v>1547</v>
      </c>
      <c r="FJ8" t="s">
        <v>1548</v>
      </c>
      <c r="FK8">
        <v>6.5843966007232666</v>
      </c>
      <c r="FL8">
        <v>209</v>
      </c>
      <c r="FM8" s="2"/>
      <c r="FN8">
        <f t="shared" si="28"/>
        <v>26</v>
      </c>
      <c r="FO8" t="s">
        <v>1549</v>
      </c>
      <c r="FP8" t="s">
        <v>1550</v>
      </c>
      <c r="FQ8">
        <v>10.14431929588318</v>
      </c>
      <c r="FR8">
        <v>272</v>
      </c>
      <c r="FS8" s="3"/>
      <c r="FT8">
        <f t="shared" si="29"/>
        <v>26</v>
      </c>
      <c r="FU8" t="s">
        <v>1551</v>
      </c>
      <c r="FV8" t="s">
        <v>1552</v>
      </c>
      <c r="FW8">
        <v>6.7581079006195068</v>
      </c>
      <c r="FX8">
        <v>251</v>
      </c>
      <c r="FY8" s="2"/>
      <c r="FZ8">
        <f t="shared" si="30"/>
        <v>48</v>
      </c>
      <c r="GA8" t="s">
        <v>1553</v>
      </c>
      <c r="GB8" t="s">
        <v>1554</v>
      </c>
      <c r="GC8">
        <v>22.82813668251038</v>
      </c>
      <c r="GD8">
        <v>172</v>
      </c>
      <c r="GE8" s="3"/>
      <c r="GF8">
        <f t="shared" si="31"/>
        <v>44</v>
      </c>
      <c r="GG8" t="s">
        <v>1555</v>
      </c>
      <c r="GH8" t="s">
        <v>1556</v>
      </c>
      <c r="GI8">
        <v>16.90872049331665</v>
      </c>
      <c r="GJ8">
        <v>204</v>
      </c>
      <c r="GK8" s="2"/>
      <c r="GL8">
        <f t="shared" si="32"/>
        <v>25</v>
      </c>
      <c r="GM8" t="s">
        <v>1557</v>
      </c>
      <c r="GN8" t="s">
        <v>1558</v>
      </c>
      <c r="GO8">
        <v>27.16019177436829</v>
      </c>
      <c r="GP8">
        <v>172</v>
      </c>
      <c r="GQ8" s="3"/>
      <c r="GR8">
        <f t="shared" si="33"/>
        <v>37</v>
      </c>
      <c r="GS8" t="s">
        <v>1559</v>
      </c>
      <c r="GT8" t="s">
        <v>1560</v>
      </c>
      <c r="GU8">
        <v>75.247943878173828</v>
      </c>
      <c r="GV8">
        <v>293</v>
      </c>
      <c r="GW8" s="2"/>
      <c r="GX8">
        <f t="shared" si="34"/>
        <v>29</v>
      </c>
      <c r="GY8" t="s">
        <v>46</v>
      </c>
      <c r="GZ8" t="s">
        <v>1561</v>
      </c>
      <c r="HA8">
        <v>7.9961721897125244</v>
      </c>
      <c r="HB8">
        <v>149</v>
      </c>
      <c r="HC8" s="3"/>
      <c r="HD8">
        <f t="shared" si="35"/>
        <v>37</v>
      </c>
      <c r="HE8" t="s">
        <v>1562</v>
      </c>
      <c r="HF8" t="s">
        <v>1563</v>
      </c>
      <c r="HG8">
        <v>30.747238874435421</v>
      </c>
      <c r="HH8">
        <v>168</v>
      </c>
      <c r="HI8" s="2"/>
      <c r="HJ8">
        <f t="shared" si="36"/>
        <v>36</v>
      </c>
      <c r="HK8" t="s">
        <v>1564</v>
      </c>
      <c r="HL8" t="s">
        <v>1565</v>
      </c>
      <c r="HM8">
        <v>12.28695845603943</v>
      </c>
      <c r="HN8">
        <v>169</v>
      </c>
      <c r="HO8" s="3"/>
      <c r="HP8">
        <f t="shared" si="37"/>
        <v>27</v>
      </c>
      <c r="HQ8" t="s">
        <v>1566</v>
      </c>
      <c r="HR8" t="s">
        <v>1567</v>
      </c>
      <c r="HS8">
        <v>9.0744848251342773</v>
      </c>
      <c r="HT8">
        <v>249</v>
      </c>
      <c r="HU8" s="2"/>
      <c r="HV8">
        <f t="shared" si="38"/>
        <v>28</v>
      </c>
      <c r="HW8" t="s">
        <v>66</v>
      </c>
      <c r="HX8" t="s">
        <v>1568</v>
      </c>
      <c r="HY8">
        <v>25.60639047622681</v>
      </c>
      <c r="HZ8">
        <v>213</v>
      </c>
      <c r="IA8" s="3"/>
      <c r="IB8">
        <f t="shared" si="39"/>
        <v>26</v>
      </c>
      <c r="IC8" t="s">
        <v>1569</v>
      </c>
      <c r="ID8" t="s">
        <v>1570</v>
      </c>
      <c r="IE8">
        <v>15.32084941864014</v>
      </c>
      <c r="IF8">
        <v>226</v>
      </c>
      <c r="IG8" s="2"/>
      <c r="IH8">
        <f t="shared" si="40"/>
        <v>40</v>
      </c>
      <c r="II8" t="s">
        <v>1167</v>
      </c>
      <c r="IJ8" t="s">
        <v>1571</v>
      </c>
      <c r="IK8">
        <v>22.346498727798458</v>
      </c>
      <c r="IL8">
        <v>228</v>
      </c>
      <c r="IM8" s="3"/>
      <c r="IN8">
        <f t="shared" si="41"/>
        <v>35</v>
      </c>
      <c r="IO8" t="s">
        <v>1572</v>
      </c>
      <c r="IP8" t="s">
        <v>1573</v>
      </c>
      <c r="IQ8">
        <v>20.254787921905521</v>
      </c>
      <c r="IR8">
        <v>232</v>
      </c>
      <c r="IS8" s="2"/>
      <c r="IT8">
        <f t="shared" si="42"/>
        <v>53</v>
      </c>
      <c r="IU8" t="s">
        <v>1574</v>
      </c>
      <c r="IV8" t="s">
        <v>1575</v>
      </c>
      <c r="IW8">
        <v>19.8973069190979</v>
      </c>
      <c r="IX8">
        <v>158</v>
      </c>
      <c r="IY8" s="3"/>
      <c r="IZ8">
        <f t="shared" si="43"/>
        <v>53</v>
      </c>
      <c r="JA8" t="s">
        <v>1576</v>
      </c>
      <c r="JB8" t="s">
        <v>1577</v>
      </c>
      <c r="JC8">
        <v>23.03506875038147</v>
      </c>
      <c r="JD8">
        <v>160</v>
      </c>
      <c r="JE8" s="2"/>
      <c r="JF8">
        <f t="shared" si="44"/>
        <v>45</v>
      </c>
      <c r="JG8" t="s">
        <v>1578</v>
      </c>
      <c r="JH8" t="s">
        <v>1579</v>
      </c>
      <c r="JI8">
        <v>7.3243904113769531</v>
      </c>
      <c r="JJ8">
        <v>164</v>
      </c>
      <c r="JK8" s="3"/>
      <c r="JL8">
        <f t="shared" si="45"/>
        <v>42</v>
      </c>
      <c r="JM8" t="s">
        <v>1580</v>
      </c>
      <c r="JN8" t="s">
        <v>1581</v>
      </c>
      <c r="JO8">
        <v>8.5309224128723145</v>
      </c>
      <c r="JP8">
        <v>151</v>
      </c>
      <c r="JQ8" s="2"/>
      <c r="JR8">
        <f t="shared" si="46"/>
        <v>30</v>
      </c>
      <c r="JS8" t="s">
        <v>1582</v>
      </c>
      <c r="JT8" t="s">
        <v>1583</v>
      </c>
      <c r="JU8">
        <v>51.626632452011108</v>
      </c>
      <c r="JV8">
        <v>133</v>
      </c>
      <c r="JW8" s="3"/>
      <c r="JX8">
        <f t="shared" si="47"/>
        <v>34</v>
      </c>
      <c r="JY8" t="s">
        <v>1584</v>
      </c>
      <c r="JZ8" t="s">
        <v>1585</v>
      </c>
      <c r="KA8">
        <v>14.83041024208069</v>
      </c>
      <c r="KB8">
        <v>213</v>
      </c>
      <c r="KC8" s="2"/>
      <c r="KD8">
        <f t="shared" si="48"/>
        <v>18</v>
      </c>
      <c r="KE8" t="s">
        <v>1458</v>
      </c>
      <c r="KF8" t="s">
        <v>1586</v>
      </c>
      <c r="KG8">
        <v>4.502647876739502</v>
      </c>
      <c r="KH8">
        <v>110</v>
      </c>
      <c r="KI8" s="3"/>
      <c r="KJ8">
        <f t="shared" si="49"/>
        <v>28</v>
      </c>
      <c r="KK8" t="s">
        <v>1587</v>
      </c>
      <c r="KL8" t="s">
        <v>1588</v>
      </c>
      <c r="KM8">
        <v>14.171978712081909</v>
      </c>
      <c r="KN8">
        <v>203</v>
      </c>
      <c r="KO8" s="2"/>
      <c r="KP8">
        <f t="shared" si="50"/>
        <v>51</v>
      </c>
      <c r="KQ8" t="s">
        <v>1589</v>
      </c>
      <c r="KR8" t="s">
        <v>1590</v>
      </c>
      <c r="KS8">
        <v>29.912607669830319</v>
      </c>
      <c r="KT8">
        <v>322</v>
      </c>
      <c r="KU8" s="3"/>
      <c r="KV8">
        <f t="shared" si="51"/>
        <v>35</v>
      </c>
      <c r="KW8" t="s">
        <v>1591</v>
      </c>
      <c r="KX8" t="s">
        <v>1592</v>
      </c>
      <c r="KY8">
        <v>32.731356859207153</v>
      </c>
      <c r="KZ8">
        <v>236</v>
      </c>
      <c r="LA8" s="2"/>
      <c r="LB8">
        <f t="shared" si="52"/>
        <v>16</v>
      </c>
      <c r="LC8" t="s">
        <v>1593</v>
      </c>
      <c r="LD8" t="s">
        <v>1594</v>
      </c>
      <c r="LE8">
        <v>22.16673111915588</v>
      </c>
      <c r="LF8">
        <v>174</v>
      </c>
      <c r="LG8" s="3"/>
      <c r="LH8">
        <f t="shared" si="53"/>
        <v>25</v>
      </c>
      <c r="LI8" t="s">
        <v>1595</v>
      </c>
      <c r="LJ8" t="s">
        <v>1596</v>
      </c>
      <c r="LK8">
        <v>16.657718181610111</v>
      </c>
      <c r="LL8">
        <v>272</v>
      </c>
      <c r="LM8" s="2"/>
      <c r="LN8">
        <f t="shared" si="54"/>
        <v>46</v>
      </c>
      <c r="LO8" t="s">
        <v>1597</v>
      </c>
      <c r="LP8" t="s">
        <v>1598</v>
      </c>
      <c r="LQ8">
        <v>17.71696662902832</v>
      </c>
      <c r="LR8">
        <v>193</v>
      </c>
      <c r="LS8" s="3"/>
      <c r="LT8">
        <f t="shared" si="55"/>
        <v>30</v>
      </c>
      <c r="LU8" t="s">
        <v>1599</v>
      </c>
      <c r="LV8" t="s">
        <v>1600</v>
      </c>
      <c r="LW8">
        <v>47.479508399963379</v>
      </c>
      <c r="LX8">
        <v>264</v>
      </c>
      <c r="LY8" s="2"/>
      <c r="LZ8">
        <f t="shared" si="56"/>
        <v>32</v>
      </c>
      <c r="MA8" t="s">
        <v>205</v>
      </c>
      <c r="MB8" t="s">
        <v>1601</v>
      </c>
      <c r="MC8">
        <v>16.86388802528381</v>
      </c>
      <c r="MD8">
        <v>231</v>
      </c>
      <c r="ME8" s="3"/>
      <c r="MF8">
        <f t="shared" si="57"/>
        <v>24</v>
      </c>
      <c r="MG8" t="s">
        <v>1602</v>
      </c>
      <c r="MH8" t="s">
        <v>1603</v>
      </c>
      <c r="MI8">
        <v>10.5521559715271</v>
      </c>
      <c r="MJ8">
        <v>316</v>
      </c>
      <c r="MK8" s="2"/>
      <c r="ML8">
        <f t="shared" si="58"/>
        <v>18</v>
      </c>
      <c r="MM8" t="s">
        <v>1604</v>
      </c>
      <c r="MN8" t="s">
        <v>1605</v>
      </c>
      <c r="MO8">
        <v>7.0374462604522714</v>
      </c>
      <c r="MP8">
        <v>142</v>
      </c>
      <c r="MQ8" s="3"/>
      <c r="MR8">
        <f t="shared" si="59"/>
        <v>56</v>
      </c>
      <c r="MS8" t="s">
        <v>222</v>
      </c>
      <c r="MT8" t="s">
        <v>1606</v>
      </c>
      <c r="MU8">
        <v>21.818745613098141</v>
      </c>
      <c r="MV8">
        <v>266</v>
      </c>
      <c r="MW8" s="2"/>
      <c r="MX8">
        <f t="shared" si="60"/>
        <v>28</v>
      </c>
      <c r="MY8" t="s">
        <v>1607</v>
      </c>
      <c r="MZ8" t="s">
        <v>1608</v>
      </c>
      <c r="NA8">
        <v>19.408063888549801</v>
      </c>
      <c r="NB8">
        <v>203</v>
      </c>
      <c r="NC8" s="3"/>
      <c r="ND8">
        <f t="shared" si="61"/>
        <v>29</v>
      </c>
      <c r="NE8" t="s">
        <v>1609</v>
      </c>
      <c r="NF8" t="s">
        <v>1610</v>
      </c>
      <c r="NG8">
        <v>6.6594994068145752</v>
      </c>
      <c r="NH8">
        <v>219</v>
      </c>
      <c r="NI8" s="2"/>
      <c r="NJ8">
        <f t="shared" si="62"/>
        <v>22</v>
      </c>
      <c r="NK8" t="s">
        <v>1611</v>
      </c>
      <c r="NL8" t="s">
        <v>1612</v>
      </c>
      <c r="NM8">
        <v>16.787814140319821</v>
      </c>
      <c r="NN8">
        <v>169</v>
      </c>
      <c r="NO8" s="3"/>
      <c r="NP8">
        <f t="shared" si="63"/>
        <v>12</v>
      </c>
      <c r="NQ8" t="s">
        <v>3</v>
      </c>
      <c r="NR8" t="s">
        <v>1613</v>
      </c>
      <c r="NS8">
        <v>2.7041985988616939</v>
      </c>
      <c r="NT8">
        <v>141</v>
      </c>
      <c r="NU8" s="2"/>
      <c r="NV8">
        <f t="shared" si="64"/>
        <v>30</v>
      </c>
      <c r="NW8" t="s">
        <v>1614</v>
      </c>
      <c r="NX8" t="s">
        <v>1615</v>
      </c>
      <c r="NY8">
        <v>23.414027690887451</v>
      </c>
      <c r="NZ8">
        <v>152</v>
      </c>
      <c r="OA8" s="3"/>
      <c r="OB8">
        <f t="shared" si="65"/>
        <v>24</v>
      </c>
      <c r="OC8" t="s">
        <v>1616</v>
      </c>
      <c r="OD8" t="s">
        <v>1617</v>
      </c>
      <c r="OE8">
        <v>11.39250874519348</v>
      </c>
      <c r="OF8">
        <v>235</v>
      </c>
      <c r="OG8" s="2"/>
      <c r="OH8">
        <f t="shared" si="66"/>
        <v>26</v>
      </c>
      <c r="OI8" t="s">
        <v>1618</v>
      </c>
      <c r="OJ8" t="s">
        <v>1619</v>
      </c>
      <c r="OK8">
        <v>16.615614652633671</v>
      </c>
      <c r="OL8">
        <v>169</v>
      </c>
      <c r="OM8" s="3"/>
      <c r="ON8">
        <f t="shared" si="67"/>
        <v>25</v>
      </c>
      <c r="OO8" t="s">
        <v>1620</v>
      </c>
      <c r="OP8" t="s">
        <v>1621</v>
      </c>
      <c r="OQ8">
        <v>12.302618265151979</v>
      </c>
      <c r="OR8">
        <v>267</v>
      </c>
      <c r="OS8" s="2"/>
      <c r="OT8">
        <f t="shared" si="68"/>
        <v>54</v>
      </c>
      <c r="OU8" t="s">
        <v>1622</v>
      </c>
      <c r="OV8" t="s">
        <v>1623</v>
      </c>
      <c r="OW8">
        <v>30.62150502204895</v>
      </c>
      <c r="OX8">
        <v>221</v>
      </c>
      <c r="OY8" s="3"/>
      <c r="OZ8">
        <f t="shared" si="69"/>
        <v>29</v>
      </c>
      <c r="PA8" t="s">
        <v>1624</v>
      </c>
      <c r="PB8" t="s">
        <v>1625</v>
      </c>
      <c r="PC8">
        <v>17.137306690216061</v>
      </c>
      <c r="PD8">
        <v>250</v>
      </c>
      <c r="PE8" s="2"/>
      <c r="PF8">
        <f t="shared" si="70"/>
        <v>28</v>
      </c>
      <c r="PG8" t="s">
        <v>1626</v>
      </c>
      <c r="PH8" t="s">
        <v>1627</v>
      </c>
      <c r="PI8">
        <v>14.094625473022459</v>
      </c>
      <c r="PJ8">
        <v>186</v>
      </c>
      <c r="PK8" s="3"/>
      <c r="PL8">
        <f t="shared" si="71"/>
        <v>62</v>
      </c>
      <c r="PM8" t="s">
        <v>1628</v>
      </c>
      <c r="PN8" t="s">
        <v>1629</v>
      </c>
      <c r="PO8">
        <v>43.821810483932502</v>
      </c>
      <c r="PP8">
        <v>293</v>
      </c>
      <c r="PQ8" s="2"/>
      <c r="PR8">
        <f t="shared" si="72"/>
        <v>40</v>
      </c>
      <c r="PS8" t="s">
        <v>178</v>
      </c>
      <c r="PT8" t="s">
        <v>1630</v>
      </c>
      <c r="PU8">
        <v>7.3612129688262939</v>
      </c>
      <c r="PV8">
        <v>156</v>
      </c>
      <c r="PW8" s="3"/>
      <c r="PX8">
        <f t="shared" si="73"/>
        <v>47</v>
      </c>
      <c r="PY8" t="s">
        <v>1631</v>
      </c>
      <c r="PZ8" t="s">
        <v>1632</v>
      </c>
      <c r="QA8">
        <v>10.33257436752319</v>
      </c>
      <c r="QB8">
        <v>249</v>
      </c>
      <c r="QC8" s="2"/>
      <c r="QD8">
        <f t="shared" si="74"/>
        <v>29</v>
      </c>
      <c r="QE8" t="s">
        <v>458</v>
      </c>
      <c r="QF8" t="s">
        <v>1633</v>
      </c>
      <c r="QG8">
        <v>12.4852294921875</v>
      </c>
      <c r="QH8">
        <v>119</v>
      </c>
      <c r="QI8" s="3"/>
      <c r="QJ8">
        <f t="shared" si="75"/>
        <v>27</v>
      </c>
      <c r="QK8" t="s">
        <v>1634</v>
      </c>
      <c r="QL8" t="s">
        <v>1635</v>
      </c>
      <c r="QM8">
        <v>35.374444007873542</v>
      </c>
      <c r="QN8">
        <v>170</v>
      </c>
      <c r="QO8" s="2"/>
      <c r="QP8">
        <f t="shared" si="76"/>
        <v>9</v>
      </c>
      <c r="QQ8" t="s">
        <v>1636</v>
      </c>
      <c r="QR8" t="s">
        <v>1637</v>
      </c>
      <c r="QS8">
        <v>9.066565990447998</v>
      </c>
      <c r="QT8">
        <v>50</v>
      </c>
      <c r="QU8" s="3"/>
      <c r="QV8">
        <f t="shared" si="77"/>
        <v>31</v>
      </c>
      <c r="QW8" t="s">
        <v>1638</v>
      </c>
      <c r="QX8" t="s">
        <v>1639</v>
      </c>
      <c r="QY8">
        <v>3.0402333736419682</v>
      </c>
      <c r="QZ8">
        <v>99</v>
      </c>
      <c r="RA8" s="2"/>
      <c r="RB8">
        <f t="shared" si="78"/>
        <v>25</v>
      </c>
      <c r="RC8" t="s">
        <v>1640</v>
      </c>
      <c r="RD8" t="s">
        <v>1641</v>
      </c>
      <c r="RE8">
        <v>8.3695247173309326</v>
      </c>
      <c r="RF8">
        <v>158</v>
      </c>
      <c r="RG8" s="3"/>
      <c r="RH8">
        <f t="shared" si="79"/>
        <v>21</v>
      </c>
      <c r="RI8" t="s">
        <v>1642</v>
      </c>
      <c r="RJ8" t="s">
        <v>1643</v>
      </c>
      <c r="RK8">
        <v>12.559086084365839</v>
      </c>
      <c r="RL8">
        <v>111</v>
      </c>
      <c r="RM8" s="2"/>
      <c r="RN8">
        <f t="shared" si="80"/>
        <v>24</v>
      </c>
      <c r="RO8" t="s">
        <v>1644</v>
      </c>
      <c r="RP8" t="s">
        <v>1645</v>
      </c>
      <c r="RQ8">
        <v>18.15273642539978</v>
      </c>
      <c r="RR8">
        <v>192</v>
      </c>
      <c r="RS8" s="3"/>
      <c r="RT8">
        <f t="shared" si="81"/>
        <v>34</v>
      </c>
      <c r="RU8" t="s">
        <v>1646</v>
      </c>
      <c r="RV8" t="s">
        <v>1647</v>
      </c>
      <c r="RW8">
        <v>14.292715072631839</v>
      </c>
      <c r="RX8">
        <v>226</v>
      </c>
      <c r="RY8" s="2"/>
      <c r="RZ8">
        <f t="shared" si="82"/>
        <v>15</v>
      </c>
      <c r="SA8" t="s">
        <v>1648</v>
      </c>
      <c r="SB8" t="s">
        <v>1649</v>
      </c>
      <c r="SC8">
        <v>8.4821720123291016</v>
      </c>
      <c r="SD8">
        <v>119</v>
      </c>
      <c r="SE8" s="3"/>
      <c r="SF8">
        <f t="shared" si="83"/>
        <v>29</v>
      </c>
      <c r="SG8" t="s">
        <v>1650</v>
      </c>
      <c r="SH8" t="s">
        <v>1651</v>
      </c>
      <c r="SI8">
        <v>11.001111268997191</v>
      </c>
      <c r="SJ8">
        <v>205</v>
      </c>
      <c r="SK8" s="2"/>
      <c r="SL8">
        <f t="shared" si="84"/>
        <v>17</v>
      </c>
      <c r="SM8" t="s">
        <v>1652</v>
      </c>
      <c r="SN8" t="s">
        <v>1653</v>
      </c>
      <c r="SO8">
        <v>21.61873292922974</v>
      </c>
      <c r="SP8">
        <v>229</v>
      </c>
      <c r="SQ8" s="3"/>
      <c r="SR8">
        <f t="shared" si="85"/>
        <v>27</v>
      </c>
      <c r="SS8" t="s">
        <v>1654</v>
      </c>
      <c r="ST8" t="s">
        <v>1655</v>
      </c>
      <c r="SU8">
        <v>103.8623380661011</v>
      </c>
      <c r="SV8">
        <v>200</v>
      </c>
      <c r="SW8" s="4"/>
      <c r="SX8">
        <f t="shared" si="86"/>
        <v>12</v>
      </c>
      <c r="SY8" t="s">
        <v>1656</v>
      </c>
      <c r="SZ8" t="s">
        <v>1657</v>
      </c>
      <c r="TA8">
        <v>3.9547626972198491</v>
      </c>
      <c r="TB8">
        <v>212</v>
      </c>
      <c r="TC8" s="5"/>
      <c r="TD8">
        <f t="shared" si="87"/>
        <v>69</v>
      </c>
      <c r="TE8" t="s">
        <v>1658</v>
      </c>
      <c r="TF8" t="s">
        <v>1659</v>
      </c>
      <c r="TG8">
        <v>15.587559223175051</v>
      </c>
      <c r="TH8">
        <v>151</v>
      </c>
      <c r="TI8" s="2"/>
      <c r="TJ8">
        <f t="shared" si="88"/>
        <v>34</v>
      </c>
      <c r="TK8" t="s">
        <v>1660</v>
      </c>
      <c r="TL8" t="s">
        <v>1661</v>
      </c>
      <c r="TM8">
        <v>13.235812664031981</v>
      </c>
      <c r="TN8">
        <v>228</v>
      </c>
      <c r="TO8" s="5"/>
      <c r="TP8">
        <f t="shared" si="89"/>
        <v>27</v>
      </c>
      <c r="TQ8" t="s">
        <v>1644</v>
      </c>
      <c r="TR8" t="s">
        <v>1662</v>
      </c>
      <c r="TS8">
        <v>11.963798046112061</v>
      </c>
      <c r="TT8">
        <v>194</v>
      </c>
      <c r="TU8" s="2"/>
      <c r="TV8">
        <f t="shared" si="90"/>
        <v>34</v>
      </c>
      <c r="TW8" t="s">
        <v>1663</v>
      </c>
      <c r="TX8" t="s">
        <v>1664</v>
      </c>
      <c r="TY8">
        <v>11.60899877548218</v>
      </c>
      <c r="TZ8">
        <v>152</v>
      </c>
      <c r="UA8" s="5"/>
      <c r="UB8">
        <f t="shared" si="91"/>
        <v>52</v>
      </c>
      <c r="UC8" t="s">
        <v>1665</v>
      </c>
      <c r="UD8" t="s">
        <v>1666</v>
      </c>
      <c r="UE8">
        <v>203.66844153404239</v>
      </c>
      <c r="UF8">
        <v>181</v>
      </c>
      <c r="UG8" s="2"/>
      <c r="UH8">
        <f t="shared" si="92"/>
        <v>53</v>
      </c>
      <c r="UI8" t="s">
        <v>1667</v>
      </c>
      <c r="UJ8" t="s">
        <v>1668</v>
      </c>
      <c r="UK8">
        <v>13.43454742431641</v>
      </c>
      <c r="UL8">
        <v>205</v>
      </c>
      <c r="UM8" s="5"/>
      <c r="UN8">
        <f t="shared" si="93"/>
        <v>23</v>
      </c>
      <c r="UO8" t="s">
        <v>902</v>
      </c>
      <c r="UP8" t="s">
        <v>1669</v>
      </c>
      <c r="UQ8">
        <v>16.513760566711429</v>
      </c>
      <c r="UR8">
        <v>251</v>
      </c>
      <c r="US8" s="2"/>
      <c r="UT8">
        <f t="shared" si="94"/>
        <v>38</v>
      </c>
      <c r="UU8" t="s">
        <v>1670</v>
      </c>
      <c r="UV8" t="s">
        <v>1671</v>
      </c>
      <c r="UW8">
        <v>29.197699308395389</v>
      </c>
      <c r="UX8">
        <v>240</v>
      </c>
      <c r="UY8" s="5"/>
      <c r="UZ8">
        <f t="shared" si="95"/>
        <v>21</v>
      </c>
      <c r="VA8" t="s">
        <v>1672</v>
      </c>
      <c r="VB8" t="s">
        <v>1673</v>
      </c>
      <c r="VC8">
        <v>23.709849834442139</v>
      </c>
      <c r="VD8">
        <v>294</v>
      </c>
      <c r="VE8" s="2"/>
      <c r="VF8">
        <f t="shared" si="96"/>
        <v>34</v>
      </c>
      <c r="VG8" t="s">
        <v>1674</v>
      </c>
      <c r="VH8" t="s">
        <v>1675</v>
      </c>
      <c r="VI8">
        <v>13.52057909965515</v>
      </c>
      <c r="VJ8">
        <v>198</v>
      </c>
      <c r="VK8" s="5"/>
      <c r="VL8">
        <f t="shared" si="97"/>
        <v>42</v>
      </c>
      <c r="VM8" t="s">
        <v>1676</v>
      </c>
      <c r="VN8" t="s">
        <v>1677</v>
      </c>
      <c r="VO8">
        <v>18.50361180305481</v>
      </c>
      <c r="VP8">
        <v>160</v>
      </c>
      <c r="VQ8" s="2"/>
      <c r="VR8">
        <f t="shared" si="98"/>
        <v>17</v>
      </c>
      <c r="VS8" t="s">
        <v>1678</v>
      </c>
      <c r="VT8" t="s">
        <v>1679</v>
      </c>
      <c r="VU8">
        <v>5.4852602481842041</v>
      </c>
      <c r="VV8">
        <v>218</v>
      </c>
      <c r="VW8" s="5"/>
      <c r="VX8">
        <f t="shared" si="99"/>
        <v>23</v>
      </c>
      <c r="VY8" t="s">
        <v>1680</v>
      </c>
      <c r="VZ8" t="s">
        <v>1681</v>
      </c>
      <c r="WA8">
        <v>242.24306654930109</v>
      </c>
      <c r="WB8">
        <v>200</v>
      </c>
      <c r="WC8" s="2"/>
      <c r="WD8">
        <f t="shared" si="100"/>
        <v>80</v>
      </c>
      <c r="WE8" t="s">
        <v>1682</v>
      </c>
      <c r="WF8" t="s">
        <v>1683</v>
      </c>
      <c r="WG8">
        <v>27.721377372741699</v>
      </c>
      <c r="WH8">
        <v>208</v>
      </c>
      <c r="WI8" s="5"/>
      <c r="WJ8">
        <f t="shared" si="101"/>
        <v>25</v>
      </c>
      <c r="WK8" t="s">
        <v>1684</v>
      </c>
      <c r="WL8" t="s">
        <v>1685</v>
      </c>
      <c r="WM8">
        <v>7.1192772388458252</v>
      </c>
      <c r="WN8">
        <v>234</v>
      </c>
      <c r="WO8" s="2"/>
      <c r="WP8">
        <f t="shared" si="102"/>
        <v>24</v>
      </c>
      <c r="WQ8" t="s">
        <v>1686</v>
      </c>
      <c r="WR8" t="s">
        <v>1687</v>
      </c>
      <c r="WS8">
        <v>5.3211393356323242</v>
      </c>
      <c r="WT8">
        <v>143</v>
      </c>
      <c r="WU8" s="5"/>
      <c r="WV8">
        <f t="shared" si="103"/>
        <v>20</v>
      </c>
      <c r="WW8" t="s">
        <v>1688</v>
      </c>
      <c r="WX8" t="s">
        <v>1689</v>
      </c>
      <c r="WY8">
        <v>8.1892905235290527</v>
      </c>
      <c r="WZ8">
        <v>124</v>
      </c>
      <c r="XA8" s="2"/>
      <c r="XB8">
        <f t="shared" si="104"/>
        <v>20</v>
      </c>
      <c r="XC8" t="s">
        <v>1690</v>
      </c>
      <c r="XD8" t="s">
        <v>1691</v>
      </c>
      <c r="XE8">
        <v>6.7050313949584961</v>
      </c>
      <c r="XF8">
        <v>197</v>
      </c>
      <c r="XG8" s="5"/>
      <c r="XH8">
        <f t="shared" si="105"/>
        <v>28</v>
      </c>
      <c r="XI8" t="s">
        <v>1692</v>
      </c>
      <c r="XJ8" t="s">
        <v>1693</v>
      </c>
      <c r="XK8">
        <v>12.345492839813231</v>
      </c>
      <c r="XL8">
        <v>246</v>
      </c>
      <c r="XM8" s="2"/>
      <c r="XN8">
        <f t="shared" si="106"/>
        <v>33</v>
      </c>
      <c r="XO8" t="s">
        <v>1694</v>
      </c>
      <c r="XP8" t="s">
        <v>1695</v>
      </c>
      <c r="XQ8">
        <v>25.760331392288212</v>
      </c>
      <c r="XR8">
        <v>207</v>
      </c>
      <c r="XS8" s="5"/>
      <c r="XT8">
        <f t="shared" si="107"/>
        <v>26</v>
      </c>
      <c r="XU8" t="s">
        <v>1696</v>
      </c>
      <c r="XV8" t="s">
        <v>1697</v>
      </c>
      <c r="XW8">
        <v>20.777368068695068</v>
      </c>
      <c r="XX8">
        <v>354</v>
      </c>
      <c r="XY8" s="2"/>
      <c r="XZ8">
        <f t="shared" si="108"/>
        <v>22</v>
      </c>
      <c r="YA8" t="s">
        <v>1698</v>
      </c>
      <c r="YB8" t="s">
        <v>1699</v>
      </c>
      <c r="YC8">
        <v>15.969405651092529</v>
      </c>
      <c r="YD8">
        <v>140</v>
      </c>
      <c r="YE8" s="5"/>
      <c r="YF8">
        <f t="shared" si="109"/>
        <v>18</v>
      </c>
      <c r="YG8" t="s">
        <v>1700</v>
      </c>
      <c r="YH8" t="s">
        <v>1701</v>
      </c>
      <c r="YI8">
        <v>8.2577438354492188</v>
      </c>
      <c r="YJ8">
        <v>136</v>
      </c>
      <c r="YK8" s="2"/>
      <c r="YL8">
        <f t="shared" si="110"/>
        <v>41</v>
      </c>
      <c r="YM8" t="s">
        <v>1702</v>
      </c>
      <c r="YN8" t="s">
        <v>1703</v>
      </c>
      <c r="YO8">
        <v>13.196566581726071</v>
      </c>
      <c r="YP8">
        <v>215</v>
      </c>
      <c r="YQ8" s="5"/>
      <c r="YR8">
        <f t="shared" si="111"/>
        <v>35</v>
      </c>
      <c r="YS8" t="s">
        <v>1704</v>
      </c>
      <c r="YT8" t="s">
        <v>1705</v>
      </c>
      <c r="YU8">
        <v>5.6144676208496094</v>
      </c>
      <c r="YV8">
        <v>245</v>
      </c>
      <c r="YW8" s="2"/>
      <c r="YX8">
        <f t="shared" si="112"/>
        <v>48</v>
      </c>
      <c r="YY8" t="s">
        <v>1706</v>
      </c>
      <c r="YZ8" t="s">
        <v>1707</v>
      </c>
      <c r="ZA8">
        <v>17.309261083602909</v>
      </c>
      <c r="ZB8">
        <v>254</v>
      </c>
      <c r="ZC8" s="5"/>
      <c r="ZD8">
        <f t="shared" si="113"/>
        <v>36</v>
      </c>
      <c r="ZE8" t="s">
        <v>1708</v>
      </c>
      <c r="ZF8" t="s">
        <v>1709</v>
      </c>
      <c r="ZG8">
        <v>10.08178043365479</v>
      </c>
      <c r="ZH8">
        <v>225</v>
      </c>
      <c r="ZI8" s="2"/>
      <c r="ZJ8">
        <f t="shared" si="114"/>
        <v>30</v>
      </c>
      <c r="ZK8" t="s">
        <v>1710</v>
      </c>
      <c r="ZL8" t="s">
        <v>1711</v>
      </c>
      <c r="ZM8">
        <v>40.110054731369019</v>
      </c>
      <c r="ZN8">
        <v>237</v>
      </c>
      <c r="ZO8" s="5"/>
      <c r="ZP8">
        <f t="shared" si="115"/>
        <v>39</v>
      </c>
      <c r="ZQ8" t="s">
        <v>1712</v>
      </c>
      <c r="ZR8" t="s">
        <v>1713</v>
      </c>
      <c r="ZS8">
        <v>20.73136138916016</v>
      </c>
      <c r="ZT8">
        <v>199</v>
      </c>
      <c r="ZU8" s="2"/>
      <c r="ZV8">
        <f t="shared" si="116"/>
        <v>30</v>
      </c>
      <c r="ZW8" t="s">
        <v>6</v>
      </c>
      <c r="ZX8" t="s">
        <v>1714</v>
      </c>
      <c r="ZY8">
        <v>6.7161598205566406</v>
      </c>
      <c r="ZZ8">
        <v>291</v>
      </c>
      <c r="AAA8" s="5"/>
      <c r="AAB8">
        <f t="shared" si="117"/>
        <v>17</v>
      </c>
      <c r="AAC8" t="s">
        <v>1715</v>
      </c>
      <c r="AAD8" t="s">
        <v>1716</v>
      </c>
      <c r="AAE8">
        <v>13.02425265312195</v>
      </c>
      <c r="AAF8">
        <v>179</v>
      </c>
      <c r="AAG8" s="2"/>
      <c r="AAH8">
        <f t="shared" si="118"/>
        <v>39</v>
      </c>
      <c r="AAI8" t="s">
        <v>201</v>
      </c>
      <c r="AAJ8" t="s">
        <v>1717</v>
      </c>
      <c r="AAK8">
        <v>9.4088003635406494</v>
      </c>
      <c r="AAL8">
        <v>260</v>
      </c>
      <c r="AAM8" s="5"/>
      <c r="AAN8">
        <f t="shared" si="119"/>
        <v>27</v>
      </c>
      <c r="AAO8" t="s">
        <v>928</v>
      </c>
      <c r="AAP8" t="s">
        <v>1718</v>
      </c>
      <c r="AAQ8">
        <v>51.764230251312263</v>
      </c>
      <c r="AAR8">
        <v>193</v>
      </c>
      <c r="AAS8" s="2"/>
      <c r="AAT8">
        <f t="shared" si="120"/>
        <v>22</v>
      </c>
      <c r="AAU8" t="s">
        <v>1719</v>
      </c>
      <c r="AAV8" t="s">
        <v>1720</v>
      </c>
      <c r="AAW8">
        <v>12.33135557174683</v>
      </c>
      <c r="AAX8">
        <v>216</v>
      </c>
      <c r="AAY8" s="5"/>
      <c r="AAZ8">
        <f t="shared" si="121"/>
        <v>16</v>
      </c>
      <c r="ABA8" t="s">
        <v>1721</v>
      </c>
      <c r="ABB8" t="s">
        <v>1722</v>
      </c>
      <c r="ABC8">
        <v>4.2764627933502197</v>
      </c>
      <c r="ABD8">
        <v>142</v>
      </c>
      <c r="ABE8" s="2"/>
      <c r="ABF8">
        <f t="shared" si="122"/>
        <v>54</v>
      </c>
      <c r="ABG8" t="s">
        <v>500</v>
      </c>
      <c r="ABH8" t="s">
        <v>1723</v>
      </c>
      <c r="ABI8">
        <v>9.9278311729431152</v>
      </c>
      <c r="ABJ8">
        <v>271</v>
      </c>
      <c r="ABK8" s="5"/>
      <c r="ABL8">
        <f t="shared" si="123"/>
        <v>26</v>
      </c>
      <c r="ABM8" t="s">
        <v>1724</v>
      </c>
      <c r="ABN8" t="s">
        <v>1725</v>
      </c>
      <c r="ABO8">
        <v>15.968330860137939</v>
      </c>
      <c r="ABP8">
        <v>185</v>
      </c>
      <c r="ABQ8" s="2"/>
      <c r="ABR8">
        <f t="shared" si="124"/>
        <v>50</v>
      </c>
      <c r="ABS8" t="s">
        <v>1726</v>
      </c>
      <c r="ABT8" t="s">
        <v>1727</v>
      </c>
      <c r="ABU8">
        <v>28.870510339736938</v>
      </c>
      <c r="ABV8">
        <v>200</v>
      </c>
      <c r="ABW8" s="5"/>
      <c r="ABX8">
        <f t="shared" si="125"/>
        <v>31</v>
      </c>
      <c r="ABY8" t="s">
        <v>1728</v>
      </c>
      <c r="ABZ8" t="s">
        <v>1729</v>
      </c>
      <c r="ACA8">
        <v>39.634897947311401</v>
      </c>
      <c r="ACB8">
        <v>182</v>
      </c>
      <c r="ACC8" s="2"/>
      <c r="ACD8">
        <f t="shared" si="126"/>
        <v>15</v>
      </c>
      <c r="ACE8" t="s">
        <v>1730</v>
      </c>
      <c r="ACF8" t="s">
        <v>1731</v>
      </c>
      <c r="ACG8">
        <v>5.0879414081573486</v>
      </c>
      <c r="ACH8">
        <v>143</v>
      </c>
      <c r="ACI8" s="5"/>
      <c r="ACJ8">
        <f t="shared" si="127"/>
        <v>24</v>
      </c>
      <c r="ACK8" t="s">
        <v>316</v>
      </c>
      <c r="ACL8" t="s">
        <v>1732</v>
      </c>
      <c r="ACM8">
        <v>8.1057670116424561</v>
      </c>
      <c r="ACN8">
        <v>215</v>
      </c>
      <c r="ACO8" s="2"/>
      <c r="ACP8">
        <f t="shared" si="128"/>
        <v>22</v>
      </c>
      <c r="ACQ8" t="s">
        <v>1733</v>
      </c>
      <c r="ACR8" t="s">
        <v>1734</v>
      </c>
      <c r="ACS8">
        <v>5.9645779132843018</v>
      </c>
      <c r="ACT8">
        <v>148</v>
      </c>
      <c r="ACU8" s="5"/>
      <c r="ACV8">
        <f t="shared" si="129"/>
        <v>21</v>
      </c>
      <c r="ACW8" t="s">
        <v>1735</v>
      </c>
      <c r="ACX8" t="s">
        <v>1736</v>
      </c>
      <c r="ACY8">
        <v>14.763956069946291</v>
      </c>
      <c r="ACZ8">
        <v>146</v>
      </c>
      <c r="ADA8" s="2"/>
      <c r="ADB8">
        <f t="shared" si="130"/>
        <v>44</v>
      </c>
      <c r="ADC8" t="s">
        <v>1737</v>
      </c>
      <c r="ADD8" t="s">
        <v>1738</v>
      </c>
      <c r="ADE8">
        <v>12.413833618164061</v>
      </c>
      <c r="ADF8">
        <v>177</v>
      </c>
      <c r="ADG8" s="5"/>
      <c r="ADH8">
        <f t="shared" si="131"/>
        <v>44</v>
      </c>
      <c r="ADI8" t="s">
        <v>1739</v>
      </c>
      <c r="ADJ8" t="s">
        <v>1740</v>
      </c>
      <c r="ADK8">
        <v>12.136643648147579</v>
      </c>
      <c r="ADL8">
        <v>274</v>
      </c>
      <c r="ADM8" s="2"/>
      <c r="ADN8">
        <f t="shared" si="132"/>
        <v>22</v>
      </c>
      <c r="ADO8" t="s">
        <v>1741</v>
      </c>
      <c r="ADP8" t="s">
        <v>1742</v>
      </c>
      <c r="ADQ8">
        <v>9.1235177516937256</v>
      </c>
      <c r="ADR8">
        <v>167</v>
      </c>
      <c r="ADS8" s="5"/>
      <c r="ADT8">
        <f t="shared" si="133"/>
        <v>30</v>
      </c>
      <c r="ADU8" t="s">
        <v>1743</v>
      </c>
      <c r="ADV8" t="s">
        <v>1744</v>
      </c>
      <c r="ADW8">
        <v>12.609453201293951</v>
      </c>
      <c r="ADX8">
        <v>147</v>
      </c>
      <c r="ADY8" s="2"/>
      <c r="ADZ8">
        <f t="shared" si="134"/>
        <v>28</v>
      </c>
      <c r="AEA8" t="s">
        <v>1745</v>
      </c>
      <c r="AEB8" t="s">
        <v>1746</v>
      </c>
      <c r="AEC8">
        <v>8.5105698108673096</v>
      </c>
      <c r="AED8">
        <v>285</v>
      </c>
      <c r="AEE8" s="5"/>
      <c r="AEF8">
        <f t="shared" si="135"/>
        <v>30</v>
      </c>
      <c r="AEG8" t="s">
        <v>1747</v>
      </c>
      <c r="AEH8" t="s">
        <v>1748</v>
      </c>
      <c r="AEI8">
        <v>20.508081674575809</v>
      </c>
      <c r="AEJ8">
        <v>275</v>
      </c>
      <c r="AEK8" s="2"/>
      <c r="AEL8">
        <f t="shared" si="136"/>
        <v>33</v>
      </c>
      <c r="AEM8" t="s">
        <v>1749</v>
      </c>
      <c r="AEN8" t="s">
        <v>1750</v>
      </c>
      <c r="AEO8">
        <v>19.262297868728641</v>
      </c>
      <c r="AEP8">
        <v>262</v>
      </c>
      <c r="AEQ8" s="5"/>
      <c r="AER8">
        <f t="shared" si="137"/>
        <v>26</v>
      </c>
      <c r="AES8" t="s">
        <v>161</v>
      </c>
      <c r="AET8" t="s">
        <v>1751</v>
      </c>
      <c r="AEU8">
        <v>9.6541709899902344</v>
      </c>
      <c r="AEV8">
        <v>237</v>
      </c>
      <c r="AEW8" s="2"/>
      <c r="AEX8">
        <f t="shared" si="138"/>
        <v>35</v>
      </c>
      <c r="AEY8" t="s">
        <v>1752</v>
      </c>
      <c r="AEZ8" t="s">
        <v>1753</v>
      </c>
      <c r="AFA8">
        <v>18.478443384170529</v>
      </c>
      <c r="AFB8">
        <v>254</v>
      </c>
      <c r="AFC8" s="5"/>
      <c r="AFD8">
        <f t="shared" si="139"/>
        <v>33</v>
      </c>
      <c r="AFE8" t="s">
        <v>1754</v>
      </c>
      <c r="AFF8" t="s">
        <v>1755</v>
      </c>
      <c r="AFG8">
        <v>8.1104507446289063</v>
      </c>
      <c r="AFH8">
        <v>148</v>
      </c>
      <c r="AFI8" s="2"/>
      <c r="AFJ8">
        <f t="shared" si="140"/>
        <v>29</v>
      </c>
      <c r="AFK8" t="s">
        <v>982</v>
      </c>
      <c r="AFL8" t="s">
        <v>1756</v>
      </c>
      <c r="AFM8">
        <v>2.7021679878234859</v>
      </c>
      <c r="AFN8">
        <v>120</v>
      </c>
      <c r="AFO8" s="5"/>
      <c r="AFP8">
        <f t="shared" si="141"/>
        <v>16</v>
      </c>
      <c r="AFQ8" t="s">
        <v>1672</v>
      </c>
      <c r="AFR8" t="s">
        <v>1757</v>
      </c>
      <c r="AFS8">
        <v>7.513343334197998</v>
      </c>
      <c r="AFT8">
        <v>139</v>
      </c>
      <c r="AFU8" s="2"/>
      <c r="AFV8">
        <f t="shared" si="142"/>
        <v>15</v>
      </c>
      <c r="AFW8" t="s">
        <v>1758</v>
      </c>
      <c r="AFX8" t="s">
        <v>1759</v>
      </c>
      <c r="AFY8">
        <v>4.0319347381591797</v>
      </c>
      <c r="AFZ8">
        <v>153</v>
      </c>
      <c r="AGA8" s="5"/>
      <c r="AGB8">
        <f t="shared" si="143"/>
        <v>30</v>
      </c>
      <c r="AGC8" t="s">
        <v>1760</v>
      </c>
      <c r="AGD8" t="s">
        <v>1761</v>
      </c>
      <c r="AGE8">
        <v>32.915450811386108</v>
      </c>
      <c r="AGF8">
        <v>167</v>
      </c>
      <c r="AGG8" s="2"/>
      <c r="AGH8">
        <f t="shared" si="144"/>
        <v>32</v>
      </c>
      <c r="AGI8" t="s">
        <v>1762</v>
      </c>
      <c r="AGJ8" t="s">
        <v>1763</v>
      </c>
      <c r="AGK8">
        <v>15.79924702644348</v>
      </c>
      <c r="AGL8">
        <v>295</v>
      </c>
      <c r="AGM8" s="5"/>
      <c r="AGN8">
        <f t="shared" si="145"/>
        <v>37</v>
      </c>
      <c r="AGO8" t="s">
        <v>1764</v>
      </c>
      <c r="AGP8" t="s">
        <v>1765</v>
      </c>
      <c r="AGQ8">
        <v>17.81401538848877</v>
      </c>
      <c r="AGR8">
        <v>201</v>
      </c>
      <c r="AGS8" s="2"/>
      <c r="AGT8">
        <f t="shared" si="146"/>
        <v>26</v>
      </c>
      <c r="AGU8" t="s">
        <v>1766</v>
      </c>
      <c r="AGV8" t="s">
        <v>1767</v>
      </c>
      <c r="AGW8">
        <v>13.971077442169189</v>
      </c>
      <c r="AGX8">
        <v>184</v>
      </c>
      <c r="AGY8" s="5"/>
      <c r="AGZ8">
        <f t="shared" si="147"/>
        <v>34</v>
      </c>
      <c r="AHA8" t="s">
        <v>1768</v>
      </c>
      <c r="AHB8" t="s">
        <v>1769</v>
      </c>
      <c r="AHC8">
        <v>130.07852029800421</v>
      </c>
      <c r="AHD8">
        <v>249</v>
      </c>
      <c r="AHE8" s="2"/>
      <c r="AHF8">
        <f t="shared" si="148"/>
        <v>24</v>
      </c>
      <c r="AHG8" t="s">
        <v>1770</v>
      </c>
      <c r="AHH8" t="s">
        <v>1771</v>
      </c>
      <c r="AHI8">
        <v>18.062819957733151</v>
      </c>
      <c r="AHJ8">
        <v>188</v>
      </c>
      <c r="AHK8" s="5"/>
      <c r="AHL8">
        <f t="shared" si="149"/>
        <v>30</v>
      </c>
      <c r="AHM8" t="s">
        <v>1772</v>
      </c>
      <c r="AHN8" t="s">
        <v>1773</v>
      </c>
      <c r="AHO8">
        <v>11.96457576751709</v>
      </c>
      <c r="AHP8">
        <v>148</v>
      </c>
      <c r="AHQ8" s="2"/>
      <c r="AHR8">
        <f t="shared" si="150"/>
        <v>32</v>
      </c>
      <c r="AHS8" t="s">
        <v>1774</v>
      </c>
      <c r="AHT8" t="s">
        <v>1775</v>
      </c>
      <c r="AHU8">
        <v>9.6115975379943848</v>
      </c>
      <c r="AHV8">
        <v>192</v>
      </c>
      <c r="AHW8" s="5"/>
      <c r="AHX8">
        <f t="shared" si="151"/>
        <v>7</v>
      </c>
      <c r="AHY8" t="s">
        <v>800</v>
      </c>
      <c r="AHZ8" t="s">
        <v>1776</v>
      </c>
      <c r="AIA8">
        <v>3.1703751087188721</v>
      </c>
      <c r="AIB8">
        <v>99</v>
      </c>
      <c r="AIC8" s="2"/>
      <c r="AID8">
        <f t="shared" si="152"/>
        <v>26</v>
      </c>
      <c r="AIE8" t="s">
        <v>1777</v>
      </c>
      <c r="AIF8" t="s">
        <v>1778</v>
      </c>
      <c r="AIG8">
        <v>5.2407011985778809</v>
      </c>
      <c r="AIH8">
        <v>147</v>
      </c>
      <c r="AII8" s="5"/>
      <c r="AIJ8">
        <f t="shared" si="153"/>
        <v>32</v>
      </c>
      <c r="AIK8" t="s">
        <v>1779</v>
      </c>
      <c r="AIL8" t="s">
        <v>1780</v>
      </c>
      <c r="AIM8">
        <v>13.399685382843019</v>
      </c>
      <c r="AIN8">
        <v>133</v>
      </c>
      <c r="AIO8" s="2"/>
      <c r="AIP8">
        <f t="shared" si="154"/>
        <v>22</v>
      </c>
      <c r="AIQ8" t="s">
        <v>1781</v>
      </c>
      <c r="AIR8" t="s">
        <v>1782</v>
      </c>
      <c r="AIS8">
        <v>8.0222010612487793</v>
      </c>
      <c r="AIT8">
        <v>177</v>
      </c>
      <c r="AIU8" s="5"/>
      <c r="AIV8">
        <f t="shared" si="155"/>
        <v>60</v>
      </c>
      <c r="AIW8" t="s">
        <v>1783</v>
      </c>
      <c r="AIX8" t="s">
        <v>1784</v>
      </c>
      <c r="AIY8">
        <v>8.4209263324737549</v>
      </c>
      <c r="AIZ8">
        <v>216</v>
      </c>
      <c r="AJA8" s="2"/>
      <c r="AJB8">
        <f t="shared" si="156"/>
        <v>39</v>
      </c>
      <c r="AJC8" t="s">
        <v>1785</v>
      </c>
      <c r="AJD8" t="s">
        <v>1786</v>
      </c>
      <c r="AJE8">
        <v>25.406229496002201</v>
      </c>
      <c r="AJF8">
        <v>321</v>
      </c>
      <c r="AJG8" s="5"/>
      <c r="AJH8">
        <f t="shared" si="157"/>
        <v>30</v>
      </c>
      <c r="AJI8" t="s">
        <v>1787</v>
      </c>
      <c r="AJJ8" t="s">
        <v>1788</v>
      </c>
      <c r="AJK8">
        <v>19.57108473777771</v>
      </c>
      <c r="AJL8">
        <v>226</v>
      </c>
      <c r="AJM8" s="2"/>
      <c r="AJN8">
        <f t="shared" si="158"/>
        <v>25</v>
      </c>
      <c r="AJO8" t="s">
        <v>1789</v>
      </c>
      <c r="AJP8" t="s">
        <v>1790</v>
      </c>
      <c r="AJQ8">
        <v>12.938337802886959</v>
      </c>
      <c r="AJR8">
        <v>238</v>
      </c>
      <c r="AJS8" s="5"/>
      <c r="AJT8">
        <f t="shared" si="159"/>
        <v>36</v>
      </c>
      <c r="AJU8" t="s">
        <v>1791</v>
      </c>
      <c r="AJV8" t="s">
        <v>1792</v>
      </c>
      <c r="AJW8">
        <v>33.221402645111077</v>
      </c>
      <c r="AJX8">
        <v>266</v>
      </c>
      <c r="AJY8" s="2"/>
      <c r="AJZ8">
        <f t="shared" si="160"/>
        <v>14</v>
      </c>
      <c r="AKA8" t="s">
        <v>1793</v>
      </c>
      <c r="AKB8" t="s">
        <v>1794</v>
      </c>
      <c r="AKC8">
        <v>2.1677811145782471</v>
      </c>
      <c r="AKD8">
        <v>111</v>
      </c>
      <c r="AKE8" s="5"/>
      <c r="AKF8">
        <f t="shared" si="161"/>
        <v>43</v>
      </c>
      <c r="AKG8" t="s">
        <v>1795</v>
      </c>
      <c r="AKH8" t="s">
        <v>1796</v>
      </c>
      <c r="AKI8">
        <v>112.2953767776489</v>
      </c>
      <c r="AKJ8">
        <v>177</v>
      </c>
      <c r="AKK8" s="2"/>
      <c r="AKL8">
        <f t="shared" si="162"/>
        <v>24</v>
      </c>
      <c r="AKM8" t="s">
        <v>1797</v>
      </c>
      <c r="AKN8" t="s">
        <v>1798</v>
      </c>
      <c r="AKO8">
        <v>7.9219851493835449</v>
      </c>
      <c r="AKP8">
        <v>204</v>
      </c>
      <c r="AKQ8" s="5"/>
      <c r="AKR8">
        <f t="shared" si="163"/>
        <v>75</v>
      </c>
      <c r="AKS8" t="s">
        <v>1799</v>
      </c>
      <c r="AKT8" t="s">
        <v>1800</v>
      </c>
      <c r="AKU8">
        <v>26.408364772796631</v>
      </c>
      <c r="AKV8">
        <v>232</v>
      </c>
      <c r="AKW8" s="2"/>
      <c r="AKX8">
        <f t="shared" si="164"/>
        <v>33</v>
      </c>
      <c r="AKY8" t="s">
        <v>1801</v>
      </c>
      <c r="AKZ8" t="s">
        <v>1802</v>
      </c>
      <c r="ALA8">
        <v>11.76531410217285</v>
      </c>
      <c r="ALB8">
        <v>246</v>
      </c>
      <c r="ALC8" s="5"/>
      <c r="ALD8">
        <f t="shared" si="165"/>
        <v>27</v>
      </c>
      <c r="ALE8" t="s">
        <v>1803</v>
      </c>
      <c r="ALF8" t="s">
        <v>1804</v>
      </c>
      <c r="ALG8">
        <v>25.189345836639401</v>
      </c>
      <c r="ALH8">
        <v>280</v>
      </c>
      <c r="ALI8" s="2"/>
      <c r="ALJ8">
        <f t="shared" si="166"/>
        <v>30</v>
      </c>
      <c r="ALK8" t="s">
        <v>1805</v>
      </c>
      <c r="ALL8" t="s">
        <v>1806</v>
      </c>
      <c r="ALM8">
        <v>13.853409290313721</v>
      </c>
      <c r="ALN8">
        <v>200</v>
      </c>
      <c r="ALO8" s="5"/>
      <c r="ALP8">
        <f t="shared" si="167"/>
        <v>18</v>
      </c>
      <c r="ALQ8" t="s">
        <v>1807</v>
      </c>
      <c r="ALR8" t="s">
        <v>1808</v>
      </c>
      <c r="ALS8">
        <v>4.5123190879821777</v>
      </c>
      <c r="ALT8">
        <v>223</v>
      </c>
      <c r="ALU8" s="2"/>
      <c r="ALV8">
        <f t="shared" si="168"/>
        <v>34</v>
      </c>
      <c r="ALW8" t="s">
        <v>1299</v>
      </c>
      <c r="ALX8" t="s">
        <v>1809</v>
      </c>
      <c r="ALY8">
        <v>17.60539698600769</v>
      </c>
      <c r="ALZ8">
        <v>221</v>
      </c>
      <c r="AMA8" s="5"/>
      <c r="AMB8">
        <f t="shared" si="169"/>
        <v>26</v>
      </c>
      <c r="AMC8" t="s">
        <v>1149</v>
      </c>
      <c r="AMD8" t="s">
        <v>1810</v>
      </c>
      <c r="AME8">
        <v>7.7990348339080811</v>
      </c>
      <c r="AMF8">
        <v>166</v>
      </c>
      <c r="AMG8" s="2"/>
      <c r="AMH8">
        <f t="shared" si="170"/>
        <v>117</v>
      </c>
      <c r="AMI8" t="s">
        <v>1811</v>
      </c>
      <c r="AMJ8" t="s">
        <v>1812</v>
      </c>
      <c r="AMK8">
        <v>20.606257438659672</v>
      </c>
      <c r="AML8">
        <v>230</v>
      </c>
      <c r="AMM8" s="5"/>
      <c r="AMN8">
        <f t="shared" si="171"/>
        <v>38</v>
      </c>
      <c r="AMO8" t="s">
        <v>1813</v>
      </c>
      <c r="AMP8" t="s">
        <v>1814</v>
      </c>
      <c r="AMQ8">
        <v>16.925957679748539</v>
      </c>
      <c r="AMR8">
        <v>185</v>
      </c>
      <c r="AMS8" s="2"/>
    </row>
    <row r="9" spans="1:1033" x14ac:dyDescent="0.25">
      <c r="A9">
        <v>7</v>
      </c>
      <c r="B9">
        <f t="shared" si="0"/>
        <v>42</v>
      </c>
      <c r="C9" t="s">
        <v>1815</v>
      </c>
      <c r="D9" t="s">
        <v>1816</v>
      </c>
      <c r="E9">
        <v>27.221637964248661</v>
      </c>
      <c r="F9">
        <v>213</v>
      </c>
      <c r="G9" s="1"/>
      <c r="H9">
        <f t="shared" si="1"/>
        <v>27</v>
      </c>
      <c r="I9" t="s">
        <v>1817</v>
      </c>
      <c r="J9" t="s">
        <v>1818</v>
      </c>
      <c r="K9">
        <v>12.80584359169006</v>
      </c>
      <c r="L9">
        <v>225</v>
      </c>
      <c r="M9" s="2"/>
      <c r="N9">
        <f t="shared" si="2"/>
        <v>19</v>
      </c>
      <c r="O9" t="s">
        <v>1819</v>
      </c>
      <c r="P9" t="s">
        <v>1820</v>
      </c>
      <c r="Q9">
        <v>22.043715238571171</v>
      </c>
      <c r="R9">
        <v>216</v>
      </c>
      <c r="S9" s="1"/>
      <c r="T9">
        <f t="shared" si="3"/>
        <v>23</v>
      </c>
      <c r="U9" t="s">
        <v>1821</v>
      </c>
      <c r="V9" t="s">
        <v>1822</v>
      </c>
      <c r="W9">
        <v>12.094632148742679</v>
      </c>
      <c r="X9">
        <v>249</v>
      </c>
      <c r="Y9" s="2"/>
      <c r="Z9">
        <f t="shared" si="4"/>
        <v>28</v>
      </c>
      <c r="AA9" t="s">
        <v>1823</v>
      </c>
      <c r="AB9" t="s">
        <v>1824</v>
      </c>
      <c r="AC9">
        <v>144.5339183807373</v>
      </c>
      <c r="AD9">
        <v>241</v>
      </c>
      <c r="AE9" s="1"/>
      <c r="AF9">
        <f t="shared" si="5"/>
        <v>24</v>
      </c>
      <c r="AG9" t="s">
        <v>1825</v>
      </c>
      <c r="AH9" t="s">
        <v>1826</v>
      </c>
      <c r="AI9">
        <v>9.0513489246368408</v>
      </c>
      <c r="AJ9">
        <v>246</v>
      </c>
      <c r="AK9" s="2"/>
      <c r="AL9">
        <f t="shared" si="6"/>
        <v>22</v>
      </c>
      <c r="AM9" t="s">
        <v>1758</v>
      </c>
      <c r="AN9" t="s">
        <v>1827</v>
      </c>
      <c r="AO9">
        <v>8.3659272193908691</v>
      </c>
      <c r="AP9">
        <v>267</v>
      </c>
      <c r="AQ9" s="3"/>
      <c r="AR9">
        <f t="shared" si="7"/>
        <v>48</v>
      </c>
      <c r="AS9" t="s">
        <v>1828</v>
      </c>
      <c r="AT9" t="s">
        <v>1829</v>
      </c>
      <c r="AU9">
        <v>62.418802738189697</v>
      </c>
      <c r="AV9">
        <v>262</v>
      </c>
      <c r="AW9" s="2"/>
      <c r="AX9">
        <f t="shared" si="8"/>
        <v>28</v>
      </c>
      <c r="AY9" t="s">
        <v>1830</v>
      </c>
      <c r="AZ9" t="s">
        <v>1831</v>
      </c>
      <c r="BA9">
        <v>152.41071462631231</v>
      </c>
      <c r="BB9">
        <v>207</v>
      </c>
      <c r="BC9" s="3"/>
      <c r="BD9">
        <f t="shared" si="9"/>
        <v>46</v>
      </c>
      <c r="BE9" t="s">
        <v>989</v>
      </c>
      <c r="BF9" t="s">
        <v>1832</v>
      </c>
      <c r="BG9">
        <v>8.5076854228973389</v>
      </c>
      <c r="BH9">
        <v>282</v>
      </c>
      <c r="BI9" s="2"/>
      <c r="BJ9">
        <f t="shared" si="10"/>
        <v>48</v>
      </c>
      <c r="BK9" t="s">
        <v>1833</v>
      </c>
      <c r="BL9" t="s">
        <v>1834</v>
      </c>
      <c r="BM9">
        <v>9.1291356086730957</v>
      </c>
      <c r="BN9">
        <v>346</v>
      </c>
      <c r="BO9" s="3"/>
      <c r="BP9">
        <f t="shared" si="11"/>
        <v>23</v>
      </c>
      <c r="BQ9" t="s">
        <v>1835</v>
      </c>
      <c r="BR9" t="s">
        <v>1836</v>
      </c>
      <c r="BS9">
        <v>10.711264610290529</v>
      </c>
      <c r="BT9">
        <v>245</v>
      </c>
      <c r="BU9" s="2"/>
      <c r="BV9">
        <f t="shared" si="12"/>
        <v>31</v>
      </c>
      <c r="BW9" t="s">
        <v>1837</v>
      </c>
      <c r="BX9" t="s">
        <v>1838</v>
      </c>
      <c r="BY9">
        <v>18.00085973739624</v>
      </c>
      <c r="BZ9">
        <v>347</v>
      </c>
      <c r="CA9" s="3"/>
      <c r="CB9">
        <f t="shared" si="13"/>
        <v>39</v>
      </c>
      <c r="CC9" t="s">
        <v>1839</v>
      </c>
      <c r="CD9" t="s">
        <v>1840</v>
      </c>
      <c r="CE9">
        <v>17.931684255599979</v>
      </c>
      <c r="CF9">
        <v>230</v>
      </c>
      <c r="CG9" s="2"/>
      <c r="CH9">
        <f t="shared" si="14"/>
        <v>30</v>
      </c>
      <c r="CI9" t="s">
        <v>1841</v>
      </c>
      <c r="CJ9" t="s">
        <v>1842</v>
      </c>
      <c r="CK9">
        <v>13.771684646606451</v>
      </c>
      <c r="CL9">
        <v>171</v>
      </c>
      <c r="CM9" s="3"/>
      <c r="CN9">
        <f t="shared" si="15"/>
        <v>24</v>
      </c>
      <c r="CO9" t="s">
        <v>1179</v>
      </c>
      <c r="CP9" t="s">
        <v>1843</v>
      </c>
      <c r="CQ9">
        <v>9.0831875801086426</v>
      </c>
      <c r="CR9">
        <v>256</v>
      </c>
      <c r="CS9" s="2"/>
      <c r="CT9">
        <f t="shared" si="16"/>
        <v>37</v>
      </c>
      <c r="CU9" t="s">
        <v>500</v>
      </c>
      <c r="CV9" t="s">
        <v>1844</v>
      </c>
      <c r="CW9">
        <v>12.32199597358704</v>
      </c>
      <c r="CX9">
        <v>285</v>
      </c>
      <c r="CY9" s="3"/>
      <c r="CZ9">
        <f t="shared" si="17"/>
        <v>32</v>
      </c>
      <c r="DA9" t="s">
        <v>1845</v>
      </c>
      <c r="DB9" t="s">
        <v>1846</v>
      </c>
      <c r="DC9">
        <v>17.843136548995972</v>
      </c>
      <c r="DD9">
        <v>191</v>
      </c>
      <c r="DE9" s="2"/>
      <c r="DF9">
        <f t="shared" si="18"/>
        <v>6</v>
      </c>
      <c r="DG9" t="s">
        <v>926</v>
      </c>
      <c r="DH9" t="s">
        <v>1847</v>
      </c>
      <c r="DI9">
        <v>2.2050449848175049</v>
      </c>
      <c r="DJ9">
        <v>135</v>
      </c>
      <c r="DK9" s="3"/>
      <c r="DL9">
        <f t="shared" si="19"/>
        <v>13</v>
      </c>
      <c r="DM9" t="s">
        <v>1848</v>
      </c>
      <c r="DN9" t="s">
        <v>1849</v>
      </c>
      <c r="DO9">
        <v>3.6781678199768071</v>
      </c>
      <c r="DP9">
        <v>189</v>
      </c>
      <c r="DQ9" s="2"/>
      <c r="DR9">
        <f t="shared" si="20"/>
        <v>61</v>
      </c>
      <c r="DS9" t="s">
        <v>1850</v>
      </c>
      <c r="DT9" t="s">
        <v>1851</v>
      </c>
      <c r="DU9">
        <v>145.2174570560455</v>
      </c>
      <c r="DV9">
        <v>278</v>
      </c>
      <c r="DW9" s="3"/>
      <c r="DX9">
        <f t="shared" si="21"/>
        <v>17</v>
      </c>
      <c r="DY9" t="s">
        <v>1852</v>
      </c>
      <c r="DZ9" t="s">
        <v>1853</v>
      </c>
      <c r="EA9">
        <v>6.0936791896820068</v>
      </c>
      <c r="EB9">
        <v>235</v>
      </c>
      <c r="EC9" s="2"/>
      <c r="ED9">
        <f t="shared" si="22"/>
        <v>3</v>
      </c>
      <c r="EE9" t="s">
        <v>800</v>
      </c>
      <c r="EF9" t="s">
        <v>1854</v>
      </c>
      <c r="EG9">
        <v>3.0577411651611328</v>
      </c>
      <c r="EH9">
        <v>117</v>
      </c>
      <c r="EI9" s="3"/>
      <c r="EJ9">
        <f t="shared" si="23"/>
        <v>66</v>
      </c>
      <c r="EK9" t="s">
        <v>1855</v>
      </c>
      <c r="EL9" t="s">
        <v>1856</v>
      </c>
      <c r="EM9">
        <v>9.0117144584655762</v>
      </c>
      <c r="EN9">
        <v>299</v>
      </c>
      <c r="EO9" s="2"/>
      <c r="EP9">
        <f t="shared" si="24"/>
        <v>21</v>
      </c>
      <c r="EQ9" t="s">
        <v>1857</v>
      </c>
      <c r="ER9" t="s">
        <v>1858</v>
      </c>
      <c r="ES9">
        <v>22.183751106262211</v>
      </c>
      <c r="ET9">
        <v>192</v>
      </c>
      <c r="EU9" s="3"/>
      <c r="EV9">
        <f t="shared" si="25"/>
        <v>15</v>
      </c>
      <c r="EW9" t="s">
        <v>1859</v>
      </c>
      <c r="EX9" t="s">
        <v>1860</v>
      </c>
      <c r="EY9">
        <v>8.0349075794219971</v>
      </c>
      <c r="EZ9">
        <v>184</v>
      </c>
      <c r="FA9" s="2"/>
      <c r="FB9">
        <f t="shared" si="26"/>
        <v>30</v>
      </c>
      <c r="FC9" t="s">
        <v>1861</v>
      </c>
      <c r="FD9" t="s">
        <v>1862</v>
      </c>
      <c r="FE9">
        <v>12.88837337493896</v>
      </c>
      <c r="FF9">
        <v>255</v>
      </c>
      <c r="FG9" s="3"/>
      <c r="FH9">
        <f t="shared" si="27"/>
        <v>94</v>
      </c>
      <c r="FI9" t="s">
        <v>1863</v>
      </c>
      <c r="FJ9" t="s">
        <v>1864</v>
      </c>
      <c r="FK9">
        <v>34.967006206512451</v>
      </c>
      <c r="FL9">
        <v>303</v>
      </c>
      <c r="FM9" s="2"/>
      <c r="FN9">
        <f t="shared" si="28"/>
        <v>36</v>
      </c>
      <c r="FO9" t="s">
        <v>1865</v>
      </c>
      <c r="FP9" t="s">
        <v>1866</v>
      </c>
      <c r="FQ9">
        <v>14.74204993247986</v>
      </c>
      <c r="FR9">
        <v>308</v>
      </c>
      <c r="FS9" s="3"/>
      <c r="FT9">
        <f t="shared" si="29"/>
        <v>40</v>
      </c>
      <c r="FU9" t="s">
        <v>1867</v>
      </c>
      <c r="FV9" t="s">
        <v>1868</v>
      </c>
      <c r="FW9">
        <v>65.360337257385254</v>
      </c>
      <c r="FX9">
        <v>291</v>
      </c>
      <c r="FY9" s="2"/>
      <c r="FZ9">
        <f t="shared" si="30"/>
        <v>32</v>
      </c>
      <c r="GA9" t="s">
        <v>1869</v>
      </c>
      <c r="GB9" t="s">
        <v>1870</v>
      </c>
      <c r="GC9">
        <v>16.930014371871948</v>
      </c>
      <c r="GD9">
        <v>204</v>
      </c>
      <c r="GE9" s="3"/>
      <c r="GF9">
        <f t="shared" si="31"/>
        <v>78</v>
      </c>
      <c r="GG9" t="s">
        <v>1871</v>
      </c>
      <c r="GH9" t="s">
        <v>1872</v>
      </c>
      <c r="GI9">
        <v>364.68114495277399</v>
      </c>
      <c r="GJ9">
        <v>282</v>
      </c>
      <c r="GK9" s="2"/>
      <c r="GL9">
        <f t="shared" si="32"/>
        <v>30</v>
      </c>
      <c r="GM9" t="s">
        <v>1873</v>
      </c>
      <c r="GN9" t="s">
        <v>1874</v>
      </c>
      <c r="GO9">
        <v>20.892748355865479</v>
      </c>
      <c r="GP9">
        <v>202</v>
      </c>
      <c r="GQ9" s="3"/>
      <c r="GR9">
        <f t="shared" si="33"/>
        <v>29</v>
      </c>
      <c r="GS9" t="s">
        <v>1322</v>
      </c>
      <c r="GT9" t="s">
        <v>1875</v>
      </c>
      <c r="GU9">
        <v>16.657276391983029</v>
      </c>
      <c r="GV9">
        <v>322</v>
      </c>
      <c r="GW9" s="2"/>
      <c r="GX9">
        <f t="shared" si="34"/>
        <v>24</v>
      </c>
      <c r="GY9" t="s">
        <v>916</v>
      </c>
      <c r="GZ9" t="s">
        <v>1876</v>
      </c>
      <c r="HA9">
        <v>10.23697471618652</v>
      </c>
      <c r="HB9">
        <v>173</v>
      </c>
      <c r="HC9" s="3"/>
      <c r="HD9">
        <f t="shared" si="35"/>
        <v>22</v>
      </c>
      <c r="HE9" t="s">
        <v>1877</v>
      </c>
      <c r="HF9" t="s">
        <v>1878</v>
      </c>
      <c r="HG9">
        <v>11.23186087608337</v>
      </c>
      <c r="HH9">
        <v>190</v>
      </c>
      <c r="HI9" s="2"/>
      <c r="HJ9">
        <f t="shared" si="36"/>
        <v>30</v>
      </c>
      <c r="HK9" t="s">
        <v>1879</v>
      </c>
      <c r="HL9" t="s">
        <v>1880</v>
      </c>
      <c r="HM9">
        <v>12.285937547683719</v>
      </c>
      <c r="HN9">
        <v>199</v>
      </c>
      <c r="HO9" s="3"/>
      <c r="HP9">
        <f t="shared" si="37"/>
        <v>18</v>
      </c>
      <c r="HQ9" t="s">
        <v>1881</v>
      </c>
      <c r="HR9" t="s">
        <v>1882</v>
      </c>
      <c r="HS9">
        <v>8.1080162525177002</v>
      </c>
      <c r="HT9">
        <v>267</v>
      </c>
      <c r="HU9" s="2"/>
      <c r="HV9">
        <f t="shared" si="38"/>
        <v>23</v>
      </c>
      <c r="HW9" t="s">
        <v>1883</v>
      </c>
      <c r="HX9" t="s">
        <v>1884</v>
      </c>
      <c r="HY9">
        <v>28.346267700195309</v>
      </c>
      <c r="HZ9">
        <v>236</v>
      </c>
      <c r="IA9" s="3"/>
      <c r="IB9">
        <f t="shared" si="39"/>
        <v>26</v>
      </c>
      <c r="IC9" t="s">
        <v>1885</v>
      </c>
      <c r="ID9" t="s">
        <v>1886</v>
      </c>
      <c r="IE9">
        <v>9.1408078670501709</v>
      </c>
      <c r="IF9">
        <v>252</v>
      </c>
      <c r="IG9" s="2"/>
      <c r="IH9">
        <f t="shared" si="40"/>
        <v>41</v>
      </c>
      <c r="II9" t="s">
        <v>1887</v>
      </c>
      <c r="IJ9" t="s">
        <v>1888</v>
      </c>
      <c r="IK9">
        <v>23.811971664428711</v>
      </c>
      <c r="IL9">
        <v>269</v>
      </c>
      <c r="IM9" s="3"/>
      <c r="IN9">
        <f t="shared" si="41"/>
        <v>37</v>
      </c>
      <c r="IO9" t="s">
        <v>1889</v>
      </c>
      <c r="IP9" t="s">
        <v>1890</v>
      </c>
      <c r="IQ9">
        <v>26.712072849273682</v>
      </c>
      <c r="IR9">
        <v>269</v>
      </c>
      <c r="IS9" s="2"/>
      <c r="IT9">
        <f t="shared" si="42"/>
        <v>29</v>
      </c>
      <c r="IU9" t="s">
        <v>1891</v>
      </c>
      <c r="IV9" t="s">
        <v>1892</v>
      </c>
      <c r="IW9">
        <v>33.668240308761597</v>
      </c>
      <c r="IX9">
        <v>187</v>
      </c>
      <c r="IY9" s="3"/>
      <c r="IZ9">
        <f t="shared" si="43"/>
        <v>42</v>
      </c>
      <c r="JA9" t="s">
        <v>1893</v>
      </c>
      <c r="JB9" t="s">
        <v>1894</v>
      </c>
      <c r="JC9">
        <v>14.75718307495117</v>
      </c>
      <c r="JD9">
        <v>202</v>
      </c>
      <c r="JE9" s="2"/>
      <c r="JF9">
        <f t="shared" si="44"/>
        <v>25</v>
      </c>
      <c r="JG9" t="s">
        <v>1895</v>
      </c>
      <c r="JH9" t="s">
        <v>1896</v>
      </c>
      <c r="JI9">
        <v>12.52575898170471</v>
      </c>
      <c r="JJ9">
        <v>189</v>
      </c>
      <c r="JK9" s="3"/>
      <c r="JL9">
        <f t="shared" si="45"/>
        <v>44</v>
      </c>
      <c r="JM9" t="s">
        <v>1897</v>
      </c>
      <c r="JN9" t="s">
        <v>1898</v>
      </c>
      <c r="JO9">
        <v>9.1764321327209473</v>
      </c>
      <c r="JP9">
        <v>195</v>
      </c>
      <c r="JQ9" s="2"/>
      <c r="JR9">
        <f t="shared" si="46"/>
        <v>16</v>
      </c>
      <c r="JS9" t="s">
        <v>1899</v>
      </c>
      <c r="JT9" t="s">
        <v>1900</v>
      </c>
      <c r="JU9">
        <v>2.8166694641113281</v>
      </c>
      <c r="JV9">
        <v>149</v>
      </c>
      <c r="JW9" s="3"/>
      <c r="JX9">
        <f t="shared" si="47"/>
        <v>40</v>
      </c>
      <c r="JY9" t="s">
        <v>1901</v>
      </c>
      <c r="JZ9" t="s">
        <v>1902</v>
      </c>
      <c r="KA9">
        <v>11.908625841140751</v>
      </c>
      <c r="KB9">
        <v>253</v>
      </c>
      <c r="KC9" s="2"/>
      <c r="KD9">
        <f t="shared" si="48"/>
        <v>12</v>
      </c>
      <c r="KE9" t="s">
        <v>1758</v>
      </c>
      <c r="KF9" t="s">
        <v>1903</v>
      </c>
      <c r="KG9">
        <v>5.0018777847290039</v>
      </c>
      <c r="KH9">
        <v>122</v>
      </c>
      <c r="KI9" s="3"/>
      <c r="KJ9">
        <f t="shared" si="49"/>
        <v>36</v>
      </c>
      <c r="KK9" t="s">
        <v>1904</v>
      </c>
      <c r="KL9" t="s">
        <v>1905</v>
      </c>
      <c r="KM9">
        <v>10.252701759338381</v>
      </c>
      <c r="KN9">
        <v>239</v>
      </c>
      <c r="KO9" s="2"/>
      <c r="KP9">
        <f t="shared" si="50"/>
        <v>38</v>
      </c>
      <c r="KQ9" t="s">
        <v>1906</v>
      </c>
      <c r="KR9" t="s">
        <v>1907</v>
      </c>
      <c r="KS9">
        <v>27.538380146026611</v>
      </c>
      <c r="KT9">
        <v>360</v>
      </c>
      <c r="KU9" s="3"/>
      <c r="KV9">
        <f t="shared" si="51"/>
        <v>20</v>
      </c>
      <c r="KW9" t="s">
        <v>1908</v>
      </c>
      <c r="KX9" t="s">
        <v>1909</v>
      </c>
      <c r="KY9">
        <v>16.666821002960209</v>
      </c>
      <c r="KZ9">
        <v>256</v>
      </c>
      <c r="LA9" s="2"/>
      <c r="LB9">
        <f t="shared" si="52"/>
        <v>24</v>
      </c>
      <c r="LC9" t="s">
        <v>1910</v>
      </c>
      <c r="LD9" t="s">
        <v>1911</v>
      </c>
      <c r="LE9">
        <v>9.634063720703125</v>
      </c>
      <c r="LF9">
        <v>198</v>
      </c>
      <c r="LG9" s="3"/>
      <c r="LH9">
        <f t="shared" si="53"/>
        <v>20</v>
      </c>
      <c r="LI9" t="s">
        <v>1912</v>
      </c>
      <c r="LJ9" t="s">
        <v>1913</v>
      </c>
      <c r="LK9">
        <v>14.45793628692627</v>
      </c>
      <c r="LL9">
        <v>292</v>
      </c>
      <c r="LM9" s="2"/>
      <c r="LN9">
        <f t="shared" si="54"/>
        <v>29</v>
      </c>
      <c r="LO9" t="s">
        <v>1914</v>
      </c>
      <c r="LP9" t="s">
        <v>1915</v>
      </c>
      <c r="LQ9">
        <v>14.925334215164179</v>
      </c>
      <c r="LR9">
        <v>222</v>
      </c>
      <c r="LS9" s="3"/>
      <c r="LT9">
        <f t="shared" si="55"/>
        <v>36</v>
      </c>
      <c r="LU9" t="s">
        <v>11</v>
      </c>
      <c r="LV9" t="s">
        <v>1916</v>
      </c>
      <c r="LW9">
        <v>12.266387701034549</v>
      </c>
      <c r="LX9">
        <v>300</v>
      </c>
      <c r="LY9" s="2"/>
      <c r="LZ9">
        <f t="shared" si="56"/>
        <v>16</v>
      </c>
      <c r="MA9" t="s">
        <v>1917</v>
      </c>
      <c r="MB9" t="s">
        <v>1918</v>
      </c>
      <c r="MC9">
        <v>5.8026123046875</v>
      </c>
      <c r="MD9">
        <v>247</v>
      </c>
      <c r="ME9" s="3"/>
      <c r="MF9">
        <f t="shared" si="57"/>
        <v>32</v>
      </c>
      <c r="MG9" t="s">
        <v>78</v>
      </c>
      <c r="MH9" t="s">
        <v>1919</v>
      </c>
      <c r="MI9">
        <v>10.53759932518005</v>
      </c>
      <c r="MJ9">
        <v>348</v>
      </c>
      <c r="MK9" s="2"/>
      <c r="ML9">
        <f t="shared" si="58"/>
        <v>18</v>
      </c>
      <c r="MM9" t="s">
        <v>1920</v>
      </c>
      <c r="MN9" t="s">
        <v>1921</v>
      </c>
      <c r="MO9">
        <v>7.6364483833312988</v>
      </c>
      <c r="MP9">
        <v>160</v>
      </c>
      <c r="MQ9" s="3"/>
      <c r="MR9">
        <f t="shared" si="59"/>
        <v>25</v>
      </c>
      <c r="MS9" t="s">
        <v>1423</v>
      </c>
      <c r="MT9" t="s">
        <v>1922</v>
      </c>
      <c r="MU9">
        <v>12.39265823364258</v>
      </c>
      <c r="MV9">
        <v>291</v>
      </c>
      <c r="MW9" s="2"/>
      <c r="MX9">
        <f t="shared" si="60"/>
        <v>24</v>
      </c>
      <c r="MY9" t="s">
        <v>1923</v>
      </c>
      <c r="MZ9" t="s">
        <v>1924</v>
      </c>
      <c r="NA9">
        <v>13.342843532562259</v>
      </c>
      <c r="NB9">
        <v>227</v>
      </c>
      <c r="NC9" s="3"/>
      <c r="ND9">
        <f t="shared" si="61"/>
        <v>20</v>
      </c>
      <c r="NE9" t="s">
        <v>1320</v>
      </c>
      <c r="NF9" t="s">
        <v>1925</v>
      </c>
      <c r="NG9">
        <v>5.0817039012908944</v>
      </c>
      <c r="NH9">
        <v>239</v>
      </c>
      <c r="NI9" s="2"/>
      <c r="NJ9">
        <f t="shared" si="62"/>
        <v>22</v>
      </c>
      <c r="NK9" t="s">
        <v>1926</v>
      </c>
      <c r="NL9" t="s">
        <v>1927</v>
      </c>
      <c r="NM9">
        <v>107.39928865432741</v>
      </c>
      <c r="NN9">
        <v>191</v>
      </c>
      <c r="NO9" s="3"/>
      <c r="NP9">
        <f t="shared" si="63"/>
        <v>9</v>
      </c>
      <c r="NQ9" t="s">
        <v>1928</v>
      </c>
      <c r="NR9" t="s">
        <v>1929</v>
      </c>
      <c r="NS9">
        <v>3.1130869388580318</v>
      </c>
      <c r="NT9">
        <v>150</v>
      </c>
      <c r="NU9" s="2"/>
      <c r="NV9">
        <f t="shared" si="64"/>
        <v>20</v>
      </c>
      <c r="NW9" t="s">
        <v>1930</v>
      </c>
      <c r="NX9" t="s">
        <v>1931</v>
      </c>
      <c r="NY9">
        <v>12.12362861633301</v>
      </c>
      <c r="NZ9">
        <v>172</v>
      </c>
      <c r="OA9" s="3"/>
      <c r="OB9">
        <f t="shared" si="65"/>
        <v>22</v>
      </c>
      <c r="OC9" t="s">
        <v>1932</v>
      </c>
      <c r="OD9" t="s">
        <v>1933</v>
      </c>
      <c r="OE9">
        <v>7.6988425254821777</v>
      </c>
      <c r="OF9">
        <v>257</v>
      </c>
      <c r="OG9" s="2"/>
      <c r="OH9">
        <f t="shared" si="66"/>
        <v>30</v>
      </c>
      <c r="OI9" t="s">
        <v>551</v>
      </c>
      <c r="OJ9" t="s">
        <v>1934</v>
      </c>
      <c r="OK9">
        <v>8.4699182510375977</v>
      </c>
      <c r="OL9">
        <v>199</v>
      </c>
      <c r="OM9" s="3"/>
      <c r="ON9">
        <f t="shared" si="67"/>
        <v>40</v>
      </c>
      <c r="OO9" t="s">
        <v>1935</v>
      </c>
      <c r="OP9" t="s">
        <v>1936</v>
      </c>
      <c r="OQ9">
        <v>5.2913107872009277</v>
      </c>
      <c r="OR9">
        <v>307</v>
      </c>
      <c r="OS9" s="2"/>
      <c r="OT9">
        <f t="shared" si="68"/>
        <v>28</v>
      </c>
      <c r="OU9" t="s">
        <v>1937</v>
      </c>
      <c r="OV9" t="s">
        <v>1938</v>
      </c>
      <c r="OW9">
        <v>10.48347115516663</v>
      </c>
      <c r="OX9">
        <v>249</v>
      </c>
      <c r="OY9" s="3"/>
      <c r="OZ9">
        <f t="shared" si="69"/>
        <v>26</v>
      </c>
      <c r="PA9" t="s">
        <v>1939</v>
      </c>
      <c r="PB9" t="s">
        <v>1940</v>
      </c>
      <c r="PC9">
        <v>15.05011558532715</v>
      </c>
      <c r="PD9">
        <v>276</v>
      </c>
      <c r="PE9" s="2"/>
      <c r="PF9">
        <f t="shared" si="70"/>
        <v>25</v>
      </c>
      <c r="PG9" t="s">
        <v>1941</v>
      </c>
      <c r="PH9" t="s">
        <v>1942</v>
      </c>
      <c r="PI9">
        <v>10.790613412857059</v>
      </c>
      <c r="PJ9">
        <v>211</v>
      </c>
      <c r="PK9" s="3"/>
      <c r="PL9">
        <f t="shared" si="71"/>
        <v>49</v>
      </c>
      <c r="PM9" t="s">
        <v>1943</v>
      </c>
      <c r="PN9" t="s">
        <v>1944</v>
      </c>
      <c r="PO9">
        <v>19.212033033370972</v>
      </c>
      <c r="PP9">
        <v>342</v>
      </c>
      <c r="PQ9" s="2"/>
      <c r="PR9">
        <f t="shared" si="72"/>
        <v>35</v>
      </c>
      <c r="PS9" t="s">
        <v>211</v>
      </c>
      <c r="PT9" t="s">
        <v>1945</v>
      </c>
      <c r="PU9">
        <v>8.7836763858795166</v>
      </c>
      <c r="PV9">
        <v>191</v>
      </c>
      <c r="PW9" s="3"/>
      <c r="PX9">
        <f t="shared" si="73"/>
        <v>35</v>
      </c>
      <c r="PY9" t="s">
        <v>133</v>
      </c>
      <c r="PZ9" t="s">
        <v>1946</v>
      </c>
      <c r="QA9">
        <v>8.7566771507263184</v>
      </c>
      <c r="QB9">
        <v>284</v>
      </c>
      <c r="QC9" s="2"/>
      <c r="QD9">
        <f t="shared" si="74"/>
        <v>17</v>
      </c>
      <c r="QE9" t="s">
        <v>1947</v>
      </c>
      <c r="QF9" t="s">
        <v>1948</v>
      </c>
      <c r="QG9">
        <v>10.969138622283941</v>
      </c>
      <c r="QH9">
        <v>136</v>
      </c>
      <c r="QI9" s="3"/>
      <c r="QJ9">
        <f t="shared" si="75"/>
        <v>106</v>
      </c>
      <c r="QK9" t="s">
        <v>1949</v>
      </c>
      <c r="QL9" t="s">
        <v>1950</v>
      </c>
      <c r="QM9">
        <v>52.855417013168328</v>
      </c>
      <c r="QN9">
        <v>276</v>
      </c>
      <c r="QO9" s="2"/>
      <c r="QP9">
        <f t="shared" si="76"/>
        <v>45</v>
      </c>
      <c r="QQ9" t="s">
        <v>1951</v>
      </c>
      <c r="QR9" t="s">
        <v>1952</v>
      </c>
      <c r="QS9">
        <v>15.412423133850099</v>
      </c>
      <c r="QT9">
        <v>95</v>
      </c>
      <c r="QU9" s="3"/>
      <c r="QV9">
        <f t="shared" si="77"/>
        <v>36</v>
      </c>
      <c r="QW9" t="s">
        <v>1953</v>
      </c>
      <c r="QX9" t="s">
        <v>1954</v>
      </c>
      <c r="QY9">
        <v>5.1508493423461914</v>
      </c>
      <c r="QZ9">
        <v>135</v>
      </c>
      <c r="RA9" s="2"/>
      <c r="RB9">
        <f t="shared" si="78"/>
        <v>13</v>
      </c>
      <c r="RC9" t="s">
        <v>1955</v>
      </c>
      <c r="RD9" t="s">
        <v>1956</v>
      </c>
      <c r="RE9">
        <v>3.629366397857666</v>
      </c>
      <c r="RF9">
        <v>171</v>
      </c>
      <c r="RG9" s="3"/>
      <c r="RH9">
        <f t="shared" si="79"/>
        <v>18</v>
      </c>
      <c r="RI9" t="s">
        <v>1634</v>
      </c>
      <c r="RJ9" t="s">
        <v>1957</v>
      </c>
      <c r="RK9">
        <v>4.0309107303619376</v>
      </c>
      <c r="RL9">
        <v>129</v>
      </c>
      <c r="RM9" s="2"/>
      <c r="RN9">
        <f t="shared" si="80"/>
        <v>18</v>
      </c>
      <c r="RO9" t="s">
        <v>1958</v>
      </c>
      <c r="RP9" t="s">
        <v>1959</v>
      </c>
      <c r="RQ9">
        <v>7.3935918807983398</v>
      </c>
      <c r="RR9">
        <v>210</v>
      </c>
      <c r="RS9" s="3"/>
      <c r="RT9">
        <f t="shared" si="81"/>
        <v>31</v>
      </c>
      <c r="RU9" t="s">
        <v>1960</v>
      </c>
      <c r="RV9" t="s">
        <v>1961</v>
      </c>
      <c r="RW9">
        <v>11.084752082824711</v>
      </c>
      <c r="RX9">
        <v>257</v>
      </c>
      <c r="RY9" s="2"/>
      <c r="RZ9">
        <f t="shared" si="82"/>
        <v>21</v>
      </c>
      <c r="SA9" t="s">
        <v>1179</v>
      </c>
      <c r="SB9" t="s">
        <v>1962</v>
      </c>
      <c r="SC9">
        <v>7.3545379638671884</v>
      </c>
      <c r="SD9">
        <v>140</v>
      </c>
      <c r="SE9" s="3"/>
      <c r="SF9">
        <f t="shared" si="83"/>
        <v>28</v>
      </c>
      <c r="SG9" t="s">
        <v>1963</v>
      </c>
      <c r="SH9" t="s">
        <v>1964</v>
      </c>
      <c r="SI9">
        <v>11.06747269630432</v>
      </c>
      <c r="SJ9">
        <v>233</v>
      </c>
      <c r="SK9" s="2"/>
      <c r="SL9">
        <f t="shared" si="84"/>
        <v>18</v>
      </c>
      <c r="SM9" t="s">
        <v>1965</v>
      </c>
      <c r="SN9" t="s">
        <v>1966</v>
      </c>
      <c r="SO9">
        <v>11.336490631103519</v>
      </c>
      <c r="SP9">
        <v>247</v>
      </c>
      <c r="SQ9" s="3"/>
      <c r="SR9">
        <f t="shared" si="85"/>
        <v>28</v>
      </c>
      <c r="SS9" t="s">
        <v>1967</v>
      </c>
      <c r="ST9" t="s">
        <v>1968</v>
      </c>
      <c r="SU9">
        <v>9.1082620620727539</v>
      </c>
      <c r="SV9">
        <v>228</v>
      </c>
      <c r="SW9" s="4"/>
      <c r="SX9">
        <f t="shared" si="86"/>
        <v>72</v>
      </c>
      <c r="SY9" t="s">
        <v>1969</v>
      </c>
      <c r="SZ9" t="s">
        <v>1970</v>
      </c>
      <c r="TA9">
        <v>48.524062395095832</v>
      </c>
      <c r="TB9">
        <v>284</v>
      </c>
      <c r="TC9" s="5"/>
      <c r="TD9">
        <f t="shared" si="87"/>
        <v>32</v>
      </c>
      <c r="TE9" t="s">
        <v>1971</v>
      </c>
      <c r="TF9" t="s">
        <v>1972</v>
      </c>
      <c r="TG9">
        <v>17.722389459609989</v>
      </c>
      <c r="TH9">
        <v>183</v>
      </c>
      <c r="TI9" s="2"/>
      <c r="TJ9">
        <f t="shared" si="88"/>
        <v>28</v>
      </c>
      <c r="TK9" t="s">
        <v>1246</v>
      </c>
      <c r="TL9" t="s">
        <v>1973</v>
      </c>
      <c r="TM9">
        <v>15.970228910446171</v>
      </c>
      <c r="TN9">
        <v>256</v>
      </c>
      <c r="TO9" s="5"/>
      <c r="TP9">
        <f t="shared" si="89"/>
        <v>60</v>
      </c>
      <c r="TQ9" t="s">
        <v>1974</v>
      </c>
      <c r="TR9" t="s">
        <v>1975</v>
      </c>
      <c r="TS9">
        <v>188.06061410903931</v>
      </c>
      <c r="TT9">
        <v>254</v>
      </c>
      <c r="TU9" s="2"/>
      <c r="TV9">
        <f t="shared" si="90"/>
        <v>40</v>
      </c>
      <c r="TW9" t="s">
        <v>1976</v>
      </c>
      <c r="TX9" t="s">
        <v>1977</v>
      </c>
      <c r="TY9">
        <v>104.91357755661009</v>
      </c>
      <c r="TZ9">
        <v>192</v>
      </c>
      <c r="UA9" s="5"/>
      <c r="UB9">
        <f t="shared" si="91"/>
        <v>39</v>
      </c>
      <c r="UC9" t="s">
        <v>1978</v>
      </c>
      <c r="UD9" t="s">
        <v>1979</v>
      </c>
      <c r="UE9">
        <v>16.567928314208981</v>
      </c>
      <c r="UF9">
        <v>220</v>
      </c>
      <c r="UG9" s="2"/>
      <c r="UH9">
        <f t="shared" si="92"/>
        <v>30</v>
      </c>
      <c r="UI9" t="s">
        <v>1980</v>
      </c>
      <c r="UJ9" t="s">
        <v>1981</v>
      </c>
      <c r="UK9">
        <v>16.753118753433231</v>
      </c>
      <c r="UL9">
        <v>235</v>
      </c>
      <c r="UM9" s="5"/>
      <c r="UN9">
        <f t="shared" si="93"/>
        <v>44</v>
      </c>
      <c r="UO9" t="s">
        <v>1982</v>
      </c>
      <c r="UP9" t="s">
        <v>1983</v>
      </c>
      <c r="UQ9">
        <v>29.0308244228363</v>
      </c>
      <c r="UR9">
        <v>295</v>
      </c>
      <c r="US9" s="2"/>
      <c r="UT9">
        <f t="shared" si="94"/>
        <v>44</v>
      </c>
      <c r="UU9" t="s">
        <v>1984</v>
      </c>
      <c r="UV9" t="s">
        <v>1985</v>
      </c>
      <c r="UW9">
        <v>22.924417018890381</v>
      </c>
      <c r="UX9">
        <v>284</v>
      </c>
      <c r="UY9" s="5"/>
      <c r="UZ9">
        <f t="shared" si="95"/>
        <v>52</v>
      </c>
      <c r="VA9" t="s">
        <v>1986</v>
      </c>
      <c r="VB9" t="s">
        <v>1987</v>
      </c>
      <c r="VC9">
        <v>23.460245609283451</v>
      </c>
      <c r="VD9">
        <v>346</v>
      </c>
      <c r="VE9" s="2"/>
      <c r="VF9">
        <f t="shared" si="96"/>
        <v>27</v>
      </c>
      <c r="VG9" t="s">
        <v>16</v>
      </c>
      <c r="VH9" t="s">
        <v>1988</v>
      </c>
      <c r="VI9">
        <v>14.55691719055176</v>
      </c>
      <c r="VJ9">
        <v>225</v>
      </c>
      <c r="VK9" s="5"/>
      <c r="VL9">
        <f t="shared" si="97"/>
        <v>21</v>
      </c>
      <c r="VM9" t="s">
        <v>1989</v>
      </c>
      <c r="VN9" t="s">
        <v>1990</v>
      </c>
      <c r="VO9">
        <v>33.981914520263672</v>
      </c>
      <c r="VP9">
        <v>181</v>
      </c>
      <c r="VQ9" s="2"/>
      <c r="VR9">
        <f t="shared" si="98"/>
        <v>18</v>
      </c>
      <c r="VS9" t="s">
        <v>420</v>
      </c>
      <c r="VT9" t="s">
        <v>1991</v>
      </c>
      <c r="VU9">
        <v>5.4698343276977539</v>
      </c>
      <c r="VV9">
        <v>236</v>
      </c>
      <c r="VW9" s="5"/>
      <c r="VX9">
        <f t="shared" si="99"/>
        <v>28</v>
      </c>
      <c r="VY9" t="s">
        <v>1992</v>
      </c>
      <c r="VZ9" t="s">
        <v>1993</v>
      </c>
      <c r="WA9">
        <v>26.617312908172611</v>
      </c>
      <c r="WB9">
        <v>228</v>
      </c>
      <c r="WC9" s="2"/>
      <c r="WD9">
        <f t="shared" si="100"/>
        <v>34</v>
      </c>
      <c r="WE9" t="s">
        <v>1423</v>
      </c>
      <c r="WF9" t="s">
        <v>1994</v>
      </c>
      <c r="WG9">
        <v>22.68722772598267</v>
      </c>
      <c r="WH9">
        <v>242</v>
      </c>
      <c r="WI9" s="5"/>
      <c r="WJ9">
        <f t="shared" si="101"/>
        <v>35</v>
      </c>
      <c r="WK9" t="s">
        <v>1995</v>
      </c>
      <c r="WL9" t="s">
        <v>1996</v>
      </c>
      <c r="WM9">
        <v>88.999813318252563</v>
      </c>
      <c r="WN9">
        <v>269</v>
      </c>
      <c r="WO9" s="2"/>
      <c r="WP9">
        <f t="shared" si="102"/>
        <v>23</v>
      </c>
      <c r="WQ9" t="s">
        <v>1997</v>
      </c>
      <c r="WR9" t="s">
        <v>1998</v>
      </c>
      <c r="WS9">
        <v>5.5039417743682861</v>
      </c>
      <c r="WT9">
        <v>166</v>
      </c>
      <c r="WU9" s="5"/>
      <c r="WV9">
        <f t="shared" si="103"/>
        <v>59</v>
      </c>
      <c r="WW9" t="s">
        <v>1999</v>
      </c>
      <c r="WX9" t="s">
        <v>2000</v>
      </c>
      <c r="WY9">
        <v>42.944360971450813</v>
      </c>
      <c r="WZ9">
        <v>183</v>
      </c>
      <c r="XA9" s="2"/>
      <c r="XB9">
        <f t="shared" si="104"/>
        <v>18</v>
      </c>
      <c r="XC9" t="s">
        <v>324</v>
      </c>
      <c r="XD9" t="s">
        <v>2001</v>
      </c>
      <c r="XE9">
        <v>3.431611299514771</v>
      </c>
      <c r="XF9">
        <v>215</v>
      </c>
      <c r="XG9" s="5"/>
      <c r="XH9">
        <f t="shared" si="105"/>
        <v>29</v>
      </c>
      <c r="XI9" t="s">
        <v>412</v>
      </c>
      <c r="XJ9" t="s">
        <v>2002</v>
      </c>
      <c r="XK9">
        <v>21.075391530990601</v>
      </c>
      <c r="XL9">
        <v>275</v>
      </c>
      <c r="XM9" s="2"/>
      <c r="XN9">
        <f t="shared" si="106"/>
        <v>22</v>
      </c>
      <c r="XO9" t="s">
        <v>2003</v>
      </c>
      <c r="XP9" t="s">
        <v>2004</v>
      </c>
      <c r="XQ9">
        <v>9.4994328022003174</v>
      </c>
      <c r="XR9">
        <v>229</v>
      </c>
      <c r="XS9" s="5"/>
      <c r="XT9">
        <f t="shared" si="107"/>
        <v>31</v>
      </c>
      <c r="XU9" t="s">
        <v>592</v>
      </c>
      <c r="XV9" t="s">
        <v>2005</v>
      </c>
      <c r="XW9">
        <v>13.32943987846375</v>
      </c>
      <c r="XX9">
        <v>385</v>
      </c>
      <c r="XY9" s="2"/>
      <c r="XZ9">
        <f t="shared" si="108"/>
        <v>21</v>
      </c>
      <c r="YA9" t="s">
        <v>2006</v>
      </c>
      <c r="YB9" t="s">
        <v>2007</v>
      </c>
      <c r="YC9">
        <v>26.5126519203186</v>
      </c>
      <c r="YD9">
        <v>161</v>
      </c>
      <c r="YE9" s="5"/>
      <c r="YF9">
        <f t="shared" si="109"/>
        <v>23</v>
      </c>
      <c r="YG9" t="s">
        <v>2008</v>
      </c>
      <c r="YH9" t="s">
        <v>2009</v>
      </c>
      <c r="YI9">
        <v>10.387532711029049</v>
      </c>
      <c r="YJ9">
        <v>159</v>
      </c>
      <c r="YK9" s="2"/>
      <c r="YL9">
        <f t="shared" si="110"/>
        <v>33</v>
      </c>
      <c r="YM9" t="s">
        <v>2010</v>
      </c>
      <c r="YN9" t="s">
        <v>2011</v>
      </c>
      <c r="YO9">
        <v>8.7014436721801758</v>
      </c>
      <c r="YP9">
        <v>248</v>
      </c>
      <c r="YQ9" s="5"/>
      <c r="YR9">
        <f t="shared" si="111"/>
        <v>78</v>
      </c>
      <c r="YS9" t="s">
        <v>2012</v>
      </c>
      <c r="YT9" t="s">
        <v>2013</v>
      </c>
      <c r="YU9">
        <v>37.839744091033943</v>
      </c>
      <c r="YV9">
        <v>323</v>
      </c>
      <c r="YW9" s="2"/>
      <c r="YX9">
        <f t="shared" si="112"/>
        <v>77</v>
      </c>
      <c r="YY9" t="s">
        <v>2014</v>
      </c>
      <c r="YZ9" t="s">
        <v>2015</v>
      </c>
      <c r="ZA9">
        <v>46.439947605133057</v>
      </c>
      <c r="ZB9">
        <v>331</v>
      </c>
      <c r="ZC9" s="5"/>
      <c r="ZD9">
        <f t="shared" si="113"/>
        <v>20</v>
      </c>
      <c r="ZE9" t="s">
        <v>333</v>
      </c>
      <c r="ZF9" t="s">
        <v>2016</v>
      </c>
      <c r="ZG9">
        <v>10.297118425369259</v>
      </c>
      <c r="ZH9">
        <v>245</v>
      </c>
      <c r="ZI9" s="2"/>
      <c r="ZJ9">
        <f t="shared" si="114"/>
        <v>32</v>
      </c>
      <c r="ZK9" t="s">
        <v>384</v>
      </c>
      <c r="ZL9" t="s">
        <v>2017</v>
      </c>
      <c r="ZM9">
        <v>24.602389812469479</v>
      </c>
      <c r="ZN9">
        <v>269</v>
      </c>
      <c r="ZO9" s="5"/>
      <c r="ZP9">
        <f t="shared" si="115"/>
        <v>40</v>
      </c>
      <c r="ZQ9" t="s">
        <v>2018</v>
      </c>
      <c r="ZR9" t="s">
        <v>2019</v>
      </c>
      <c r="ZS9">
        <v>17.769325017929081</v>
      </c>
      <c r="ZT9">
        <v>239</v>
      </c>
      <c r="ZU9" s="2"/>
      <c r="ZV9">
        <f t="shared" si="116"/>
        <v>22</v>
      </c>
      <c r="ZW9" t="s">
        <v>1169</v>
      </c>
      <c r="ZX9" t="s">
        <v>2020</v>
      </c>
      <c r="ZY9">
        <v>3.6047651767730708</v>
      </c>
      <c r="ZZ9">
        <v>313</v>
      </c>
      <c r="AAA9" s="5"/>
      <c r="AAB9">
        <f t="shared" si="117"/>
        <v>72</v>
      </c>
      <c r="AAC9" t="s">
        <v>2021</v>
      </c>
      <c r="AAD9" t="s">
        <v>2022</v>
      </c>
      <c r="AAE9">
        <v>14.08686494827271</v>
      </c>
      <c r="AAF9">
        <v>251</v>
      </c>
      <c r="AAG9" s="2"/>
      <c r="AAH9">
        <f t="shared" si="118"/>
        <v>30</v>
      </c>
      <c r="AAI9" t="s">
        <v>2023</v>
      </c>
      <c r="AAJ9" t="s">
        <v>2024</v>
      </c>
      <c r="AAK9">
        <v>5.635817289352417</v>
      </c>
      <c r="AAL9">
        <v>290</v>
      </c>
      <c r="AAM9" s="5"/>
      <c r="AAN9">
        <f t="shared" si="119"/>
        <v>27</v>
      </c>
      <c r="AAO9" t="s">
        <v>1303</v>
      </c>
      <c r="AAP9" t="s">
        <v>2025</v>
      </c>
      <c r="AAQ9">
        <v>41.007014751434333</v>
      </c>
      <c r="AAR9">
        <v>220</v>
      </c>
      <c r="AAS9" s="2"/>
      <c r="AAT9">
        <f t="shared" si="120"/>
        <v>45</v>
      </c>
      <c r="AAU9" t="s">
        <v>2026</v>
      </c>
      <c r="AAV9" t="s">
        <v>2027</v>
      </c>
      <c r="AAW9">
        <v>51.5134596824646</v>
      </c>
      <c r="AAX9">
        <v>261</v>
      </c>
      <c r="AAY9" s="5"/>
      <c r="AAZ9">
        <f t="shared" si="121"/>
        <v>8</v>
      </c>
      <c r="ABA9" t="s">
        <v>916</v>
      </c>
      <c r="ABB9" t="s">
        <v>2028</v>
      </c>
      <c r="ABC9">
        <v>3.353512287139893</v>
      </c>
      <c r="ABD9">
        <v>150</v>
      </c>
      <c r="ABE9" s="2"/>
      <c r="ABF9">
        <f t="shared" si="122"/>
        <v>34</v>
      </c>
      <c r="ABG9" t="s">
        <v>2029</v>
      </c>
      <c r="ABH9" t="s">
        <v>2030</v>
      </c>
      <c r="ABI9">
        <v>127.6313169002533</v>
      </c>
      <c r="ABJ9">
        <v>305</v>
      </c>
      <c r="ABK9" s="5"/>
      <c r="ABL9">
        <f t="shared" si="123"/>
        <v>24</v>
      </c>
      <c r="ABM9" t="s">
        <v>2031</v>
      </c>
      <c r="ABN9" t="s">
        <v>2032</v>
      </c>
      <c r="ABO9">
        <v>14.321684598922729</v>
      </c>
      <c r="ABP9">
        <v>209</v>
      </c>
      <c r="ABQ9" s="2"/>
      <c r="ABR9">
        <f t="shared" si="124"/>
        <v>20</v>
      </c>
      <c r="ABS9" t="s">
        <v>551</v>
      </c>
      <c r="ABT9" t="s">
        <v>2033</v>
      </c>
      <c r="ABU9">
        <v>4.9275887012481689</v>
      </c>
      <c r="ABV9">
        <v>220</v>
      </c>
      <c r="ABW9" s="5"/>
      <c r="ABX9">
        <f t="shared" si="125"/>
        <v>47</v>
      </c>
      <c r="ABY9" t="s">
        <v>2034</v>
      </c>
      <c r="ABZ9" t="s">
        <v>2035</v>
      </c>
      <c r="ACA9">
        <v>30.425825834274288</v>
      </c>
      <c r="ACB9">
        <v>229</v>
      </c>
      <c r="ACC9" s="2"/>
      <c r="ACD9">
        <f t="shared" si="126"/>
        <v>17</v>
      </c>
      <c r="ACE9" t="s">
        <v>264</v>
      </c>
      <c r="ACF9" t="s">
        <v>2036</v>
      </c>
      <c r="ACG9">
        <v>3.057615995407104</v>
      </c>
      <c r="ACH9">
        <v>160</v>
      </c>
      <c r="ACI9" s="5"/>
      <c r="ACJ9">
        <f t="shared" si="127"/>
        <v>14</v>
      </c>
      <c r="ACK9" t="s">
        <v>2037</v>
      </c>
      <c r="ACL9" t="s">
        <v>2038</v>
      </c>
      <c r="ACM9">
        <v>8.8110277652740479</v>
      </c>
      <c r="ACN9">
        <v>229</v>
      </c>
      <c r="ACO9" s="2"/>
      <c r="ACP9">
        <f t="shared" si="128"/>
        <v>37</v>
      </c>
      <c r="ACQ9" t="s">
        <v>2039</v>
      </c>
      <c r="ACR9" t="s">
        <v>2040</v>
      </c>
      <c r="ACS9">
        <v>6.9116411209106454</v>
      </c>
      <c r="ACT9">
        <v>185</v>
      </c>
      <c r="ACU9" s="5"/>
      <c r="ACV9">
        <f t="shared" si="129"/>
        <v>31</v>
      </c>
      <c r="ACW9" t="s">
        <v>2041</v>
      </c>
      <c r="ACX9" t="s">
        <v>2042</v>
      </c>
      <c r="ACY9">
        <v>6.6106908321380624</v>
      </c>
      <c r="ACZ9">
        <v>177</v>
      </c>
      <c r="ADA9" s="2"/>
      <c r="ADB9">
        <f t="shared" si="130"/>
        <v>46</v>
      </c>
      <c r="ADC9" t="s">
        <v>2043</v>
      </c>
      <c r="ADD9" t="s">
        <v>2044</v>
      </c>
      <c r="ADE9">
        <v>26.831058025360111</v>
      </c>
      <c r="ADF9">
        <v>223</v>
      </c>
      <c r="ADG9" s="5"/>
      <c r="ADH9">
        <f t="shared" si="131"/>
        <v>34</v>
      </c>
      <c r="ADI9" t="s">
        <v>2045</v>
      </c>
      <c r="ADJ9" t="s">
        <v>2046</v>
      </c>
      <c r="ADK9">
        <v>10.75790238380432</v>
      </c>
      <c r="ADL9">
        <v>308</v>
      </c>
      <c r="ADM9" s="2"/>
      <c r="ADN9">
        <f t="shared" si="132"/>
        <v>36</v>
      </c>
      <c r="ADO9" t="s">
        <v>2047</v>
      </c>
      <c r="ADP9" t="s">
        <v>2048</v>
      </c>
      <c r="ADQ9">
        <v>190.90922784805301</v>
      </c>
      <c r="ADR9">
        <v>203</v>
      </c>
      <c r="ADS9" s="5"/>
      <c r="ADT9">
        <f t="shared" si="133"/>
        <v>70</v>
      </c>
      <c r="ADU9" t="s">
        <v>2049</v>
      </c>
      <c r="ADV9" t="s">
        <v>2050</v>
      </c>
      <c r="ADW9">
        <v>15.514952898025509</v>
      </c>
      <c r="ADX9">
        <v>217</v>
      </c>
      <c r="ADY9" s="2"/>
      <c r="ADZ9">
        <f t="shared" si="134"/>
        <v>31</v>
      </c>
      <c r="AEA9" t="s">
        <v>2051</v>
      </c>
      <c r="AEB9" t="s">
        <v>2052</v>
      </c>
      <c r="AEC9">
        <v>11.3273868560791</v>
      </c>
      <c r="AED9">
        <v>316</v>
      </c>
      <c r="AEE9" s="5"/>
      <c r="AEF9">
        <f t="shared" si="135"/>
        <v>20</v>
      </c>
      <c r="AEG9" t="s">
        <v>2053</v>
      </c>
      <c r="AEH9" t="s">
        <v>2054</v>
      </c>
      <c r="AEI9">
        <v>12.58382868766785</v>
      </c>
      <c r="AEJ9">
        <v>295</v>
      </c>
      <c r="AEK9" s="2"/>
      <c r="AEL9">
        <f t="shared" si="136"/>
        <v>24</v>
      </c>
      <c r="AEM9" t="s">
        <v>2055</v>
      </c>
      <c r="AEN9" t="s">
        <v>2056</v>
      </c>
      <c r="AEO9">
        <v>14.904052972793581</v>
      </c>
      <c r="AEP9">
        <v>286</v>
      </c>
      <c r="AEQ9" s="5"/>
      <c r="AER9">
        <f t="shared" si="137"/>
        <v>18</v>
      </c>
      <c r="AES9" t="s">
        <v>676</v>
      </c>
      <c r="AET9" t="s">
        <v>2057</v>
      </c>
      <c r="AEU9">
        <v>16.658712863922119</v>
      </c>
      <c r="AEV9">
        <v>255</v>
      </c>
      <c r="AEW9" s="2"/>
      <c r="AEX9">
        <f t="shared" si="138"/>
        <v>31</v>
      </c>
      <c r="AEY9" t="s">
        <v>1764</v>
      </c>
      <c r="AEZ9" t="s">
        <v>2058</v>
      </c>
      <c r="AFA9">
        <v>9.4583849906921387</v>
      </c>
      <c r="AFB9">
        <v>285</v>
      </c>
      <c r="AFC9" s="5"/>
      <c r="AFD9">
        <f t="shared" si="139"/>
        <v>26</v>
      </c>
      <c r="AFE9" t="s">
        <v>1336</v>
      </c>
      <c r="AFF9" t="s">
        <v>2059</v>
      </c>
      <c r="AFG9">
        <v>15.149657964706419</v>
      </c>
      <c r="AFH9">
        <v>174</v>
      </c>
      <c r="AFI9" s="2"/>
      <c r="AFJ9">
        <f t="shared" si="140"/>
        <v>39</v>
      </c>
      <c r="AFK9" t="s">
        <v>2060</v>
      </c>
      <c r="AFL9" t="s">
        <v>2061</v>
      </c>
      <c r="AFM9">
        <v>12.778201103210449</v>
      </c>
      <c r="AFN9">
        <v>159</v>
      </c>
      <c r="AFO9" s="5"/>
      <c r="AFP9">
        <f t="shared" si="141"/>
        <v>11</v>
      </c>
      <c r="AFQ9" t="s">
        <v>2062</v>
      </c>
      <c r="AFR9" t="s">
        <v>2063</v>
      </c>
      <c r="AFS9">
        <v>7.5357856750488281</v>
      </c>
      <c r="AFT9">
        <v>150</v>
      </c>
      <c r="AFU9" s="2"/>
      <c r="AFV9">
        <f t="shared" si="142"/>
        <v>19</v>
      </c>
      <c r="AFW9" t="s">
        <v>2064</v>
      </c>
      <c r="AFX9" t="s">
        <v>2065</v>
      </c>
      <c r="AFY9">
        <v>7.6514718532562256</v>
      </c>
      <c r="AFZ9">
        <v>172</v>
      </c>
      <c r="AGA9" s="5"/>
      <c r="AGB9">
        <f t="shared" si="143"/>
        <v>47</v>
      </c>
      <c r="AGC9" t="s">
        <v>2066</v>
      </c>
      <c r="AGD9" t="s">
        <v>2067</v>
      </c>
      <c r="AGE9">
        <v>19.845531225204471</v>
      </c>
      <c r="AGF9">
        <v>214</v>
      </c>
      <c r="AGG9" s="2"/>
      <c r="AGH9">
        <f t="shared" si="144"/>
        <v>33</v>
      </c>
      <c r="AGI9" t="s">
        <v>2068</v>
      </c>
      <c r="AGJ9" t="s">
        <v>2069</v>
      </c>
      <c r="AGK9">
        <v>11.03484034538269</v>
      </c>
      <c r="AGL9">
        <v>328</v>
      </c>
      <c r="AGM9" s="5"/>
      <c r="AGN9">
        <f t="shared" si="145"/>
        <v>33</v>
      </c>
      <c r="AGO9" t="s">
        <v>2070</v>
      </c>
      <c r="AGP9" t="s">
        <v>2071</v>
      </c>
      <c r="AGQ9">
        <v>15.91071486473083</v>
      </c>
      <c r="AGR9">
        <v>234</v>
      </c>
      <c r="AGS9" s="2"/>
      <c r="AGT9">
        <f t="shared" si="146"/>
        <v>28</v>
      </c>
      <c r="AGU9" t="s">
        <v>2072</v>
      </c>
      <c r="AGV9" t="s">
        <v>2073</v>
      </c>
      <c r="AGW9">
        <v>37.653760433197021</v>
      </c>
      <c r="AGX9">
        <v>212</v>
      </c>
      <c r="AGY9" s="5"/>
      <c r="AGZ9">
        <f t="shared" si="147"/>
        <v>31</v>
      </c>
      <c r="AHA9" t="s">
        <v>2074</v>
      </c>
      <c r="AHB9" t="s">
        <v>2075</v>
      </c>
      <c r="AHC9">
        <v>35.833343029022217</v>
      </c>
      <c r="AHD9">
        <v>280</v>
      </c>
      <c r="AHE9" s="2"/>
      <c r="AHF9">
        <f t="shared" si="148"/>
        <v>29</v>
      </c>
      <c r="AHG9" t="s">
        <v>1618</v>
      </c>
      <c r="AHH9" t="s">
        <v>2076</v>
      </c>
      <c r="AHI9">
        <v>15.80453038215637</v>
      </c>
      <c r="AHJ9">
        <v>217</v>
      </c>
      <c r="AHK9" s="5"/>
      <c r="AHL9">
        <f t="shared" si="149"/>
        <v>49</v>
      </c>
      <c r="AHM9" t="s">
        <v>551</v>
      </c>
      <c r="AHN9" t="s">
        <v>2077</v>
      </c>
      <c r="AHO9">
        <v>9.8649590015411377</v>
      </c>
      <c r="AHP9">
        <v>197</v>
      </c>
      <c r="AHQ9" s="2"/>
      <c r="AHR9">
        <f t="shared" si="150"/>
        <v>26</v>
      </c>
      <c r="AHS9" t="s">
        <v>2078</v>
      </c>
      <c r="AHT9" t="s">
        <v>2079</v>
      </c>
      <c r="AHU9">
        <v>13.53502130508423</v>
      </c>
      <c r="AHV9">
        <v>218</v>
      </c>
      <c r="AHW9" s="5"/>
      <c r="AHX9">
        <f t="shared" si="151"/>
        <v>7</v>
      </c>
      <c r="AHY9" t="s">
        <v>1423</v>
      </c>
      <c r="AHZ9" t="s">
        <v>2080</v>
      </c>
      <c r="AIA9">
        <v>3.5759387016296391</v>
      </c>
      <c r="AIB9">
        <v>106</v>
      </c>
      <c r="AIC9" s="2"/>
      <c r="AID9">
        <f t="shared" si="152"/>
        <v>38</v>
      </c>
      <c r="AIE9" t="s">
        <v>2081</v>
      </c>
      <c r="AIF9" t="s">
        <v>2082</v>
      </c>
      <c r="AIG9">
        <v>109.3928043842316</v>
      </c>
      <c r="AIH9">
        <v>185</v>
      </c>
      <c r="AII9" s="5"/>
      <c r="AIJ9">
        <f t="shared" si="153"/>
        <v>37</v>
      </c>
      <c r="AIK9" t="s">
        <v>2083</v>
      </c>
      <c r="AIL9" t="s">
        <v>2084</v>
      </c>
      <c r="AIM9">
        <v>22.364636182785031</v>
      </c>
      <c r="AIN9">
        <v>170</v>
      </c>
      <c r="AIO9" s="2"/>
      <c r="AIP9">
        <f t="shared" si="154"/>
        <v>29</v>
      </c>
      <c r="AIQ9" t="s">
        <v>2085</v>
      </c>
      <c r="AIR9" t="s">
        <v>2086</v>
      </c>
      <c r="AIS9">
        <v>28.72426605224609</v>
      </c>
      <c r="AIT9">
        <v>206</v>
      </c>
      <c r="AIU9" s="5"/>
      <c r="AIV9">
        <f t="shared" si="155"/>
        <v>24</v>
      </c>
      <c r="AIW9" t="s">
        <v>2087</v>
      </c>
      <c r="AIX9" t="s">
        <v>2088</v>
      </c>
      <c r="AIY9">
        <v>14.35596823692322</v>
      </c>
      <c r="AIZ9">
        <v>240</v>
      </c>
      <c r="AJA9" s="2"/>
      <c r="AJB9">
        <f t="shared" si="156"/>
        <v>68</v>
      </c>
      <c r="AJC9" t="s">
        <v>2089</v>
      </c>
      <c r="AJD9" t="s">
        <v>2090</v>
      </c>
      <c r="AJE9">
        <v>37.524670600891113</v>
      </c>
      <c r="AJF9">
        <v>389</v>
      </c>
      <c r="AJG9" s="5"/>
      <c r="AJH9">
        <f t="shared" si="157"/>
        <v>42</v>
      </c>
      <c r="AJI9" t="s">
        <v>2091</v>
      </c>
      <c r="AJJ9" t="s">
        <v>2092</v>
      </c>
      <c r="AJK9">
        <v>17.506648302078251</v>
      </c>
      <c r="AJL9">
        <v>268</v>
      </c>
      <c r="AJM9" s="2"/>
      <c r="AJN9">
        <f t="shared" si="158"/>
        <v>39</v>
      </c>
      <c r="AJO9" t="s">
        <v>586</v>
      </c>
      <c r="AJP9" t="s">
        <v>2093</v>
      </c>
      <c r="AJQ9">
        <v>13.99366402626038</v>
      </c>
      <c r="AJR9">
        <v>277</v>
      </c>
      <c r="AJS9" s="5"/>
      <c r="AJT9">
        <f t="shared" si="159"/>
        <v>32</v>
      </c>
      <c r="AJU9" t="s">
        <v>1901</v>
      </c>
      <c r="AJV9" t="s">
        <v>2094</v>
      </c>
      <c r="AJW9">
        <v>41.355994462966919</v>
      </c>
      <c r="AJX9">
        <v>298</v>
      </c>
      <c r="AJY9" s="2"/>
      <c r="AJZ9">
        <f t="shared" si="160"/>
        <v>13</v>
      </c>
      <c r="AKA9" t="s">
        <v>2095</v>
      </c>
      <c r="AKB9" t="s">
        <v>2096</v>
      </c>
      <c r="AKC9">
        <v>2.5968418121337891</v>
      </c>
      <c r="AKD9">
        <v>124</v>
      </c>
      <c r="AKE9" s="5"/>
      <c r="AKF9">
        <f t="shared" si="161"/>
        <v>61</v>
      </c>
      <c r="AKG9" t="s">
        <v>2097</v>
      </c>
      <c r="AKH9" t="s">
        <v>2098</v>
      </c>
      <c r="AKI9">
        <v>44.879799127578742</v>
      </c>
      <c r="AKJ9">
        <v>238</v>
      </c>
      <c r="AKK9" s="2"/>
      <c r="AKL9">
        <f t="shared" si="162"/>
        <v>32</v>
      </c>
      <c r="AKM9" t="s">
        <v>2099</v>
      </c>
      <c r="AKN9" t="s">
        <v>2100</v>
      </c>
      <c r="AKO9">
        <v>16.878401756286621</v>
      </c>
      <c r="AKP9">
        <v>236</v>
      </c>
      <c r="AKQ9" s="5"/>
      <c r="AKR9">
        <f t="shared" si="163"/>
        <v>32</v>
      </c>
      <c r="AKS9" t="s">
        <v>657</v>
      </c>
      <c r="AKT9" t="s">
        <v>2101</v>
      </c>
      <c r="AKU9">
        <v>35.147251844406128</v>
      </c>
      <c r="AKV9">
        <v>264</v>
      </c>
      <c r="AKW9" s="2"/>
      <c r="AKX9">
        <f t="shared" si="164"/>
        <v>71</v>
      </c>
      <c r="AKY9" t="s">
        <v>2102</v>
      </c>
      <c r="AKZ9" t="s">
        <v>2103</v>
      </c>
      <c r="ALA9">
        <v>15.82716274261475</v>
      </c>
      <c r="ALB9">
        <v>317</v>
      </c>
      <c r="ALC9" s="5"/>
      <c r="ALD9">
        <f t="shared" si="165"/>
        <v>21</v>
      </c>
      <c r="ALE9" t="s">
        <v>2104</v>
      </c>
      <c r="ALF9" t="s">
        <v>2105</v>
      </c>
      <c r="ALG9">
        <v>31.239185810089111</v>
      </c>
      <c r="ALH9">
        <v>301</v>
      </c>
      <c r="ALI9" s="2"/>
      <c r="ALJ9">
        <f t="shared" si="166"/>
        <v>30</v>
      </c>
      <c r="ALK9" t="s">
        <v>1264</v>
      </c>
      <c r="ALL9" t="s">
        <v>2106</v>
      </c>
      <c r="ALM9">
        <v>6.9729080200195313</v>
      </c>
      <c r="ALN9">
        <v>230</v>
      </c>
      <c r="ALO9" s="5"/>
      <c r="ALP9">
        <f t="shared" si="167"/>
        <v>16</v>
      </c>
      <c r="ALQ9" t="s">
        <v>551</v>
      </c>
      <c r="ALR9" t="s">
        <v>2107</v>
      </c>
      <c r="ALS9">
        <v>4.324009895324707</v>
      </c>
      <c r="ALT9">
        <v>239</v>
      </c>
      <c r="ALU9" s="2"/>
      <c r="ALV9">
        <f t="shared" si="168"/>
        <v>65</v>
      </c>
      <c r="ALW9" t="s">
        <v>2108</v>
      </c>
      <c r="ALX9" t="s">
        <v>2109</v>
      </c>
      <c r="ALY9">
        <v>34.579511165618896</v>
      </c>
      <c r="ALZ9">
        <v>286</v>
      </c>
      <c r="AMA9" s="5"/>
      <c r="AMB9">
        <f t="shared" si="169"/>
        <v>25</v>
      </c>
      <c r="AMC9" t="s">
        <v>2110</v>
      </c>
      <c r="AMD9" t="s">
        <v>2111</v>
      </c>
      <c r="AME9">
        <v>19.270761489868161</v>
      </c>
      <c r="AMF9">
        <v>191</v>
      </c>
      <c r="AMG9" s="2"/>
      <c r="AMH9">
        <f t="shared" si="170"/>
        <v>49</v>
      </c>
      <c r="AMI9" t="s">
        <v>2112</v>
      </c>
      <c r="AMJ9" t="s">
        <v>2113</v>
      </c>
      <c r="AMK9">
        <v>141.62812757492071</v>
      </c>
      <c r="AML9">
        <v>279</v>
      </c>
      <c r="AMM9" s="5"/>
      <c r="AMN9">
        <f t="shared" si="171"/>
        <v>29</v>
      </c>
      <c r="AMO9" t="s">
        <v>2114</v>
      </c>
      <c r="AMP9" t="s">
        <v>2115</v>
      </c>
      <c r="AMQ9">
        <v>14.32891893386841</v>
      </c>
      <c r="AMR9">
        <v>214</v>
      </c>
      <c r="AMS9" s="2"/>
    </row>
    <row r="10" spans="1:1033" x14ac:dyDescent="0.25">
      <c r="A10">
        <v>8</v>
      </c>
      <c r="B10">
        <f t="shared" si="0"/>
        <v>31</v>
      </c>
      <c r="C10" t="s">
        <v>2116</v>
      </c>
      <c r="D10" t="s">
        <v>2117</v>
      </c>
      <c r="E10">
        <v>16.377092361450199</v>
      </c>
      <c r="F10">
        <v>244</v>
      </c>
      <c r="G10" s="1"/>
      <c r="H10">
        <f t="shared" si="1"/>
        <v>32</v>
      </c>
      <c r="I10" t="s">
        <v>2118</v>
      </c>
      <c r="J10" t="s">
        <v>2119</v>
      </c>
      <c r="K10">
        <v>13.20074462890625</v>
      </c>
      <c r="L10">
        <v>257</v>
      </c>
      <c r="M10" s="2"/>
      <c r="N10">
        <f t="shared" si="2"/>
        <v>14</v>
      </c>
      <c r="O10" t="s">
        <v>2120</v>
      </c>
      <c r="P10" t="s">
        <v>2121</v>
      </c>
      <c r="Q10">
        <v>7.9613273143768311</v>
      </c>
      <c r="R10">
        <v>230</v>
      </c>
      <c r="S10" s="1"/>
      <c r="T10">
        <f t="shared" si="3"/>
        <v>40</v>
      </c>
      <c r="U10" t="s">
        <v>2122</v>
      </c>
      <c r="V10" t="s">
        <v>2123</v>
      </c>
      <c r="W10">
        <v>11.480862140655519</v>
      </c>
      <c r="X10">
        <v>289</v>
      </c>
      <c r="Y10" s="2"/>
      <c r="Z10">
        <f t="shared" si="4"/>
        <v>18</v>
      </c>
      <c r="AA10" t="s">
        <v>2124</v>
      </c>
      <c r="AB10" t="s">
        <v>2125</v>
      </c>
      <c r="AC10">
        <v>13.172257423400881</v>
      </c>
      <c r="AD10">
        <v>259</v>
      </c>
      <c r="AE10" s="1"/>
      <c r="AF10">
        <f t="shared" si="5"/>
        <v>27</v>
      </c>
      <c r="AG10" t="s">
        <v>2126</v>
      </c>
      <c r="AH10" t="s">
        <v>2127</v>
      </c>
      <c r="AI10">
        <v>26.869856834411621</v>
      </c>
      <c r="AJ10">
        <v>273</v>
      </c>
      <c r="AK10" s="2"/>
      <c r="AL10">
        <f t="shared" si="6"/>
        <v>26</v>
      </c>
      <c r="AM10" t="s">
        <v>2128</v>
      </c>
      <c r="AN10" t="s">
        <v>2129</v>
      </c>
      <c r="AO10">
        <v>8.4996509552001953</v>
      </c>
      <c r="AP10">
        <v>293</v>
      </c>
      <c r="AQ10" s="3"/>
      <c r="AR10">
        <f t="shared" si="7"/>
        <v>38</v>
      </c>
      <c r="AS10" t="s">
        <v>2130</v>
      </c>
      <c r="AT10" t="s">
        <v>2131</v>
      </c>
      <c r="AU10">
        <v>21.10035610198975</v>
      </c>
      <c r="AV10">
        <v>300</v>
      </c>
      <c r="AW10" s="2"/>
      <c r="AX10">
        <f t="shared" si="8"/>
        <v>37</v>
      </c>
      <c r="AY10" t="s">
        <v>2132</v>
      </c>
      <c r="AZ10" t="s">
        <v>2133</v>
      </c>
      <c r="BA10">
        <v>8.2709081172943115</v>
      </c>
      <c r="BB10">
        <v>244</v>
      </c>
      <c r="BC10" s="3"/>
      <c r="BD10">
        <f t="shared" si="9"/>
        <v>38</v>
      </c>
      <c r="BE10" t="s">
        <v>2134</v>
      </c>
      <c r="BF10" t="s">
        <v>2135</v>
      </c>
      <c r="BG10">
        <v>23.507218837738041</v>
      </c>
      <c r="BH10">
        <v>320</v>
      </c>
      <c r="BI10" s="2"/>
      <c r="BJ10">
        <f t="shared" si="10"/>
        <v>33</v>
      </c>
      <c r="BK10" t="s">
        <v>2136</v>
      </c>
      <c r="BL10" t="s">
        <v>2137</v>
      </c>
      <c r="BM10">
        <v>34.496870517730713</v>
      </c>
      <c r="BN10">
        <v>379</v>
      </c>
      <c r="BO10" s="3"/>
      <c r="BP10">
        <f t="shared" si="11"/>
        <v>26</v>
      </c>
      <c r="BQ10" t="s">
        <v>2138</v>
      </c>
      <c r="BR10" t="s">
        <v>2139</v>
      </c>
      <c r="BS10">
        <v>8.6005496978759766</v>
      </c>
      <c r="BT10">
        <v>271</v>
      </c>
      <c r="BU10" s="2"/>
      <c r="BV10">
        <f t="shared" si="12"/>
        <v>25</v>
      </c>
      <c r="BW10" t="s">
        <v>2140</v>
      </c>
      <c r="BX10" t="s">
        <v>2141</v>
      </c>
      <c r="BY10">
        <v>18.693937540054321</v>
      </c>
      <c r="BZ10">
        <v>372</v>
      </c>
      <c r="CA10" s="3"/>
      <c r="CB10">
        <f t="shared" si="13"/>
        <v>20</v>
      </c>
      <c r="CC10" t="s">
        <v>2142</v>
      </c>
      <c r="CD10" t="s">
        <v>2143</v>
      </c>
      <c r="CE10">
        <v>7.6763632297515869</v>
      </c>
      <c r="CF10">
        <v>250</v>
      </c>
      <c r="CG10" s="2"/>
      <c r="CH10">
        <f t="shared" si="14"/>
        <v>27</v>
      </c>
      <c r="CI10" t="s">
        <v>2144</v>
      </c>
      <c r="CJ10" t="s">
        <v>2145</v>
      </c>
      <c r="CK10">
        <v>11.497610092163089</v>
      </c>
      <c r="CL10">
        <v>198</v>
      </c>
      <c r="CM10" s="3"/>
      <c r="CN10">
        <f t="shared" si="15"/>
        <v>34</v>
      </c>
      <c r="CO10" t="s">
        <v>2146</v>
      </c>
      <c r="CP10" t="s">
        <v>2147</v>
      </c>
      <c r="CQ10">
        <v>34.334872245788567</v>
      </c>
      <c r="CR10">
        <v>290</v>
      </c>
      <c r="CS10" s="2"/>
      <c r="CT10">
        <f t="shared" si="16"/>
        <v>30</v>
      </c>
      <c r="CU10" t="s">
        <v>412</v>
      </c>
      <c r="CV10" t="s">
        <v>2148</v>
      </c>
      <c r="CW10">
        <v>11.41801023483276</v>
      </c>
      <c r="CX10">
        <v>315</v>
      </c>
      <c r="CY10" s="3"/>
      <c r="CZ10">
        <f t="shared" si="17"/>
        <v>54</v>
      </c>
      <c r="DA10" t="s">
        <v>2149</v>
      </c>
      <c r="DB10" t="s">
        <v>2150</v>
      </c>
      <c r="DC10">
        <v>149.81517195701599</v>
      </c>
      <c r="DD10">
        <v>245</v>
      </c>
      <c r="DE10" s="2"/>
      <c r="DF10">
        <f t="shared" si="18"/>
        <v>17</v>
      </c>
      <c r="DG10" t="s">
        <v>2151</v>
      </c>
      <c r="DH10" t="s">
        <v>2152</v>
      </c>
      <c r="DI10">
        <v>3.982569694519043</v>
      </c>
      <c r="DJ10">
        <v>152</v>
      </c>
      <c r="DK10" s="3"/>
      <c r="DL10">
        <f t="shared" si="19"/>
        <v>17</v>
      </c>
      <c r="DM10" t="s">
        <v>2153</v>
      </c>
      <c r="DN10" t="s">
        <v>2154</v>
      </c>
      <c r="DO10">
        <v>3.8786721229553218</v>
      </c>
      <c r="DP10">
        <v>206</v>
      </c>
      <c r="DQ10" s="2"/>
      <c r="DR10">
        <f t="shared" si="20"/>
        <v>58</v>
      </c>
      <c r="DS10" t="s">
        <v>2155</v>
      </c>
      <c r="DT10" t="s">
        <v>2156</v>
      </c>
      <c r="DU10">
        <v>30.422513008117679</v>
      </c>
      <c r="DV10">
        <v>336</v>
      </c>
      <c r="DW10" s="3"/>
      <c r="DX10">
        <f t="shared" si="21"/>
        <v>27</v>
      </c>
      <c r="DY10" t="s">
        <v>2157</v>
      </c>
      <c r="DZ10" t="s">
        <v>2158</v>
      </c>
      <c r="EA10">
        <v>9.5975399017333984</v>
      </c>
      <c r="EB10">
        <v>262</v>
      </c>
      <c r="EC10" s="2"/>
      <c r="ED10">
        <f t="shared" si="22"/>
        <v>24</v>
      </c>
      <c r="EE10" t="s">
        <v>412</v>
      </c>
      <c r="EF10" t="s">
        <v>2159</v>
      </c>
      <c r="EG10">
        <v>5.1200730800628662</v>
      </c>
      <c r="EH10">
        <v>141</v>
      </c>
      <c r="EI10" s="3"/>
      <c r="EJ10">
        <f t="shared" si="23"/>
        <v>38</v>
      </c>
      <c r="EK10" t="s">
        <v>2160</v>
      </c>
      <c r="EL10" t="s">
        <v>2161</v>
      </c>
      <c r="EM10">
        <v>15.56738638877869</v>
      </c>
      <c r="EN10">
        <v>337</v>
      </c>
      <c r="EO10" s="2"/>
      <c r="EP10">
        <f t="shared" si="24"/>
        <v>33</v>
      </c>
      <c r="EQ10" t="s">
        <v>2162</v>
      </c>
      <c r="ER10" t="s">
        <v>2163</v>
      </c>
      <c r="ES10">
        <v>13.892920255661011</v>
      </c>
      <c r="ET10">
        <v>225</v>
      </c>
      <c r="EU10" s="3"/>
      <c r="EV10">
        <f t="shared" si="25"/>
        <v>4</v>
      </c>
      <c r="EW10" t="s">
        <v>2164</v>
      </c>
      <c r="EX10" t="s">
        <v>2165</v>
      </c>
      <c r="EY10">
        <v>3.6897943019866939</v>
      </c>
      <c r="EZ10">
        <v>188</v>
      </c>
      <c r="FA10" s="2"/>
      <c r="FB10">
        <f t="shared" si="26"/>
        <v>42</v>
      </c>
      <c r="FC10" t="s">
        <v>2166</v>
      </c>
      <c r="FD10" t="s">
        <v>2167</v>
      </c>
      <c r="FE10">
        <v>27.058841228485111</v>
      </c>
      <c r="FF10">
        <v>297</v>
      </c>
      <c r="FG10" s="3"/>
      <c r="FH10">
        <f t="shared" si="27"/>
        <v>25</v>
      </c>
      <c r="FI10" t="s">
        <v>2168</v>
      </c>
      <c r="FJ10" t="s">
        <v>2169</v>
      </c>
      <c r="FK10">
        <v>31.911222696304321</v>
      </c>
      <c r="FL10">
        <v>328</v>
      </c>
      <c r="FM10" s="2"/>
      <c r="FN10">
        <f t="shared" si="28"/>
        <v>42</v>
      </c>
      <c r="FO10" t="s">
        <v>2170</v>
      </c>
      <c r="FP10" t="s">
        <v>2171</v>
      </c>
      <c r="FQ10">
        <v>13.867428302764891</v>
      </c>
      <c r="FR10">
        <v>350</v>
      </c>
      <c r="FS10" s="3"/>
      <c r="FT10">
        <f t="shared" si="29"/>
        <v>35</v>
      </c>
      <c r="FU10" t="s">
        <v>2172</v>
      </c>
      <c r="FV10" t="s">
        <v>2173</v>
      </c>
      <c r="FW10">
        <v>95.223166465759277</v>
      </c>
      <c r="FX10">
        <v>326</v>
      </c>
      <c r="FY10" s="2"/>
      <c r="FZ10">
        <f t="shared" si="30"/>
        <v>18</v>
      </c>
      <c r="GA10" t="s">
        <v>2174</v>
      </c>
      <c r="GB10" t="s">
        <v>2175</v>
      </c>
      <c r="GC10">
        <v>14.598939895629879</v>
      </c>
      <c r="GD10">
        <v>222</v>
      </c>
      <c r="GE10" s="3"/>
      <c r="GF10">
        <f t="shared" si="31"/>
        <v>25</v>
      </c>
      <c r="GG10" t="s">
        <v>2176</v>
      </c>
      <c r="GH10" t="s">
        <v>2177</v>
      </c>
      <c r="GI10">
        <v>23.206976175308231</v>
      </c>
      <c r="GJ10">
        <v>307</v>
      </c>
      <c r="GK10" s="2"/>
      <c r="GL10">
        <f t="shared" si="32"/>
        <v>33</v>
      </c>
      <c r="GM10" t="s">
        <v>614</v>
      </c>
      <c r="GN10" t="s">
        <v>2178</v>
      </c>
      <c r="GO10">
        <v>23.249512910842899</v>
      </c>
      <c r="GP10">
        <v>235</v>
      </c>
      <c r="GQ10" s="3"/>
      <c r="GR10">
        <f t="shared" si="33"/>
        <v>26</v>
      </c>
      <c r="GS10" t="s">
        <v>2179</v>
      </c>
      <c r="GT10" t="s">
        <v>2180</v>
      </c>
      <c r="GU10">
        <v>14.371987819671631</v>
      </c>
      <c r="GV10">
        <v>348</v>
      </c>
      <c r="GW10" s="2"/>
      <c r="GX10">
        <f t="shared" si="34"/>
        <v>14</v>
      </c>
      <c r="GY10" t="s">
        <v>2181</v>
      </c>
      <c r="GZ10" t="s">
        <v>2182</v>
      </c>
      <c r="HA10">
        <v>6.555264949798584</v>
      </c>
      <c r="HB10">
        <v>187</v>
      </c>
      <c r="HC10" s="3"/>
      <c r="HD10">
        <f t="shared" si="35"/>
        <v>25</v>
      </c>
      <c r="HE10" t="s">
        <v>2183</v>
      </c>
      <c r="HF10" t="s">
        <v>2184</v>
      </c>
      <c r="HG10">
        <v>15.88782978057861</v>
      </c>
      <c r="HH10">
        <v>215</v>
      </c>
      <c r="HI10" s="2"/>
      <c r="HJ10">
        <f t="shared" si="36"/>
        <v>47</v>
      </c>
      <c r="HK10" t="s">
        <v>2185</v>
      </c>
      <c r="HL10" t="s">
        <v>2186</v>
      </c>
      <c r="HM10">
        <v>8.0603914260864258</v>
      </c>
      <c r="HN10">
        <v>246</v>
      </c>
      <c r="HO10" s="3"/>
      <c r="HP10">
        <f t="shared" si="37"/>
        <v>23</v>
      </c>
      <c r="HQ10" t="s">
        <v>500</v>
      </c>
      <c r="HR10" t="s">
        <v>2187</v>
      </c>
      <c r="HS10">
        <v>9.0192394256591797</v>
      </c>
      <c r="HT10">
        <v>290</v>
      </c>
      <c r="HU10" s="2"/>
      <c r="HV10">
        <f t="shared" si="38"/>
        <v>65</v>
      </c>
      <c r="HW10" t="s">
        <v>2188</v>
      </c>
      <c r="HX10" t="s">
        <v>2189</v>
      </c>
      <c r="HY10">
        <v>273.46350002288818</v>
      </c>
      <c r="HZ10">
        <v>301</v>
      </c>
      <c r="IA10" s="3"/>
      <c r="IB10">
        <f t="shared" si="39"/>
        <v>28</v>
      </c>
      <c r="IC10" t="s">
        <v>2190</v>
      </c>
      <c r="ID10" t="s">
        <v>2191</v>
      </c>
      <c r="IE10">
        <v>22.722138404846191</v>
      </c>
      <c r="IF10">
        <v>280</v>
      </c>
      <c r="IG10" s="2"/>
      <c r="IH10">
        <f t="shared" si="40"/>
        <v>32</v>
      </c>
      <c r="II10" t="s">
        <v>2192</v>
      </c>
      <c r="IJ10" t="s">
        <v>2193</v>
      </c>
      <c r="IK10">
        <v>17.167215824127201</v>
      </c>
      <c r="IL10">
        <v>301</v>
      </c>
      <c r="IM10" s="3"/>
      <c r="IN10">
        <f t="shared" si="41"/>
        <v>22</v>
      </c>
      <c r="IO10" t="s">
        <v>2194</v>
      </c>
      <c r="IP10" t="s">
        <v>2195</v>
      </c>
      <c r="IQ10">
        <v>7.0953478813171387</v>
      </c>
      <c r="IR10">
        <v>291</v>
      </c>
      <c r="IS10" s="2"/>
      <c r="IT10">
        <f t="shared" si="42"/>
        <v>26</v>
      </c>
      <c r="IU10" t="s">
        <v>2196</v>
      </c>
      <c r="IV10" t="s">
        <v>2197</v>
      </c>
      <c r="IW10">
        <v>48.414860010147088</v>
      </c>
      <c r="IX10">
        <v>213</v>
      </c>
      <c r="IY10" s="3"/>
      <c r="IZ10">
        <f t="shared" si="43"/>
        <v>33</v>
      </c>
      <c r="JA10" t="s">
        <v>2198</v>
      </c>
      <c r="JB10" t="s">
        <v>2199</v>
      </c>
      <c r="JC10">
        <v>14.427377223968509</v>
      </c>
      <c r="JD10">
        <v>235</v>
      </c>
      <c r="JE10" s="2"/>
      <c r="JF10">
        <f t="shared" si="44"/>
        <v>14</v>
      </c>
      <c r="JG10" t="s">
        <v>928</v>
      </c>
      <c r="JH10" t="s">
        <v>2200</v>
      </c>
      <c r="JI10">
        <v>4.6965725421905518</v>
      </c>
      <c r="JJ10">
        <v>203</v>
      </c>
      <c r="JK10" s="3"/>
      <c r="JL10">
        <f t="shared" si="45"/>
        <v>16</v>
      </c>
      <c r="JM10" t="s">
        <v>1698</v>
      </c>
      <c r="JN10" t="s">
        <v>2201</v>
      </c>
      <c r="JO10">
        <v>5.0405550003051758</v>
      </c>
      <c r="JP10">
        <v>211</v>
      </c>
      <c r="JQ10" s="2"/>
      <c r="JR10">
        <f t="shared" si="46"/>
        <v>18</v>
      </c>
      <c r="JS10" t="s">
        <v>1764</v>
      </c>
      <c r="JT10" t="s">
        <v>2202</v>
      </c>
      <c r="JU10">
        <v>3.6820099353790279</v>
      </c>
      <c r="JV10">
        <v>167</v>
      </c>
      <c r="JW10" s="3"/>
      <c r="JX10">
        <f t="shared" si="47"/>
        <v>32</v>
      </c>
      <c r="JY10" t="s">
        <v>2203</v>
      </c>
      <c r="JZ10" t="s">
        <v>2204</v>
      </c>
      <c r="KA10">
        <v>19.89106106758118</v>
      </c>
      <c r="KB10">
        <v>285</v>
      </c>
      <c r="KC10" s="2"/>
      <c r="KD10">
        <f t="shared" si="48"/>
        <v>10</v>
      </c>
      <c r="KE10" t="s">
        <v>2205</v>
      </c>
      <c r="KF10" t="s">
        <v>2206</v>
      </c>
      <c r="KG10">
        <v>8.4086802005767822</v>
      </c>
      <c r="KH10">
        <v>132</v>
      </c>
      <c r="KI10" s="3"/>
      <c r="KJ10">
        <f t="shared" si="49"/>
        <v>44</v>
      </c>
      <c r="KK10" t="s">
        <v>2207</v>
      </c>
      <c r="KL10" t="s">
        <v>2208</v>
      </c>
      <c r="KM10">
        <v>12.797027349472049</v>
      </c>
      <c r="KN10">
        <v>283</v>
      </c>
      <c r="KO10" s="2"/>
      <c r="KP10">
        <f t="shared" si="50"/>
        <v>26</v>
      </c>
      <c r="KQ10" t="s">
        <v>161</v>
      </c>
      <c r="KR10" t="s">
        <v>2209</v>
      </c>
      <c r="KS10">
        <v>12.379862785339361</v>
      </c>
      <c r="KT10">
        <v>386</v>
      </c>
      <c r="KU10" s="3"/>
      <c r="KV10">
        <f t="shared" si="51"/>
        <v>21</v>
      </c>
      <c r="KW10" t="s">
        <v>2210</v>
      </c>
      <c r="KX10" t="s">
        <v>2211</v>
      </c>
      <c r="KY10">
        <v>14.13085007667542</v>
      </c>
      <c r="KZ10">
        <v>277</v>
      </c>
      <c r="LA10" s="2"/>
      <c r="LB10">
        <f t="shared" si="52"/>
        <v>22</v>
      </c>
      <c r="LC10" t="s">
        <v>1715</v>
      </c>
      <c r="LD10" t="s">
        <v>2212</v>
      </c>
      <c r="LE10">
        <v>18.769804239273071</v>
      </c>
      <c r="LF10">
        <v>220</v>
      </c>
      <c r="LG10" s="3"/>
      <c r="LH10">
        <f t="shared" si="53"/>
        <v>30</v>
      </c>
      <c r="LI10" t="s">
        <v>2213</v>
      </c>
      <c r="LJ10" t="s">
        <v>2214</v>
      </c>
      <c r="LK10">
        <v>4.6315162181854248</v>
      </c>
      <c r="LL10">
        <v>322</v>
      </c>
      <c r="LM10" s="2"/>
      <c r="LN10">
        <f t="shared" si="54"/>
        <v>46</v>
      </c>
      <c r="LO10" t="s">
        <v>2215</v>
      </c>
      <c r="LP10" t="s">
        <v>2216</v>
      </c>
      <c r="LQ10">
        <v>16.580657958984379</v>
      </c>
      <c r="LR10">
        <v>268</v>
      </c>
      <c r="LS10" s="3"/>
      <c r="LT10">
        <f t="shared" si="55"/>
        <v>21</v>
      </c>
      <c r="LU10" t="s">
        <v>2217</v>
      </c>
      <c r="LV10" t="s">
        <v>2218</v>
      </c>
      <c r="LW10">
        <v>5.6684236526489258</v>
      </c>
      <c r="LX10">
        <v>321</v>
      </c>
      <c r="LY10" s="2"/>
      <c r="LZ10">
        <f t="shared" si="56"/>
        <v>41</v>
      </c>
      <c r="MA10" t="s">
        <v>2219</v>
      </c>
      <c r="MB10" t="s">
        <v>2220</v>
      </c>
      <c r="MC10">
        <v>18.941681146621701</v>
      </c>
      <c r="MD10">
        <v>288</v>
      </c>
      <c r="ME10" s="3"/>
      <c r="MF10">
        <f t="shared" si="57"/>
        <v>36</v>
      </c>
      <c r="MG10" t="s">
        <v>2221</v>
      </c>
      <c r="MH10" t="s">
        <v>2222</v>
      </c>
      <c r="MI10">
        <v>16.24829006195068</v>
      </c>
      <c r="MJ10">
        <v>384</v>
      </c>
      <c r="MK10" s="2"/>
      <c r="ML10">
        <f t="shared" si="58"/>
        <v>38</v>
      </c>
      <c r="MM10" t="s">
        <v>2223</v>
      </c>
      <c r="MN10" t="s">
        <v>2224</v>
      </c>
      <c r="MO10">
        <v>30.074212789535519</v>
      </c>
      <c r="MP10">
        <v>198</v>
      </c>
      <c r="MQ10" s="3"/>
      <c r="MR10">
        <f t="shared" si="59"/>
        <v>30</v>
      </c>
      <c r="MS10" t="s">
        <v>2225</v>
      </c>
      <c r="MT10" t="s">
        <v>2226</v>
      </c>
      <c r="MU10">
        <v>8.7202069759368896</v>
      </c>
      <c r="MV10">
        <v>321</v>
      </c>
      <c r="MW10" s="2"/>
      <c r="MX10">
        <f t="shared" si="60"/>
        <v>17</v>
      </c>
      <c r="MY10" t="s">
        <v>1037</v>
      </c>
      <c r="MZ10" t="s">
        <v>2227</v>
      </c>
      <c r="NA10">
        <v>19.357718467712399</v>
      </c>
      <c r="NB10">
        <v>244</v>
      </c>
      <c r="NC10" s="3"/>
      <c r="ND10">
        <f t="shared" si="61"/>
        <v>24</v>
      </c>
      <c r="NE10" t="s">
        <v>2228</v>
      </c>
      <c r="NF10" t="s">
        <v>2229</v>
      </c>
      <c r="NG10">
        <v>8.8513894081115723</v>
      </c>
      <c r="NH10">
        <v>263</v>
      </c>
      <c r="NI10" s="2"/>
      <c r="NJ10">
        <f t="shared" si="62"/>
        <v>13</v>
      </c>
      <c r="NK10" t="s">
        <v>2230</v>
      </c>
      <c r="NL10" t="s">
        <v>2231</v>
      </c>
      <c r="NM10">
        <v>4.5921385288238534</v>
      </c>
      <c r="NN10">
        <v>204</v>
      </c>
      <c r="NO10" s="3"/>
      <c r="NP10">
        <f t="shared" si="63"/>
        <v>30</v>
      </c>
      <c r="NQ10" t="s">
        <v>2232</v>
      </c>
      <c r="NR10" t="s">
        <v>2233</v>
      </c>
      <c r="NS10">
        <v>6.5815880298614502</v>
      </c>
      <c r="NT10">
        <v>180</v>
      </c>
      <c r="NU10" s="2"/>
      <c r="NV10">
        <f t="shared" si="64"/>
        <v>35</v>
      </c>
      <c r="NW10" t="s">
        <v>2234</v>
      </c>
      <c r="NX10" t="s">
        <v>2235</v>
      </c>
      <c r="NY10">
        <v>32.078095197677612</v>
      </c>
      <c r="NZ10">
        <v>207</v>
      </c>
      <c r="OA10" s="3"/>
      <c r="OB10">
        <f t="shared" si="65"/>
        <v>28</v>
      </c>
      <c r="OC10" t="s">
        <v>2236</v>
      </c>
      <c r="OD10" t="s">
        <v>2237</v>
      </c>
      <c r="OE10">
        <v>9.291806697845459</v>
      </c>
      <c r="OF10">
        <v>285</v>
      </c>
      <c r="OG10" s="2"/>
      <c r="OH10">
        <f t="shared" si="66"/>
        <v>20</v>
      </c>
      <c r="OI10" t="s">
        <v>2238</v>
      </c>
      <c r="OJ10" t="s">
        <v>2239</v>
      </c>
      <c r="OK10">
        <v>89.738949775695801</v>
      </c>
      <c r="OL10">
        <v>219</v>
      </c>
      <c r="OM10" s="3"/>
      <c r="ON10">
        <f t="shared" si="67"/>
        <v>28</v>
      </c>
      <c r="OO10" t="s">
        <v>2240</v>
      </c>
      <c r="OP10" t="s">
        <v>2241</v>
      </c>
      <c r="OQ10">
        <v>14.131865262985229</v>
      </c>
      <c r="OR10">
        <v>335</v>
      </c>
      <c r="OS10" s="2"/>
      <c r="OT10">
        <f t="shared" si="68"/>
        <v>18</v>
      </c>
      <c r="OU10" t="s">
        <v>2242</v>
      </c>
      <c r="OV10" t="s">
        <v>2243</v>
      </c>
      <c r="OW10">
        <v>5.1082680225372306</v>
      </c>
      <c r="OX10">
        <v>267</v>
      </c>
      <c r="OY10" s="3"/>
      <c r="OZ10">
        <f t="shared" si="69"/>
        <v>48</v>
      </c>
      <c r="PA10" t="s">
        <v>2244</v>
      </c>
      <c r="PB10" t="s">
        <v>2245</v>
      </c>
      <c r="PC10">
        <v>14.964540004730219</v>
      </c>
      <c r="PD10">
        <v>324</v>
      </c>
      <c r="PE10" s="2"/>
      <c r="PF10">
        <f t="shared" si="70"/>
        <v>11</v>
      </c>
      <c r="PG10" t="s">
        <v>2246</v>
      </c>
      <c r="PH10" t="s">
        <v>2247</v>
      </c>
      <c r="PI10">
        <v>11.441383123397831</v>
      </c>
      <c r="PJ10">
        <v>222</v>
      </c>
      <c r="PK10" s="3"/>
      <c r="PL10">
        <f t="shared" si="71"/>
        <v>35</v>
      </c>
      <c r="PM10" t="s">
        <v>2248</v>
      </c>
      <c r="PN10" t="s">
        <v>2249</v>
      </c>
      <c r="PO10">
        <v>15.36570405960083</v>
      </c>
      <c r="PP10">
        <v>377</v>
      </c>
      <c r="PQ10" s="2"/>
      <c r="PR10">
        <f t="shared" si="72"/>
        <v>51</v>
      </c>
      <c r="PS10" t="s">
        <v>2250</v>
      </c>
      <c r="PT10" t="s">
        <v>2251</v>
      </c>
      <c r="PU10">
        <v>13.25739669799805</v>
      </c>
      <c r="PV10">
        <v>242</v>
      </c>
      <c r="PW10" s="3"/>
      <c r="PX10">
        <f t="shared" si="73"/>
        <v>25</v>
      </c>
      <c r="PY10" t="s">
        <v>2252</v>
      </c>
      <c r="PZ10" t="s">
        <v>2253</v>
      </c>
      <c r="QA10">
        <v>9.3030562400817871</v>
      </c>
      <c r="QB10">
        <v>309</v>
      </c>
      <c r="QC10" s="2"/>
      <c r="QD10">
        <f t="shared" si="74"/>
        <v>15</v>
      </c>
      <c r="QE10" t="s">
        <v>2254</v>
      </c>
      <c r="QF10" t="s">
        <v>2255</v>
      </c>
      <c r="QG10">
        <v>10.268028974533079</v>
      </c>
      <c r="QH10">
        <v>151</v>
      </c>
      <c r="QI10" s="3"/>
      <c r="QJ10">
        <f t="shared" si="75"/>
        <v>27</v>
      </c>
      <c r="QK10" t="s">
        <v>2256</v>
      </c>
      <c r="QL10" t="s">
        <v>2257</v>
      </c>
      <c r="QM10">
        <v>15.542200326919559</v>
      </c>
      <c r="QN10">
        <v>303</v>
      </c>
      <c r="QO10" s="2"/>
      <c r="QP10">
        <f t="shared" si="76"/>
        <v>36</v>
      </c>
      <c r="QQ10" t="s">
        <v>2198</v>
      </c>
      <c r="QR10" t="s">
        <v>2258</v>
      </c>
      <c r="QS10">
        <v>15.76630687713623</v>
      </c>
      <c r="QT10">
        <v>131</v>
      </c>
      <c r="QU10" s="3"/>
      <c r="QV10">
        <f t="shared" si="77"/>
        <v>24</v>
      </c>
      <c r="QW10" t="s">
        <v>2259</v>
      </c>
      <c r="QX10" t="s">
        <v>2260</v>
      </c>
      <c r="QY10">
        <v>13.92800641059875</v>
      </c>
      <c r="QZ10">
        <v>159</v>
      </c>
      <c r="RA10" s="2"/>
      <c r="RB10">
        <f t="shared" si="78"/>
        <v>32</v>
      </c>
      <c r="RC10" t="s">
        <v>2261</v>
      </c>
      <c r="RD10" t="s">
        <v>2262</v>
      </c>
      <c r="RE10">
        <v>11.0762312412262</v>
      </c>
      <c r="RF10">
        <v>203</v>
      </c>
      <c r="RG10" s="3"/>
      <c r="RH10">
        <f t="shared" si="79"/>
        <v>28</v>
      </c>
      <c r="RI10" t="s">
        <v>1229</v>
      </c>
      <c r="RJ10" t="s">
        <v>2263</v>
      </c>
      <c r="RK10">
        <v>16.930617809295651</v>
      </c>
      <c r="RL10">
        <v>157</v>
      </c>
      <c r="RM10" s="2"/>
      <c r="RN10">
        <f t="shared" si="80"/>
        <v>14</v>
      </c>
      <c r="RO10" t="s">
        <v>1772</v>
      </c>
      <c r="RP10" t="s">
        <v>2264</v>
      </c>
      <c r="RQ10">
        <v>8.0260601043701172</v>
      </c>
      <c r="RR10">
        <v>224</v>
      </c>
      <c r="RS10" s="3"/>
      <c r="RT10">
        <f t="shared" si="81"/>
        <v>27</v>
      </c>
      <c r="RU10" t="s">
        <v>1604</v>
      </c>
      <c r="RV10" t="s">
        <v>2265</v>
      </c>
      <c r="RW10">
        <v>10.544943809509279</v>
      </c>
      <c r="RX10">
        <v>284</v>
      </c>
      <c r="RY10" s="2"/>
      <c r="RZ10">
        <f t="shared" si="82"/>
        <v>22</v>
      </c>
      <c r="SA10" t="s">
        <v>2266</v>
      </c>
      <c r="SB10" t="s">
        <v>2267</v>
      </c>
      <c r="SC10">
        <v>11.544158220291139</v>
      </c>
      <c r="SD10">
        <v>162</v>
      </c>
      <c r="SE10" s="3"/>
      <c r="SF10">
        <f t="shared" si="83"/>
        <v>20</v>
      </c>
      <c r="SG10" t="s">
        <v>2268</v>
      </c>
      <c r="SH10" t="s">
        <v>2269</v>
      </c>
      <c r="SI10">
        <v>17.501469850540161</v>
      </c>
      <c r="SJ10">
        <v>253</v>
      </c>
      <c r="SK10" s="2"/>
      <c r="SL10">
        <f t="shared" si="84"/>
        <v>22</v>
      </c>
      <c r="SM10" t="s">
        <v>2270</v>
      </c>
      <c r="SN10" t="s">
        <v>2271</v>
      </c>
      <c r="SO10">
        <v>7.2562122344970703</v>
      </c>
      <c r="SP10">
        <v>269</v>
      </c>
      <c r="SQ10" s="3"/>
      <c r="SR10">
        <f t="shared" si="85"/>
        <v>50</v>
      </c>
      <c r="SS10" t="s">
        <v>2272</v>
      </c>
      <c r="ST10" t="s">
        <v>2273</v>
      </c>
      <c r="SU10">
        <v>26.09028267860413</v>
      </c>
      <c r="SV10">
        <v>278</v>
      </c>
      <c r="SW10" s="4"/>
      <c r="SX10">
        <f t="shared" si="86"/>
        <v>27</v>
      </c>
      <c r="SY10" t="s">
        <v>2274</v>
      </c>
      <c r="SZ10" t="s">
        <v>2275</v>
      </c>
      <c r="TA10">
        <v>24.184590816497799</v>
      </c>
      <c r="TB10">
        <v>311</v>
      </c>
      <c r="TC10" s="5"/>
      <c r="TD10">
        <f t="shared" si="87"/>
        <v>31</v>
      </c>
      <c r="TE10" t="s">
        <v>2276</v>
      </c>
      <c r="TF10" t="s">
        <v>2277</v>
      </c>
      <c r="TG10">
        <v>18.299850225448608</v>
      </c>
      <c r="TH10">
        <v>214</v>
      </c>
      <c r="TI10" s="2"/>
      <c r="TJ10">
        <f t="shared" si="88"/>
        <v>29</v>
      </c>
      <c r="TK10" t="s">
        <v>2278</v>
      </c>
      <c r="TL10" t="s">
        <v>2279</v>
      </c>
      <c r="TM10">
        <v>14.01933646202087</v>
      </c>
      <c r="TN10">
        <v>285</v>
      </c>
      <c r="TO10" s="5"/>
      <c r="TP10">
        <f t="shared" si="89"/>
        <v>27</v>
      </c>
      <c r="TQ10" t="s">
        <v>2280</v>
      </c>
      <c r="TR10" t="s">
        <v>2281</v>
      </c>
      <c r="TS10">
        <v>197.77976894378659</v>
      </c>
      <c r="TT10">
        <v>281</v>
      </c>
      <c r="TU10" s="2"/>
      <c r="TV10">
        <f t="shared" si="90"/>
        <v>14</v>
      </c>
      <c r="TW10" t="s">
        <v>1992</v>
      </c>
      <c r="TX10" t="s">
        <v>2282</v>
      </c>
      <c r="TY10">
        <v>4.6695370674133301</v>
      </c>
      <c r="TZ10">
        <v>206</v>
      </c>
      <c r="UA10" s="5"/>
      <c r="UB10">
        <f t="shared" si="91"/>
        <v>24</v>
      </c>
      <c r="UC10" t="s">
        <v>120</v>
      </c>
      <c r="UD10" t="s">
        <v>2283</v>
      </c>
      <c r="UE10">
        <v>20.505041599273682</v>
      </c>
      <c r="UF10">
        <v>244</v>
      </c>
      <c r="UG10" s="2"/>
      <c r="UH10">
        <f t="shared" si="92"/>
        <v>67</v>
      </c>
      <c r="UI10" t="s">
        <v>2284</v>
      </c>
      <c r="UJ10" t="s">
        <v>2285</v>
      </c>
      <c r="UK10">
        <v>23.355338573455811</v>
      </c>
      <c r="UL10">
        <v>302</v>
      </c>
      <c r="UM10" s="5"/>
      <c r="UN10">
        <f t="shared" si="93"/>
        <v>26</v>
      </c>
      <c r="UO10" t="s">
        <v>412</v>
      </c>
      <c r="UP10" t="s">
        <v>2286</v>
      </c>
      <c r="UQ10">
        <v>19.394956588745121</v>
      </c>
      <c r="UR10">
        <v>321</v>
      </c>
      <c r="US10" s="2"/>
      <c r="UT10">
        <f t="shared" si="94"/>
        <v>44</v>
      </c>
      <c r="UU10" t="s">
        <v>2287</v>
      </c>
      <c r="UV10" t="s">
        <v>2288</v>
      </c>
      <c r="UW10">
        <v>12.316325902938839</v>
      </c>
      <c r="UX10">
        <v>328</v>
      </c>
      <c r="UY10" s="5"/>
      <c r="UZ10">
        <f t="shared" si="95"/>
        <v>28</v>
      </c>
      <c r="VA10" t="s">
        <v>612</v>
      </c>
      <c r="VB10" t="s">
        <v>2289</v>
      </c>
      <c r="VC10">
        <v>14.24948525428772</v>
      </c>
      <c r="VD10">
        <v>374</v>
      </c>
      <c r="VE10" s="2"/>
      <c r="VF10">
        <f t="shared" si="96"/>
        <v>28</v>
      </c>
      <c r="VG10" t="s">
        <v>458</v>
      </c>
      <c r="VH10" t="s">
        <v>2290</v>
      </c>
      <c r="VI10">
        <v>16.092708587646481</v>
      </c>
      <c r="VJ10">
        <v>253</v>
      </c>
      <c r="VK10" s="5"/>
      <c r="VL10">
        <f t="shared" si="97"/>
        <v>42</v>
      </c>
      <c r="VM10" t="s">
        <v>2291</v>
      </c>
      <c r="VN10" t="s">
        <v>2292</v>
      </c>
      <c r="VO10">
        <v>32.434751272201538</v>
      </c>
      <c r="VP10">
        <v>223</v>
      </c>
      <c r="VQ10" s="2"/>
      <c r="VR10">
        <f t="shared" si="98"/>
        <v>33</v>
      </c>
      <c r="VS10" t="s">
        <v>1358</v>
      </c>
      <c r="VT10" t="s">
        <v>2293</v>
      </c>
      <c r="VU10">
        <v>15.07105684280396</v>
      </c>
      <c r="VV10">
        <v>269</v>
      </c>
      <c r="VW10" s="5"/>
      <c r="VX10">
        <f t="shared" si="99"/>
        <v>17</v>
      </c>
      <c r="VY10" t="s">
        <v>2294</v>
      </c>
      <c r="VZ10" t="s">
        <v>2295</v>
      </c>
      <c r="WA10">
        <v>25.202402591705319</v>
      </c>
      <c r="WB10">
        <v>245</v>
      </c>
      <c r="WC10" s="2"/>
      <c r="WD10">
        <f t="shared" si="100"/>
        <v>38</v>
      </c>
      <c r="WE10" t="s">
        <v>2296</v>
      </c>
      <c r="WF10" t="s">
        <v>2297</v>
      </c>
      <c r="WG10">
        <v>7.801051139831543</v>
      </c>
      <c r="WH10">
        <v>280</v>
      </c>
      <c r="WI10" s="5"/>
      <c r="WJ10">
        <f t="shared" si="101"/>
        <v>29</v>
      </c>
      <c r="WK10" t="s">
        <v>2298</v>
      </c>
      <c r="WL10" t="s">
        <v>2299</v>
      </c>
      <c r="WM10">
        <v>10.0791449546814</v>
      </c>
      <c r="WN10">
        <v>298</v>
      </c>
      <c r="WO10" s="2"/>
      <c r="WP10">
        <f t="shared" si="102"/>
        <v>16</v>
      </c>
      <c r="WQ10" t="s">
        <v>2300</v>
      </c>
      <c r="WR10" t="s">
        <v>2301</v>
      </c>
      <c r="WS10">
        <v>3.5318877696990971</v>
      </c>
      <c r="WT10">
        <v>182</v>
      </c>
      <c r="WU10" s="5"/>
      <c r="WV10">
        <f t="shared" si="103"/>
        <v>19</v>
      </c>
      <c r="WW10" t="s">
        <v>2302</v>
      </c>
      <c r="WX10" t="s">
        <v>2303</v>
      </c>
      <c r="WY10">
        <v>20.277578830718991</v>
      </c>
      <c r="WZ10">
        <v>202</v>
      </c>
      <c r="XA10" s="2"/>
      <c r="XB10">
        <f t="shared" si="104"/>
        <v>18</v>
      </c>
      <c r="XC10" t="s">
        <v>2304</v>
      </c>
      <c r="XD10" t="s">
        <v>2305</v>
      </c>
      <c r="XE10">
        <v>9.1147322654724121</v>
      </c>
      <c r="XF10">
        <v>233</v>
      </c>
      <c r="XG10" s="5"/>
      <c r="XH10">
        <f t="shared" si="105"/>
        <v>34</v>
      </c>
      <c r="XI10" t="s">
        <v>2306</v>
      </c>
      <c r="XJ10" t="s">
        <v>2307</v>
      </c>
      <c r="XK10">
        <v>23.342109441757199</v>
      </c>
      <c r="XL10">
        <v>309</v>
      </c>
      <c r="XM10" s="2"/>
      <c r="XN10">
        <f t="shared" si="106"/>
        <v>22</v>
      </c>
      <c r="XO10" t="s">
        <v>2308</v>
      </c>
      <c r="XP10" t="s">
        <v>2309</v>
      </c>
      <c r="XQ10">
        <v>8.7722725868225098</v>
      </c>
      <c r="XR10">
        <v>251</v>
      </c>
      <c r="XS10" s="5"/>
      <c r="XT10">
        <f t="shared" si="107"/>
        <v>76</v>
      </c>
      <c r="XU10" t="s">
        <v>2310</v>
      </c>
      <c r="XV10" t="s">
        <v>2311</v>
      </c>
      <c r="XW10">
        <v>152.9758114814758</v>
      </c>
      <c r="XX10">
        <v>461</v>
      </c>
      <c r="XY10" s="2"/>
      <c r="XZ10">
        <f t="shared" si="108"/>
        <v>29</v>
      </c>
      <c r="YA10" t="s">
        <v>902</v>
      </c>
      <c r="YB10" t="s">
        <v>2312</v>
      </c>
      <c r="YC10">
        <v>6.9252545833587646</v>
      </c>
      <c r="YD10">
        <v>190</v>
      </c>
      <c r="YE10" s="5"/>
      <c r="YF10">
        <f t="shared" si="109"/>
        <v>31</v>
      </c>
      <c r="YG10" t="s">
        <v>1366</v>
      </c>
      <c r="YH10" t="s">
        <v>2313</v>
      </c>
      <c r="YI10">
        <v>15.55816340446472</v>
      </c>
      <c r="YJ10">
        <v>190</v>
      </c>
      <c r="YK10" s="2"/>
      <c r="YL10">
        <f t="shared" si="110"/>
        <v>31</v>
      </c>
      <c r="YM10" t="s">
        <v>2314</v>
      </c>
      <c r="YN10" t="s">
        <v>2315</v>
      </c>
      <c r="YO10">
        <v>11.40475416183472</v>
      </c>
      <c r="YP10">
        <v>279</v>
      </c>
      <c r="YQ10" s="5"/>
      <c r="YR10">
        <f t="shared" si="111"/>
        <v>46</v>
      </c>
      <c r="YS10" t="s">
        <v>2316</v>
      </c>
      <c r="YT10" t="s">
        <v>2317</v>
      </c>
      <c r="YU10">
        <v>16.46714878082275</v>
      </c>
      <c r="YV10">
        <v>369</v>
      </c>
      <c r="YW10" s="2"/>
      <c r="YX10">
        <f t="shared" si="112"/>
        <v>41</v>
      </c>
      <c r="YY10" t="s">
        <v>2318</v>
      </c>
      <c r="YZ10" t="s">
        <v>2319</v>
      </c>
      <c r="ZA10">
        <v>156.65440678596499</v>
      </c>
      <c r="ZB10">
        <v>372</v>
      </c>
      <c r="ZC10" s="5"/>
      <c r="ZD10">
        <f t="shared" si="113"/>
        <v>25</v>
      </c>
      <c r="ZE10" t="s">
        <v>2320</v>
      </c>
      <c r="ZF10" t="s">
        <v>2321</v>
      </c>
      <c r="ZG10">
        <v>7.8509416580200204</v>
      </c>
      <c r="ZH10">
        <v>270</v>
      </c>
      <c r="ZI10" s="2"/>
      <c r="ZJ10">
        <f t="shared" si="114"/>
        <v>68</v>
      </c>
      <c r="ZK10" t="s">
        <v>2322</v>
      </c>
      <c r="ZL10" t="s">
        <v>2323</v>
      </c>
      <c r="ZM10">
        <v>26.42236065864563</v>
      </c>
      <c r="ZN10">
        <v>337</v>
      </c>
      <c r="ZO10" s="5"/>
      <c r="ZP10">
        <f t="shared" si="115"/>
        <v>23</v>
      </c>
      <c r="ZQ10" t="s">
        <v>458</v>
      </c>
      <c r="ZR10" t="s">
        <v>2324</v>
      </c>
      <c r="ZS10">
        <v>17.215185403823849</v>
      </c>
      <c r="ZT10">
        <v>262</v>
      </c>
      <c r="ZU10" s="2"/>
      <c r="ZV10">
        <f t="shared" si="116"/>
        <v>38</v>
      </c>
      <c r="ZW10" t="s">
        <v>2325</v>
      </c>
      <c r="ZX10" t="s">
        <v>2326</v>
      </c>
      <c r="ZY10">
        <v>12.190180063247681</v>
      </c>
      <c r="ZZ10">
        <v>351</v>
      </c>
      <c r="AAA10" s="5"/>
      <c r="AAB10">
        <f t="shared" si="117"/>
        <v>59</v>
      </c>
      <c r="AAC10" t="s">
        <v>2327</v>
      </c>
      <c r="AAD10" t="s">
        <v>2328</v>
      </c>
      <c r="AAE10">
        <v>12.41547322273254</v>
      </c>
      <c r="AAF10">
        <v>310</v>
      </c>
      <c r="AAG10" s="2"/>
      <c r="AAH10">
        <f t="shared" si="118"/>
        <v>27</v>
      </c>
      <c r="AAI10" t="s">
        <v>2329</v>
      </c>
      <c r="AAJ10" t="s">
        <v>2330</v>
      </c>
      <c r="AAK10">
        <v>8.0475244522094727</v>
      </c>
      <c r="AAL10">
        <v>317</v>
      </c>
      <c r="AAM10" s="5"/>
      <c r="AAN10">
        <f t="shared" si="119"/>
        <v>24</v>
      </c>
      <c r="AAO10" t="s">
        <v>2331</v>
      </c>
      <c r="AAP10" t="s">
        <v>2332</v>
      </c>
      <c r="AAQ10">
        <v>65.626949548721313</v>
      </c>
      <c r="AAR10">
        <v>244</v>
      </c>
      <c r="AAS10" s="2"/>
      <c r="AAT10">
        <f t="shared" si="120"/>
        <v>31</v>
      </c>
      <c r="AAU10" t="s">
        <v>2333</v>
      </c>
      <c r="AAV10" t="s">
        <v>2334</v>
      </c>
      <c r="AAW10">
        <v>20.307274341583248</v>
      </c>
      <c r="AAX10">
        <v>292</v>
      </c>
      <c r="AAY10" s="5"/>
      <c r="AAZ10">
        <f t="shared" si="121"/>
        <v>13</v>
      </c>
      <c r="ABA10" t="s">
        <v>2335</v>
      </c>
      <c r="ABB10" t="s">
        <v>2336</v>
      </c>
      <c r="ABC10">
        <v>3.8748316764831539</v>
      </c>
      <c r="ABD10">
        <v>163</v>
      </c>
      <c r="ABE10" s="2"/>
      <c r="ABF10">
        <f t="shared" si="122"/>
        <v>87</v>
      </c>
      <c r="ABG10" t="s">
        <v>2337</v>
      </c>
      <c r="ABH10" t="s">
        <v>2338</v>
      </c>
      <c r="ABI10">
        <v>209.55554866790769</v>
      </c>
      <c r="ABJ10">
        <v>392</v>
      </c>
      <c r="ABK10" s="5"/>
      <c r="ABL10">
        <f t="shared" si="123"/>
        <v>19</v>
      </c>
      <c r="ABM10" t="s">
        <v>15</v>
      </c>
      <c r="ABN10" t="s">
        <v>2339</v>
      </c>
      <c r="ABO10">
        <v>6.4909913539886466</v>
      </c>
      <c r="ABP10">
        <v>228</v>
      </c>
      <c r="ABQ10" s="2"/>
      <c r="ABR10">
        <f t="shared" si="124"/>
        <v>40</v>
      </c>
      <c r="ABS10" t="s">
        <v>2261</v>
      </c>
      <c r="ABT10" t="s">
        <v>2340</v>
      </c>
      <c r="ABU10">
        <v>5.1619939804077148</v>
      </c>
      <c r="ABV10">
        <v>260</v>
      </c>
      <c r="ABW10" s="5"/>
      <c r="ABX10">
        <f t="shared" si="125"/>
        <v>51</v>
      </c>
      <c r="ABY10" t="s">
        <v>2341</v>
      </c>
      <c r="ABZ10" t="s">
        <v>2342</v>
      </c>
      <c r="ACA10">
        <v>21.768523454666141</v>
      </c>
      <c r="ACB10">
        <v>280</v>
      </c>
      <c r="ACC10" s="2"/>
      <c r="ACD10">
        <f t="shared" si="126"/>
        <v>12</v>
      </c>
      <c r="ACE10" t="s">
        <v>2343</v>
      </c>
      <c r="ACF10" t="s">
        <v>2344</v>
      </c>
      <c r="ACG10">
        <v>3.5464236736297612</v>
      </c>
      <c r="ACH10">
        <v>172</v>
      </c>
      <c r="ACI10" s="5"/>
      <c r="ACJ10">
        <f t="shared" si="127"/>
        <v>14</v>
      </c>
      <c r="ACK10" t="s">
        <v>500</v>
      </c>
      <c r="ACL10" t="s">
        <v>2345</v>
      </c>
      <c r="ACM10">
        <v>10.119110822677611</v>
      </c>
      <c r="ACN10">
        <v>243</v>
      </c>
      <c r="ACO10" s="2"/>
      <c r="ACP10">
        <f t="shared" si="128"/>
        <v>11</v>
      </c>
      <c r="ACQ10" t="s">
        <v>2346</v>
      </c>
      <c r="ACR10" t="s">
        <v>2347</v>
      </c>
      <c r="ACS10">
        <v>2.8004987239837651</v>
      </c>
      <c r="ACT10">
        <v>196</v>
      </c>
      <c r="ACU10" s="5"/>
      <c r="ACV10">
        <f t="shared" si="129"/>
        <v>24</v>
      </c>
      <c r="ACW10" t="s">
        <v>2348</v>
      </c>
      <c r="ACX10" t="s">
        <v>2349</v>
      </c>
      <c r="ACY10">
        <v>15.87975001335144</v>
      </c>
      <c r="ACZ10">
        <v>201</v>
      </c>
      <c r="ADA10" s="2"/>
      <c r="ADB10">
        <f t="shared" si="130"/>
        <v>32</v>
      </c>
      <c r="ADC10" t="s">
        <v>133</v>
      </c>
      <c r="ADD10" t="s">
        <v>2350</v>
      </c>
      <c r="ADE10">
        <v>201.44508767127991</v>
      </c>
      <c r="ADF10">
        <v>255</v>
      </c>
      <c r="ADG10" s="5"/>
      <c r="ADH10">
        <f t="shared" si="131"/>
        <v>39</v>
      </c>
      <c r="ADI10" t="s">
        <v>2351</v>
      </c>
      <c r="ADJ10" t="s">
        <v>2352</v>
      </c>
      <c r="ADK10">
        <v>7.4765336513519287</v>
      </c>
      <c r="ADL10">
        <v>347</v>
      </c>
      <c r="ADM10" s="2"/>
      <c r="ADN10">
        <f t="shared" si="132"/>
        <v>45</v>
      </c>
      <c r="ADO10" t="s">
        <v>2353</v>
      </c>
      <c r="ADP10" t="s">
        <v>2354</v>
      </c>
      <c r="ADQ10">
        <v>26.736716270446781</v>
      </c>
      <c r="ADR10">
        <v>248</v>
      </c>
      <c r="ADS10" s="5"/>
      <c r="ADT10">
        <f t="shared" si="133"/>
        <v>89</v>
      </c>
      <c r="ADU10" t="s">
        <v>2355</v>
      </c>
      <c r="ADV10" t="s">
        <v>2356</v>
      </c>
      <c r="ADW10">
        <v>30.18596720695496</v>
      </c>
      <c r="ADX10">
        <v>306</v>
      </c>
      <c r="ADY10" s="2"/>
      <c r="ADZ10">
        <f t="shared" si="134"/>
        <v>19</v>
      </c>
      <c r="AEA10" t="s">
        <v>2357</v>
      </c>
      <c r="AEB10" t="s">
        <v>2358</v>
      </c>
      <c r="AEC10">
        <v>9.5568804740905762</v>
      </c>
      <c r="AED10">
        <v>335</v>
      </c>
      <c r="AEE10" s="5"/>
      <c r="AEF10">
        <f t="shared" si="135"/>
        <v>42</v>
      </c>
      <c r="AEG10" t="s">
        <v>2359</v>
      </c>
      <c r="AEH10" t="s">
        <v>2360</v>
      </c>
      <c r="AEI10">
        <v>28.2440459728241</v>
      </c>
      <c r="AEJ10">
        <v>337</v>
      </c>
      <c r="AEK10" s="2"/>
      <c r="AEL10">
        <f t="shared" si="136"/>
        <v>29</v>
      </c>
      <c r="AEM10" t="s">
        <v>2361</v>
      </c>
      <c r="AEN10" t="s">
        <v>2362</v>
      </c>
      <c r="AEO10">
        <v>11.034925699234011</v>
      </c>
      <c r="AEP10">
        <v>315</v>
      </c>
      <c r="AEQ10" s="5"/>
      <c r="AER10">
        <f t="shared" si="137"/>
        <v>26</v>
      </c>
      <c r="AES10" t="s">
        <v>2363</v>
      </c>
      <c r="AET10" t="s">
        <v>2364</v>
      </c>
      <c r="AEU10">
        <v>12.67617845535278</v>
      </c>
      <c r="AEV10">
        <v>281</v>
      </c>
      <c r="AEW10" s="2"/>
      <c r="AEX10">
        <f t="shared" si="138"/>
        <v>23</v>
      </c>
      <c r="AEY10" t="s">
        <v>2365</v>
      </c>
      <c r="AEZ10" t="s">
        <v>2366</v>
      </c>
      <c r="AFA10">
        <v>13.5781569480896</v>
      </c>
      <c r="AFB10">
        <v>308</v>
      </c>
      <c r="AFC10" s="5"/>
      <c r="AFD10">
        <f t="shared" si="139"/>
        <v>32</v>
      </c>
      <c r="AFE10" t="s">
        <v>46</v>
      </c>
      <c r="AFF10" t="s">
        <v>2367</v>
      </c>
      <c r="AFG10">
        <v>8.0707077980041504</v>
      </c>
      <c r="AFH10">
        <v>206</v>
      </c>
      <c r="AFI10" s="2"/>
      <c r="AFJ10">
        <f t="shared" si="140"/>
        <v>63</v>
      </c>
      <c r="AFK10" t="s">
        <v>2368</v>
      </c>
      <c r="AFL10" t="s">
        <v>2369</v>
      </c>
      <c r="AFM10">
        <v>114.05418968200679</v>
      </c>
      <c r="AFN10">
        <v>222</v>
      </c>
      <c r="AFO10" s="5"/>
      <c r="AFP10">
        <f t="shared" si="141"/>
        <v>42</v>
      </c>
      <c r="AFQ10" t="s">
        <v>1582</v>
      </c>
      <c r="AFR10" t="s">
        <v>2370</v>
      </c>
      <c r="AFS10">
        <v>17.47437596321106</v>
      </c>
      <c r="AFT10">
        <v>192</v>
      </c>
      <c r="AFU10" s="2"/>
      <c r="AFV10">
        <f t="shared" si="142"/>
        <v>19</v>
      </c>
      <c r="AFW10" t="s">
        <v>2371</v>
      </c>
      <c r="AFX10" t="s">
        <v>2372</v>
      </c>
      <c r="AFY10">
        <v>20.50003099441528</v>
      </c>
      <c r="AFZ10">
        <v>191</v>
      </c>
      <c r="AGA10" s="5"/>
      <c r="AGB10">
        <f t="shared" si="143"/>
        <v>22</v>
      </c>
      <c r="AGC10" t="s">
        <v>1805</v>
      </c>
      <c r="AGD10" t="s">
        <v>2373</v>
      </c>
      <c r="AGE10">
        <v>7.6516342163085938</v>
      </c>
      <c r="AGF10">
        <v>236</v>
      </c>
      <c r="AGG10" s="2"/>
      <c r="AGH10">
        <f t="shared" si="144"/>
        <v>35</v>
      </c>
      <c r="AGI10" t="s">
        <v>1358</v>
      </c>
      <c r="AGJ10" t="s">
        <v>2374</v>
      </c>
      <c r="AGK10">
        <v>7.6508719921112061</v>
      </c>
      <c r="AGL10">
        <v>363</v>
      </c>
      <c r="AGM10" s="5"/>
      <c r="AGN10">
        <f t="shared" si="145"/>
        <v>36</v>
      </c>
      <c r="AGO10" t="s">
        <v>2078</v>
      </c>
      <c r="AGP10" t="s">
        <v>2375</v>
      </c>
      <c r="AGQ10">
        <v>20.63511157035828</v>
      </c>
      <c r="AGR10">
        <v>270</v>
      </c>
      <c r="AGS10" s="2"/>
      <c r="AGT10">
        <f t="shared" si="146"/>
        <v>27</v>
      </c>
      <c r="AGU10" t="s">
        <v>2376</v>
      </c>
      <c r="AGV10" t="s">
        <v>2377</v>
      </c>
      <c r="AGW10">
        <v>8.0102927684783936</v>
      </c>
      <c r="AGX10">
        <v>239</v>
      </c>
      <c r="AGY10" s="5"/>
      <c r="AGZ10">
        <f t="shared" si="147"/>
        <v>48</v>
      </c>
      <c r="AHA10" t="s">
        <v>2378</v>
      </c>
      <c r="AHB10" t="s">
        <v>2379</v>
      </c>
      <c r="AHC10">
        <v>26.1181800365448</v>
      </c>
      <c r="AHD10">
        <v>328</v>
      </c>
      <c r="AHE10" s="2"/>
      <c r="AHF10">
        <f t="shared" si="148"/>
        <v>24</v>
      </c>
      <c r="AHG10" t="s">
        <v>2380</v>
      </c>
      <c r="AHH10" t="s">
        <v>2381</v>
      </c>
      <c r="AHI10">
        <v>10.738669872283941</v>
      </c>
      <c r="AHJ10">
        <v>241</v>
      </c>
      <c r="AHK10" s="5"/>
      <c r="AHL10">
        <f t="shared" si="149"/>
        <v>25</v>
      </c>
      <c r="AHM10" t="s">
        <v>2382</v>
      </c>
      <c r="AHN10" t="s">
        <v>2383</v>
      </c>
      <c r="AHO10">
        <v>10.915401458740231</v>
      </c>
      <c r="AHP10">
        <v>222</v>
      </c>
      <c r="AHQ10" s="2"/>
      <c r="AHR10">
        <f t="shared" si="150"/>
        <v>54</v>
      </c>
      <c r="AHS10" t="s">
        <v>1953</v>
      </c>
      <c r="AHT10" t="s">
        <v>2384</v>
      </c>
      <c r="AHU10">
        <v>9.8588345050811768</v>
      </c>
      <c r="AHV10">
        <v>272</v>
      </c>
      <c r="AHW10" s="5"/>
      <c r="AHX10">
        <f t="shared" si="151"/>
        <v>23</v>
      </c>
      <c r="AHY10" t="s">
        <v>2385</v>
      </c>
      <c r="AHZ10" t="s">
        <v>2386</v>
      </c>
      <c r="AIA10">
        <v>7.7703709602355957</v>
      </c>
      <c r="AIB10">
        <v>129</v>
      </c>
      <c r="AIC10" s="2"/>
      <c r="AID10">
        <f t="shared" si="152"/>
        <v>26</v>
      </c>
      <c r="AIE10" t="s">
        <v>2387</v>
      </c>
      <c r="AIF10" t="s">
        <v>2388</v>
      </c>
      <c r="AIG10">
        <v>27.136726140975949</v>
      </c>
      <c r="AIH10">
        <v>211</v>
      </c>
      <c r="AII10" s="5"/>
      <c r="AIJ10">
        <f t="shared" si="153"/>
        <v>30</v>
      </c>
      <c r="AIK10" t="s">
        <v>2389</v>
      </c>
      <c r="AIL10" t="s">
        <v>2390</v>
      </c>
      <c r="AIM10">
        <v>18.92252159118652</v>
      </c>
      <c r="AIN10">
        <v>200</v>
      </c>
      <c r="AIO10" s="2"/>
      <c r="AIP10">
        <f t="shared" si="154"/>
        <v>23</v>
      </c>
      <c r="AIQ10" t="s">
        <v>2391</v>
      </c>
      <c r="AIR10" t="s">
        <v>2392</v>
      </c>
      <c r="AIS10">
        <v>12.44864058494568</v>
      </c>
      <c r="AIT10">
        <v>229</v>
      </c>
      <c r="AIU10" s="5"/>
      <c r="AIV10">
        <f t="shared" si="155"/>
        <v>23</v>
      </c>
      <c r="AIW10" t="s">
        <v>2393</v>
      </c>
      <c r="AIX10" t="s">
        <v>2394</v>
      </c>
      <c r="AIY10">
        <v>26.447957992553711</v>
      </c>
      <c r="AIZ10">
        <v>263</v>
      </c>
      <c r="AJA10" s="2"/>
      <c r="AJB10">
        <f t="shared" si="156"/>
        <v>58</v>
      </c>
      <c r="AJC10" t="s">
        <v>2395</v>
      </c>
      <c r="AJD10" t="s">
        <v>2396</v>
      </c>
      <c r="AJE10">
        <v>127.07457447052001</v>
      </c>
      <c r="AJF10">
        <v>447</v>
      </c>
      <c r="AJG10" s="5"/>
      <c r="AJH10">
        <f t="shared" si="157"/>
        <v>23</v>
      </c>
      <c r="AJI10" t="s">
        <v>151</v>
      </c>
      <c r="AJJ10" t="s">
        <v>2397</v>
      </c>
      <c r="AJK10">
        <v>10.224960327148439</v>
      </c>
      <c r="AJL10">
        <v>291</v>
      </c>
      <c r="AJM10" s="2"/>
      <c r="AJN10">
        <f t="shared" si="158"/>
        <v>35</v>
      </c>
      <c r="AJO10" t="s">
        <v>2398</v>
      </c>
      <c r="AJP10" t="s">
        <v>2399</v>
      </c>
      <c r="AJQ10">
        <v>19.761193752288818</v>
      </c>
      <c r="AJR10">
        <v>312</v>
      </c>
      <c r="AJS10" s="5"/>
      <c r="AJT10">
        <f t="shared" si="159"/>
        <v>24</v>
      </c>
      <c r="AJU10" t="s">
        <v>150</v>
      </c>
      <c r="AJV10" t="s">
        <v>2400</v>
      </c>
      <c r="AJW10">
        <v>29.83208346366882</v>
      </c>
      <c r="AJX10">
        <v>322</v>
      </c>
      <c r="AJY10" s="2"/>
      <c r="AJZ10">
        <f t="shared" si="160"/>
        <v>40</v>
      </c>
      <c r="AKA10" t="s">
        <v>2401</v>
      </c>
      <c r="AKB10" t="s">
        <v>2402</v>
      </c>
      <c r="AKC10">
        <v>3.312312126159668</v>
      </c>
      <c r="AKD10">
        <v>164</v>
      </c>
      <c r="AKE10" s="5"/>
      <c r="AKF10">
        <f t="shared" si="161"/>
        <v>50</v>
      </c>
      <c r="AKG10" t="s">
        <v>184</v>
      </c>
      <c r="AKH10" t="s">
        <v>2403</v>
      </c>
      <c r="AKI10">
        <v>13.247015714645389</v>
      </c>
      <c r="AKJ10">
        <v>288</v>
      </c>
      <c r="AKK10" s="2"/>
      <c r="AKL10">
        <f t="shared" si="162"/>
        <v>27</v>
      </c>
      <c r="AKM10" t="s">
        <v>2404</v>
      </c>
      <c r="AKN10" t="s">
        <v>2405</v>
      </c>
      <c r="AKO10">
        <v>11.972436189651489</v>
      </c>
      <c r="AKP10">
        <v>263</v>
      </c>
      <c r="AKQ10" s="5"/>
      <c r="AKR10">
        <f t="shared" si="163"/>
        <v>52</v>
      </c>
      <c r="AKS10" t="s">
        <v>2406</v>
      </c>
      <c r="AKT10" t="s">
        <v>2407</v>
      </c>
      <c r="AKU10">
        <v>45.376983880996697</v>
      </c>
      <c r="AKV10">
        <v>316</v>
      </c>
      <c r="AKW10" s="2"/>
      <c r="AKX10">
        <f t="shared" si="164"/>
        <v>30</v>
      </c>
      <c r="AKY10" t="s">
        <v>2408</v>
      </c>
      <c r="AKZ10" t="s">
        <v>2409</v>
      </c>
      <c r="ALA10">
        <v>6.6550486087799072</v>
      </c>
      <c r="ALB10">
        <v>347</v>
      </c>
      <c r="ALC10" s="5"/>
      <c r="ALD10">
        <f t="shared" si="165"/>
        <v>25</v>
      </c>
      <c r="ALE10" t="s">
        <v>2410</v>
      </c>
      <c r="ALF10" t="s">
        <v>2411</v>
      </c>
      <c r="ALG10">
        <v>15.13898229598999</v>
      </c>
      <c r="ALH10">
        <v>326</v>
      </c>
      <c r="ALI10" s="2"/>
      <c r="ALJ10">
        <f t="shared" si="166"/>
        <v>39</v>
      </c>
      <c r="ALK10" t="s">
        <v>500</v>
      </c>
      <c r="ALL10" t="s">
        <v>2412</v>
      </c>
      <c r="ALM10">
        <v>4.8114237785339364</v>
      </c>
      <c r="ALN10">
        <v>269</v>
      </c>
      <c r="ALO10" s="5"/>
      <c r="ALP10">
        <f t="shared" si="167"/>
        <v>24</v>
      </c>
      <c r="ALQ10" t="s">
        <v>2413</v>
      </c>
      <c r="ALR10" t="s">
        <v>2414</v>
      </c>
      <c r="ALS10">
        <v>9.9653153419494629</v>
      </c>
      <c r="ALT10">
        <v>263</v>
      </c>
      <c r="ALU10" s="2"/>
      <c r="ALV10">
        <f t="shared" si="168"/>
        <v>42</v>
      </c>
      <c r="ALW10" t="s">
        <v>2415</v>
      </c>
      <c r="ALX10" t="s">
        <v>2416</v>
      </c>
      <c r="ALY10">
        <v>25.902069330215451</v>
      </c>
      <c r="ALZ10">
        <v>328</v>
      </c>
      <c r="AMA10" s="5"/>
      <c r="AMB10">
        <f t="shared" si="169"/>
        <v>39</v>
      </c>
      <c r="AMC10" t="s">
        <v>2417</v>
      </c>
      <c r="AMD10" t="s">
        <v>2418</v>
      </c>
      <c r="AME10">
        <v>17.52400708198547</v>
      </c>
      <c r="AMF10">
        <v>230</v>
      </c>
      <c r="AMG10" s="2"/>
      <c r="AMH10">
        <f t="shared" si="170"/>
        <v>25</v>
      </c>
      <c r="AMI10" t="s">
        <v>2037</v>
      </c>
      <c r="AMJ10" t="s">
        <v>2419</v>
      </c>
      <c r="AMK10">
        <v>9.8837354183197021</v>
      </c>
      <c r="AML10">
        <v>304</v>
      </c>
      <c r="AMM10" s="5"/>
      <c r="AMN10">
        <f t="shared" si="171"/>
        <v>25</v>
      </c>
      <c r="AMO10" t="s">
        <v>2420</v>
      </c>
      <c r="AMP10" t="s">
        <v>2421</v>
      </c>
      <c r="AMQ10">
        <v>13.355167627334589</v>
      </c>
      <c r="AMR10">
        <v>239</v>
      </c>
      <c r="AMS10" s="2"/>
    </row>
    <row r="11" spans="1:1033" x14ac:dyDescent="0.25">
      <c r="A11">
        <v>9</v>
      </c>
      <c r="B11">
        <f t="shared" si="0"/>
        <v>43</v>
      </c>
      <c r="C11" t="s">
        <v>2422</v>
      </c>
      <c r="D11" t="s">
        <v>2423</v>
      </c>
      <c r="E11">
        <v>26.397932052612301</v>
      </c>
      <c r="F11">
        <v>287</v>
      </c>
      <c r="G11" s="1"/>
      <c r="H11">
        <f t="shared" si="1"/>
        <v>42</v>
      </c>
      <c r="I11" t="s">
        <v>2424</v>
      </c>
      <c r="J11" t="s">
        <v>2425</v>
      </c>
      <c r="K11">
        <v>135.5143692493439</v>
      </c>
      <c r="L11">
        <v>299</v>
      </c>
      <c r="M11" s="2"/>
      <c r="N11">
        <f t="shared" si="2"/>
        <v>22</v>
      </c>
      <c r="O11" t="s">
        <v>2426</v>
      </c>
      <c r="P11" t="s">
        <v>2427</v>
      </c>
      <c r="Q11">
        <v>14.42843770980835</v>
      </c>
      <c r="R11">
        <v>252</v>
      </c>
      <c r="S11" s="1"/>
      <c r="T11">
        <f t="shared" si="3"/>
        <v>22</v>
      </c>
      <c r="U11" t="s">
        <v>2428</v>
      </c>
      <c r="V11" t="s">
        <v>2429</v>
      </c>
      <c r="W11">
        <v>5.8555645942687988</v>
      </c>
      <c r="X11">
        <v>311</v>
      </c>
      <c r="Y11" s="2"/>
      <c r="Z11">
        <f t="shared" si="4"/>
        <v>19</v>
      </c>
      <c r="AA11" t="s">
        <v>2430</v>
      </c>
      <c r="AB11" t="s">
        <v>2431</v>
      </c>
      <c r="AC11">
        <v>10.312495946884161</v>
      </c>
      <c r="AD11">
        <v>278</v>
      </c>
      <c r="AE11" s="1"/>
      <c r="AF11">
        <f t="shared" si="5"/>
        <v>14</v>
      </c>
      <c r="AG11" t="s">
        <v>2432</v>
      </c>
      <c r="AH11" t="s">
        <v>2433</v>
      </c>
      <c r="AI11">
        <v>4.2665512561798096</v>
      </c>
      <c r="AJ11">
        <v>287</v>
      </c>
      <c r="AK11" s="2"/>
      <c r="AL11">
        <f t="shared" si="6"/>
        <v>30</v>
      </c>
      <c r="AM11" t="s">
        <v>532</v>
      </c>
      <c r="AN11" t="s">
        <v>2434</v>
      </c>
      <c r="AO11">
        <v>9.1442248821258545</v>
      </c>
      <c r="AP11">
        <v>323</v>
      </c>
      <c r="AQ11" s="3"/>
      <c r="AR11">
        <f t="shared" si="7"/>
        <v>24</v>
      </c>
      <c r="AS11" t="s">
        <v>928</v>
      </c>
      <c r="AT11" t="s">
        <v>2435</v>
      </c>
      <c r="AU11">
        <v>13.065416097640989</v>
      </c>
      <c r="AV11">
        <v>324</v>
      </c>
      <c r="AW11" s="2"/>
      <c r="AX11">
        <f t="shared" si="8"/>
        <v>30</v>
      </c>
      <c r="AY11" t="s">
        <v>2436</v>
      </c>
      <c r="AZ11" t="s">
        <v>2437</v>
      </c>
      <c r="BA11">
        <v>9.1964280605316162</v>
      </c>
      <c r="BB11">
        <v>274</v>
      </c>
      <c r="BC11" s="3"/>
      <c r="BD11">
        <f t="shared" si="9"/>
        <v>51</v>
      </c>
      <c r="BE11" t="s">
        <v>2438</v>
      </c>
      <c r="BF11" t="s">
        <v>2439</v>
      </c>
      <c r="BG11">
        <v>25.9455451965332</v>
      </c>
      <c r="BH11">
        <v>371</v>
      </c>
      <c r="BI11" s="2"/>
      <c r="BJ11">
        <f t="shared" si="10"/>
        <v>26</v>
      </c>
      <c r="BK11" t="s">
        <v>2440</v>
      </c>
      <c r="BL11" t="s">
        <v>2441</v>
      </c>
      <c r="BM11">
        <v>17.830637693405151</v>
      </c>
      <c r="BN11">
        <v>405</v>
      </c>
      <c r="BO11" s="3"/>
      <c r="BP11">
        <f t="shared" si="11"/>
        <v>32</v>
      </c>
      <c r="BQ11" t="s">
        <v>2442</v>
      </c>
      <c r="BR11" t="s">
        <v>2443</v>
      </c>
      <c r="BS11">
        <v>12.063608169555661</v>
      </c>
      <c r="BT11">
        <v>303</v>
      </c>
      <c r="BU11" s="2"/>
      <c r="BV11">
        <f t="shared" si="12"/>
        <v>22</v>
      </c>
      <c r="BW11" t="s">
        <v>2444</v>
      </c>
      <c r="BX11" t="s">
        <v>2445</v>
      </c>
      <c r="BY11">
        <v>5.2608673572540283</v>
      </c>
      <c r="BZ11">
        <v>394</v>
      </c>
      <c r="CA11" s="3"/>
      <c r="CB11">
        <f t="shared" si="13"/>
        <v>30</v>
      </c>
      <c r="CC11" t="s">
        <v>2446</v>
      </c>
      <c r="CD11" t="s">
        <v>2447</v>
      </c>
      <c r="CE11">
        <v>12.484289884567261</v>
      </c>
      <c r="CF11">
        <v>280</v>
      </c>
      <c r="CG11" s="2"/>
      <c r="CH11">
        <f t="shared" si="14"/>
        <v>37</v>
      </c>
      <c r="CI11" t="s">
        <v>2310</v>
      </c>
      <c r="CJ11" t="s">
        <v>2448</v>
      </c>
      <c r="CK11">
        <v>6.4387071132659912</v>
      </c>
      <c r="CL11">
        <v>235</v>
      </c>
      <c r="CM11" s="3"/>
      <c r="CN11">
        <f t="shared" si="15"/>
        <v>39</v>
      </c>
      <c r="CO11" t="s">
        <v>2449</v>
      </c>
      <c r="CP11" t="s">
        <v>2450</v>
      </c>
      <c r="CQ11">
        <v>28.59553241729736</v>
      </c>
      <c r="CR11">
        <v>329</v>
      </c>
      <c r="CS11" s="2"/>
      <c r="CT11">
        <f t="shared" si="16"/>
        <v>45</v>
      </c>
      <c r="CU11" t="s">
        <v>2451</v>
      </c>
      <c r="CV11" t="s">
        <v>2452</v>
      </c>
      <c r="CW11">
        <v>15.21349215507507</v>
      </c>
      <c r="CX11">
        <v>360</v>
      </c>
      <c r="CY11" s="3"/>
      <c r="CZ11">
        <f t="shared" si="17"/>
        <v>30</v>
      </c>
      <c r="DA11" t="s">
        <v>2453</v>
      </c>
      <c r="DB11" t="s">
        <v>2454</v>
      </c>
      <c r="DC11">
        <v>12.45950531959534</v>
      </c>
      <c r="DD11">
        <v>275</v>
      </c>
      <c r="DE11" s="2"/>
      <c r="DF11">
        <f t="shared" si="18"/>
        <v>10</v>
      </c>
      <c r="DG11" t="s">
        <v>786</v>
      </c>
      <c r="DH11" t="s">
        <v>2455</v>
      </c>
      <c r="DI11">
        <v>8.2325127124786377</v>
      </c>
      <c r="DJ11">
        <v>162</v>
      </c>
      <c r="DK11" s="3"/>
      <c r="DL11">
        <f t="shared" si="19"/>
        <v>6</v>
      </c>
      <c r="DM11" t="s">
        <v>2456</v>
      </c>
      <c r="DN11" t="s">
        <v>2457</v>
      </c>
      <c r="DO11">
        <v>4.1177310943603516</v>
      </c>
      <c r="DP11">
        <v>212</v>
      </c>
      <c r="DQ11" s="2"/>
      <c r="DR11">
        <f t="shared" si="20"/>
        <v>62</v>
      </c>
      <c r="DS11" t="s">
        <v>2458</v>
      </c>
      <c r="DT11" t="s">
        <v>2459</v>
      </c>
      <c r="DU11">
        <v>13.79834461212158</v>
      </c>
      <c r="DV11">
        <v>398</v>
      </c>
      <c r="DW11" s="3"/>
      <c r="DX11">
        <f t="shared" si="21"/>
        <v>18</v>
      </c>
      <c r="DY11" t="s">
        <v>2460</v>
      </c>
      <c r="DZ11" t="s">
        <v>2461</v>
      </c>
      <c r="EA11">
        <v>4.4002883434295654</v>
      </c>
      <c r="EB11">
        <v>280</v>
      </c>
      <c r="EC11" s="2"/>
      <c r="ED11">
        <f t="shared" si="22"/>
        <v>14</v>
      </c>
      <c r="EE11" t="s">
        <v>800</v>
      </c>
      <c r="EF11" t="s">
        <v>2462</v>
      </c>
      <c r="EG11">
        <v>3.0912001132965088</v>
      </c>
      <c r="EH11">
        <v>155</v>
      </c>
      <c r="EI11" s="3"/>
      <c r="EJ11">
        <f t="shared" si="23"/>
        <v>22</v>
      </c>
      <c r="EK11" t="s">
        <v>2463</v>
      </c>
      <c r="EL11" t="s">
        <v>2464</v>
      </c>
      <c r="EM11">
        <v>6.9141571521759033</v>
      </c>
      <c r="EN11">
        <v>359</v>
      </c>
      <c r="EO11" s="2"/>
      <c r="EP11">
        <f t="shared" si="24"/>
        <v>12</v>
      </c>
      <c r="EQ11" t="s">
        <v>2205</v>
      </c>
      <c r="ER11" t="s">
        <v>2465</v>
      </c>
      <c r="ES11">
        <v>10.92821741104126</v>
      </c>
      <c r="ET11">
        <v>237</v>
      </c>
      <c r="EU11" s="3"/>
      <c r="EV11">
        <f t="shared" si="25"/>
        <v>17</v>
      </c>
      <c r="EW11" t="s">
        <v>2466</v>
      </c>
      <c r="EX11" t="s">
        <v>2467</v>
      </c>
      <c r="EY11">
        <v>7.8790016174316406</v>
      </c>
      <c r="EZ11">
        <v>205</v>
      </c>
      <c r="FA11" s="2"/>
      <c r="FB11">
        <f t="shared" si="26"/>
        <v>30</v>
      </c>
      <c r="FC11" t="s">
        <v>2468</v>
      </c>
      <c r="FD11" t="s">
        <v>2469</v>
      </c>
      <c r="FE11">
        <v>12.910517454147341</v>
      </c>
      <c r="FF11">
        <v>327</v>
      </c>
      <c r="FG11" s="3"/>
      <c r="FH11">
        <f t="shared" si="27"/>
        <v>30</v>
      </c>
      <c r="FI11" t="s">
        <v>2470</v>
      </c>
      <c r="FJ11" t="s">
        <v>2471</v>
      </c>
      <c r="FK11">
        <v>13.144082069396971</v>
      </c>
      <c r="FL11">
        <v>358</v>
      </c>
      <c r="FM11" s="2"/>
      <c r="FN11">
        <f t="shared" si="28"/>
        <v>37</v>
      </c>
      <c r="FO11" t="s">
        <v>2472</v>
      </c>
      <c r="FP11" t="s">
        <v>2473</v>
      </c>
      <c r="FQ11">
        <v>17.927512168884281</v>
      </c>
      <c r="FR11">
        <v>387</v>
      </c>
      <c r="FS11" s="3"/>
      <c r="FT11">
        <f t="shared" si="29"/>
        <v>43</v>
      </c>
      <c r="FU11" t="s">
        <v>2474</v>
      </c>
      <c r="FV11" t="s">
        <v>2475</v>
      </c>
      <c r="FW11">
        <v>23.300478935241699</v>
      </c>
      <c r="FX11">
        <v>369</v>
      </c>
      <c r="FY11" s="2"/>
      <c r="FZ11">
        <f t="shared" si="30"/>
        <v>70</v>
      </c>
      <c r="GA11" t="s">
        <v>2476</v>
      </c>
      <c r="GB11" t="s">
        <v>2477</v>
      </c>
      <c r="GC11">
        <v>231.9716649055481</v>
      </c>
      <c r="GD11">
        <v>292</v>
      </c>
      <c r="GE11" s="3"/>
      <c r="GF11">
        <f t="shared" si="31"/>
        <v>22</v>
      </c>
      <c r="GG11" t="s">
        <v>2110</v>
      </c>
      <c r="GH11" t="s">
        <v>2478</v>
      </c>
      <c r="GI11">
        <v>16.106577396392819</v>
      </c>
      <c r="GJ11">
        <v>329</v>
      </c>
      <c r="GK11" s="2"/>
      <c r="GL11">
        <f t="shared" si="32"/>
        <v>30</v>
      </c>
      <c r="GM11" t="s">
        <v>2479</v>
      </c>
      <c r="GN11" t="s">
        <v>2480</v>
      </c>
      <c r="GO11">
        <v>24.626450061798099</v>
      </c>
      <c r="GP11">
        <v>265</v>
      </c>
      <c r="GQ11" s="3"/>
      <c r="GR11">
        <f t="shared" si="33"/>
        <v>30</v>
      </c>
      <c r="GS11" t="s">
        <v>2481</v>
      </c>
      <c r="GT11" t="s">
        <v>2482</v>
      </c>
      <c r="GU11">
        <v>12.52399468421936</v>
      </c>
      <c r="GV11">
        <v>378</v>
      </c>
      <c r="GW11" s="2"/>
      <c r="GX11">
        <f t="shared" si="34"/>
        <v>94</v>
      </c>
      <c r="GY11" t="s">
        <v>2483</v>
      </c>
      <c r="GZ11" t="s">
        <v>2484</v>
      </c>
      <c r="HA11">
        <v>12.515275478363041</v>
      </c>
      <c r="HB11">
        <v>281</v>
      </c>
      <c r="HC11" s="3"/>
      <c r="HD11">
        <f t="shared" si="35"/>
        <v>20</v>
      </c>
      <c r="HE11" t="s">
        <v>2485</v>
      </c>
      <c r="HF11" t="s">
        <v>2486</v>
      </c>
      <c r="HG11">
        <v>15.1551194190979</v>
      </c>
      <c r="HH11">
        <v>235</v>
      </c>
      <c r="HI11" s="2"/>
      <c r="HJ11">
        <f t="shared" si="36"/>
        <v>24</v>
      </c>
      <c r="HK11" t="s">
        <v>2487</v>
      </c>
      <c r="HL11" t="s">
        <v>2488</v>
      </c>
      <c r="HM11">
        <v>12.919174671173099</v>
      </c>
      <c r="HN11">
        <v>270</v>
      </c>
      <c r="HO11" s="3"/>
      <c r="HP11">
        <f t="shared" si="37"/>
        <v>23</v>
      </c>
      <c r="HQ11" t="s">
        <v>2489</v>
      </c>
      <c r="HR11" t="s">
        <v>2490</v>
      </c>
      <c r="HS11">
        <v>79.318313121795654</v>
      </c>
      <c r="HT11">
        <v>313</v>
      </c>
      <c r="HU11" s="2"/>
      <c r="HV11">
        <f t="shared" si="38"/>
        <v>28</v>
      </c>
      <c r="HW11" t="s">
        <v>2491</v>
      </c>
      <c r="HX11" t="s">
        <v>2492</v>
      </c>
      <c r="HY11">
        <v>26.56187725067139</v>
      </c>
      <c r="HZ11">
        <v>329</v>
      </c>
      <c r="IA11" s="3"/>
      <c r="IB11">
        <f t="shared" si="39"/>
        <v>24</v>
      </c>
      <c r="IC11" t="s">
        <v>2493</v>
      </c>
      <c r="ID11" t="s">
        <v>2494</v>
      </c>
      <c r="IE11">
        <v>7.9594106674194336</v>
      </c>
      <c r="IF11">
        <v>304</v>
      </c>
      <c r="IG11" s="2"/>
      <c r="IH11">
        <f t="shared" si="40"/>
        <v>76</v>
      </c>
      <c r="II11" t="s">
        <v>2495</v>
      </c>
      <c r="IJ11" t="s">
        <v>2496</v>
      </c>
      <c r="IK11">
        <v>254.10540890693659</v>
      </c>
      <c r="IL11">
        <v>377</v>
      </c>
      <c r="IM11" s="3"/>
      <c r="IN11">
        <f t="shared" si="41"/>
        <v>25</v>
      </c>
      <c r="IO11" t="s">
        <v>2497</v>
      </c>
      <c r="IP11" t="s">
        <v>2498</v>
      </c>
      <c r="IQ11">
        <v>13.727705001831049</v>
      </c>
      <c r="IR11">
        <v>316</v>
      </c>
      <c r="IS11" s="2"/>
      <c r="IT11">
        <f t="shared" si="42"/>
        <v>31</v>
      </c>
      <c r="IU11" t="s">
        <v>2499</v>
      </c>
      <c r="IV11" t="s">
        <v>2500</v>
      </c>
      <c r="IW11">
        <v>27.51635122299194</v>
      </c>
      <c r="IX11">
        <v>244</v>
      </c>
      <c r="IY11" s="3"/>
      <c r="IZ11">
        <f t="shared" si="43"/>
        <v>31</v>
      </c>
      <c r="JA11" t="s">
        <v>1358</v>
      </c>
      <c r="JB11" t="s">
        <v>2501</v>
      </c>
      <c r="JC11">
        <v>7.2208895683288574</v>
      </c>
      <c r="JD11">
        <v>266</v>
      </c>
      <c r="JE11" s="2"/>
      <c r="JF11">
        <f t="shared" si="44"/>
        <v>21</v>
      </c>
      <c r="JG11" t="s">
        <v>2502</v>
      </c>
      <c r="JH11" t="s">
        <v>2503</v>
      </c>
      <c r="JI11">
        <v>5.6562600135803223</v>
      </c>
      <c r="JJ11">
        <v>224</v>
      </c>
      <c r="JK11" s="3"/>
      <c r="JL11">
        <f t="shared" si="45"/>
        <v>19</v>
      </c>
      <c r="JM11" t="s">
        <v>2504</v>
      </c>
      <c r="JN11" t="s">
        <v>2505</v>
      </c>
      <c r="JO11">
        <v>6.2487497329711914</v>
      </c>
      <c r="JP11">
        <v>230</v>
      </c>
      <c r="JQ11" s="2"/>
      <c r="JR11">
        <f t="shared" si="46"/>
        <v>29</v>
      </c>
      <c r="JS11" t="s">
        <v>1167</v>
      </c>
      <c r="JT11" t="s">
        <v>2506</v>
      </c>
      <c r="JU11">
        <v>6.9069597721099854</v>
      </c>
      <c r="JV11">
        <v>196</v>
      </c>
      <c r="JW11" s="3"/>
      <c r="JX11">
        <f t="shared" si="47"/>
        <v>33</v>
      </c>
      <c r="JY11" t="s">
        <v>2507</v>
      </c>
      <c r="JZ11" t="s">
        <v>2508</v>
      </c>
      <c r="KA11">
        <v>19.49225115776062</v>
      </c>
      <c r="KB11">
        <v>318</v>
      </c>
      <c r="KC11" s="2"/>
      <c r="KD11">
        <f t="shared" si="48"/>
        <v>11</v>
      </c>
      <c r="KE11" t="s">
        <v>2509</v>
      </c>
      <c r="KF11" t="s">
        <v>2510</v>
      </c>
      <c r="KG11">
        <v>8.064664363861084</v>
      </c>
      <c r="KH11">
        <v>143</v>
      </c>
      <c r="KI11" s="3"/>
      <c r="KJ11">
        <f t="shared" si="49"/>
        <v>24</v>
      </c>
      <c r="KK11" t="s">
        <v>2511</v>
      </c>
      <c r="KL11" t="s">
        <v>2512</v>
      </c>
      <c r="KM11">
        <v>13.970382690429689</v>
      </c>
      <c r="KN11">
        <v>307</v>
      </c>
      <c r="KO11" s="2"/>
      <c r="KP11">
        <f t="shared" si="50"/>
        <v>21</v>
      </c>
      <c r="KQ11" t="s">
        <v>2513</v>
      </c>
      <c r="KR11" t="s">
        <v>2514</v>
      </c>
      <c r="KS11">
        <v>16.303462028503422</v>
      </c>
      <c r="KT11">
        <v>407</v>
      </c>
      <c r="KU11" s="3"/>
      <c r="KV11">
        <f t="shared" si="51"/>
        <v>23</v>
      </c>
      <c r="KW11" t="s">
        <v>2515</v>
      </c>
      <c r="KX11" t="s">
        <v>2516</v>
      </c>
      <c r="KY11">
        <v>13.719350814819339</v>
      </c>
      <c r="KZ11">
        <v>300</v>
      </c>
      <c r="LA11" s="2"/>
      <c r="LB11">
        <f t="shared" si="52"/>
        <v>77</v>
      </c>
      <c r="LC11" t="s">
        <v>2517</v>
      </c>
      <c r="LD11" t="s">
        <v>2518</v>
      </c>
      <c r="LE11">
        <v>22.051722049713131</v>
      </c>
      <c r="LF11">
        <v>297</v>
      </c>
      <c r="LG11" s="3"/>
      <c r="LH11">
        <f t="shared" si="53"/>
        <v>28</v>
      </c>
      <c r="LI11" t="s">
        <v>2519</v>
      </c>
      <c r="LJ11" t="s">
        <v>2520</v>
      </c>
      <c r="LK11">
        <v>7.9260149002075204</v>
      </c>
      <c r="LL11">
        <v>350</v>
      </c>
      <c r="LM11" s="2"/>
      <c r="LN11">
        <f t="shared" si="54"/>
        <v>31</v>
      </c>
      <c r="LO11" t="s">
        <v>2521</v>
      </c>
      <c r="LP11" t="s">
        <v>2522</v>
      </c>
      <c r="LQ11">
        <v>18.84722375869751</v>
      </c>
      <c r="LR11">
        <v>299</v>
      </c>
      <c r="LS11" s="3"/>
      <c r="LT11">
        <f t="shared" si="55"/>
        <v>13</v>
      </c>
      <c r="LU11" t="s">
        <v>928</v>
      </c>
      <c r="LV11" t="s">
        <v>2523</v>
      </c>
      <c r="LW11">
        <v>4.857818603515625</v>
      </c>
      <c r="LX11">
        <v>334</v>
      </c>
      <c r="LY11" s="2"/>
      <c r="LZ11">
        <f t="shared" si="56"/>
        <v>29</v>
      </c>
      <c r="MA11" t="s">
        <v>2524</v>
      </c>
      <c r="MB11" t="s">
        <v>2525</v>
      </c>
      <c r="MC11">
        <v>26.38077282905579</v>
      </c>
      <c r="MD11">
        <v>317</v>
      </c>
      <c r="ME11" s="3"/>
      <c r="MF11">
        <f t="shared" si="57"/>
        <v>27</v>
      </c>
      <c r="MG11" t="s">
        <v>2526</v>
      </c>
      <c r="MH11" t="s">
        <v>2527</v>
      </c>
      <c r="MI11">
        <v>139.12295126914981</v>
      </c>
      <c r="MJ11">
        <v>411</v>
      </c>
      <c r="MK11" s="2"/>
      <c r="ML11">
        <f t="shared" si="58"/>
        <v>30</v>
      </c>
      <c r="MM11" t="s">
        <v>412</v>
      </c>
      <c r="MN11" t="s">
        <v>2528</v>
      </c>
      <c r="MO11">
        <v>15.992111206054689</v>
      </c>
      <c r="MP11">
        <v>228</v>
      </c>
      <c r="MQ11" s="3"/>
      <c r="MR11">
        <f t="shared" si="59"/>
        <v>28</v>
      </c>
      <c r="MS11" t="s">
        <v>2529</v>
      </c>
      <c r="MT11" t="s">
        <v>2530</v>
      </c>
      <c r="MU11">
        <v>8.1851403713226318</v>
      </c>
      <c r="MV11">
        <v>349</v>
      </c>
      <c r="MW11" s="2"/>
      <c r="MX11">
        <f t="shared" si="60"/>
        <v>38</v>
      </c>
      <c r="MY11" t="s">
        <v>2531</v>
      </c>
      <c r="MZ11" t="s">
        <v>2532</v>
      </c>
      <c r="NA11">
        <v>15.45606851577759</v>
      </c>
      <c r="NB11">
        <v>282</v>
      </c>
      <c r="NC11" s="3"/>
      <c r="ND11">
        <f t="shared" si="61"/>
        <v>34</v>
      </c>
      <c r="NE11" t="s">
        <v>2533</v>
      </c>
      <c r="NF11" t="s">
        <v>2534</v>
      </c>
      <c r="NG11">
        <v>7.9091331958770752</v>
      </c>
      <c r="NH11">
        <v>297</v>
      </c>
      <c r="NI11" s="2"/>
      <c r="NJ11">
        <f t="shared" si="62"/>
        <v>28</v>
      </c>
      <c r="NK11" t="s">
        <v>2535</v>
      </c>
      <c r="NL11" t="s">
        <v>2536</v>
      </c>
      <c r="NM11">
        <v>8.5197601318359375</v>
      </c>
      <c r="NN11">
        <v>232</v>
      </c>
      <c r="NO11" s="3"/>
      <c r="NP11">
        <f t="shared" si="63"/>
        <v>14</v>
      </c>
      <c r="NQ11" t="s">
        <v>2537</v>
      </c>
      <c r="NR11" t="s">
        <v>2538</v>
      </c>
      <c r="NS11">
        <v>10.451545238494869</v>
      </c>
      <c r="NT11">
        <v>194</v>
      </c>
      <c r="NU11" s="2"/>
      <c r="NV11">
        <f t="shared" si="64"/>
        <v>14</v>
      </c>
      <c r="NW11" t="s">
        <v>1937</v>
      </c>
      <c r="NX11" t="s">
        <v>2539</v>
      </c>
      <c r="NY11">
        <v>6.8241341114044189</v>
      </c>
      <c r="NZ11">
        <v>221</v>
      </c>
      <c r="OA11" s="3"/>
      <c r="OB11">
        <f t="shared" si="65"/>
        <v>15</v>
      </c>
      <c r="OC11" t="s">
        <v>928</v>
      </c>
      <c r="OD11" t="s">
        <v>2540</v>
      </c>
      <c r="OE11">
        <v>10.970231056213381</v>
      </c>
      <c r="OF11">
        <v>300</v>
      </c>
      <c r="OG11" s="2"/>
      <c r="OH11">
        <f t="shared" si="66"/>
        <v>16</v>
      </c>
      <c r="OI11" t="s">
        <v>2541</v>
      </c>
      <c r="OJ11" t="s">
        <v>2542</v>
      </c>
      <c r="OK11">
        <v>3.7962617874145508</v>
      </c>
      <c r="OL11">
        <v>235</v>
      </c>
      <c r="OM11" s="3"/>
      <c r="ON11">
        <f t="shared" si="67"/>
        <v>30</v>
      </c>
      <c r="OO11" t="s">
        <v>2543</v>
      </c>
      <c r="OP11" t="s">
        <v>2544</v>
      </c>
      <c r="OQ11">
        <v>12.069115400314329</v>
      </c>
      <c r="OR11">
        <v>365</v>
      </c>
      <c r="OS11" s="2"/>
      <c r="OT11">
        <f t="shared" si="68"/>
        <v>20</v>
      </c>
      <c r="OU11" t="s">
        <v>2120</v>
      </c>
      <c r="OV11" t="s">
        <v>2545</v>
      </c>
      <c r="OW11">
        <v>4.7751796245574951</v>
      </c>
      <c r="OX11">
        <v>287</v>
      </c>
      <c r="OY11" s="3"/>
      <c r="OZ11">
        <f t="shared" si="69"/>
        <v>57</v>
      </c>
      <c r="PA11" t="s">
        <v>2546</v>
      </c>
      <c r="PB11" t="s">
        <v>2547</v>
      </c>
      <c r="PC11">
        <v>26.400899648666378</v>
      </c>
      <c r="PD11">
        <v>381</v>
      </c>
      <c r="PE11" s="2"/>
      <c r="PF11">
        <f t="shared" si="70"/>
        <v>22</v>
      </c>
      <c r="PG11" t="s">
        <v>2548</v>
      </c>
      <c r="PH11" t="s">
        <v>2549</v>
      </c>
      <c r="PI11">
        <v>13.304051876068121</v>
      </c>
      <c r="PJ11">
        <v>244</v>
      </c>
      <c r="PK11" s="3"/>
      <c r="PL11">
        <f t="shared" si="71"/>
        <v>37</v>
      </c>
      <c r="PM11" t="s">
        <v>2550</v>
      </c>
      <c r="PN11" t="s">
        <v>2551</v>
      </c>
      <c r="PO11">
        <v>14.809626817703251</v>
      </c>
      <c r="PP11">
        <v>414</v>
      </c>
      <c r="PQ11" s="2"/>
      <c r="PR11">
        <f t="shared" si="72"/>
        <v>28</v>
      </c>
      <c r="PS11" t="s">
        <v>2552</v>
      </c>
      <c r="PT11" t="s">
        <v>2553</v>
      </c>
      <c r="PU11">
        <v>9.5933606624603271</v>
      </c>
      <c r="PV11">
        <v>270</v>
      </c>
      <c r="PW11" s="3"/>
      <c r="PX11">
        <f t="shared" si="73"/>
        <v>33</v>
      </c>
      <c r="PY11" t="s">
        <v>2554</v>
      </c>
      <c r="PZ11" t="s">
        <v>2555</v>
      </c>
      <c r="QA11">
        <v>14.191633224487299</v>
      </c>
      <c r="QB11">
        <v>342</v>
      </c>
      <c r="QC11" s="2"/>
      <c r="QD11">
        <f t="shared" si="74"/>
        <v>47</v>
      </c>
      <c r="QE11" t="s">
        <v>2556</v>
      </c>
      <c r="QF11" t="s">
        <v>2557</v>
      </c>
      <c r="QG11">
        <v>15.39575862884521</v>
      </c>
      <c r="QH11">
        <v>198</v>
      </c>
      <c r="QI11" s="3"/>
      <c r="QJ11">
        <f t="shared" si="75"/>
        <v>25</v>
      </c>
      <c r="QK11" t="s">
        <v>2558</v>
      </c>
      <c r="QL11" t="s">
        <v>2559</v>
      </c>
      <c r="QM11">
        <v>22.426341772079471</v>
      </c>
      <c r="QN11">
        <v>328</v>
      </c>
      <c r="QO11" s="2"/>
      <c r="QP11">
        <f t="shared" si="76"/>
        <v>25</v>
      </c>
      <c r="QQ11" t="s">
        <v>1837</v>
      </c>
      <c r="QR11" t="s">
        <v>2560</v>
      </c>
      <c r="QS11">
        <v>17.523609638214111</v>
      </c>
      <c r="QT11">
        <v>156</v>
      </c>
      <c r="QU11" s="3"/>
      <c r="QV11">
        <f t="shared" si="77"/>
        <v>20</v>
      </c>
      <c r="QW11" t="s">
        <v>2561</v>
      </c>
      <c r="QX11" t="s">
        <v>2562</v>
      </c>
      <c r="QY11">
        <v>8.6253182888031006</v>
      </c>
      <c r="QZ11">
        <v>179</v>
      </c>
      <c r="RA11" s="2"/>
      <c r="RB11">
        <f t="shared" si="78"/>
        <v>26</v>
      </c>
      <c r="RC11" t="s">
        <v>1611</v>
      </c>
      <c r="RD11" t="s">
        <v>2563</v>
      </c>
      <c r="RE11">
        <v>23.593379974365231</v>
      </c>
      <c r="RF11">
        <v>229</v>
      </c>
      <c r="RG11" s="3"/>
      <c r="RH11">
        <f t="shared" si="79"/>
        <v>30</v>
      </c>
      <c r="RI11" t="s">
        <v>2564</v>
      </c>
      <c r="RJ11" t="s">
        <v>2565</v>
      </c>
      <c r="RK11">
        <v>6.2397046089172363</v>
      </c>
      <c r="RL11">
        <v>187</v>
      </c>
      <c r="RM11" s="2"/>
      <c r="RN11">
        <f t="shared" si="80"/>
        <v>26</v>
      </c>
      <c r="RO11" t="s">
        <v>2566</v>
      </c>
      <c r="RP11" t="s">
        <v>2567</v>
      </c>
      <c r="RQ11">
        <v>12.551543474197389</v>
      </c>
      <c r="RR11">
        <v>250</v>
      </c>
      <c r="RS11" s="3"/>
      <c r="RT11">
        <f t="shared" si="81"/>
        <v>46</v>
      </c>
      <c r="RU11" t="s">
        <v>2568</v>
      </c>
      <c r="RV11" t="s">
        <v>2569</v>
      </c>
      <c r="RW11">
        <v>11.166455984115601</v>
      </c>
      <c r="RX11">
        <v>330</v>
      </c>
      <c r="RY11" s="2"/>
      <c r="RZ11">
        <f t="shared" si="82"/>
        <v>12</v>
      </c>
      <c r="SA11" t="s">
        <v>3</v>
      </c>
      <c r="SB11" t="s">
        <v>2570</v>
      </c>
      <c r="SC11">
        <v>7.2442865371704102</v>
      </c>
      <c r="SD11">
        <v>174</v>
      </c>
      <c r="SE11" s="3"/>
      <c r="SF11">
        <f t="shared" si="83"/>
        <v>20</v>
      </c>
      <c r="SG11" t="s">
        <v>2571</v>
      </c>
      <c r="SH11" t="s">
        <v>2572</v>
      </c>
      <c r="SI11">
        <v>18.208463907241821</v>
      </c>
      <c r="SJ11">
        <v>273</v>
      </c>
      <c r="SK11" s="2"/>
      <c r="SL11">
        <f t="shared" si="84"/>
        <v>16</v>
      </c>
      <c r="SM11" t="s">
        <v>657</v>
      </c>
      <c r="SN11" t="s">
        <v>2573</v>
      </c>
      <c r="SO11">
        <v>3.448822021484375</v>
      </c>
      <c r="SP11">
        <v>285</v>
      </c>
      <c r="SQ11" s="3"/>
      <c r="SR11">
        <f t="shared" si="85"/>
        <v>25</v>
      </c>
      <c r="SS11" t="s">
        <v>2574</v>
      </c>
      <c r="ST11" t="s">
        <v>2575</v>
      </c>
      <c r="SU11">
        <v>8.1165099143981934</v>
      </c>
      <c r="SV11">
        <v>303</v>
      </c>
      <c r="SW11" s="4"/>
      <c r="SX11">
        <f t="shared" si="86"/>
        <v>32</v>
      </c>
      <c r="SY11" t="s">
        <v>2576</v>
      </c>
      <c r="SZ11" t="s">
        <v>2577</v>
      </c>
      <c r="TA11">
        <v>12.544280767440799</v>
      </c>
      <c r="TB11">
        <v>343</v>
      </c>
      <c r="TC11" s="5"/>
      <c r="TD11">
        <f t="shared" si="87"/>
        <v>22</v>
      </c>
      <c r="TE11" t="s">
        <v>2578</v>
      </c>
      <c r="TF11" t="s">
        <v>2579</v>
      </c>
      <c r="TG11">
        <v>20.941626071929932</v>
      </c>
      <c r="TH11">
        <v>236</v>
      </c>
      <c r="TI11" s="2"/>
      <c r="TJ11">
        <f t="shared" si="88"/>
        <v>35</v>
      </c>
      <c r="TK11" t="s">
        <v>2580</v>
      </c>
      <c r="TL11" t="s">
        <v>2581</v>
      </c>
      <c r="TM11">
        <v>23.38040018081665</v>
      </c>
      <c r="TN11">
        <v>320</v>
      </c>
      <c r="TO11" s="5"/>
      <c r="TP11">
        <f t="shared" si="89"/>
        <v>26</v>
      </c>
      <c r="TQ11" t="s">
        <v>2582</v>
      </c>
      <c r="TR11" t="s">
        <v>2583</v>
      </c>
      <c r="TS11">
        <v>20.724533796310421</v>
      </c>
      <c r="TT11">
        <v>307</v>
      </c>
      <c r="TU11" s="2"/>
      <c r="TV11">
        <f t="shared" si="90"/>
        <v>29</v>
      </c>
      <c r="TW11" t="s">
        <v>2584</v>
      </c>
      <c r="TX11" t="s">
        <v>2585</v>
      </c>
      <c r="TY11">
        <v>14.914731979370121</v>
      </c>
      <c r="TZ11">
        <v>235</v>
      </c>
      <c r="UA11" s="5"/>
      <c r="UB11">
        <f t="shared" si="91"/>
        <v>20</v>
      </c>
      <c r="UC11" t="s">
        <v>2586</v>
      </c>
      <c r="UD11" t="s">
        <v>2587</v>
      </c>
      <c r="UE11">
        <v>15.191865205764771</v>
      </c>
      <c r="UF11">
        <v>264</v>
      </c>
      <c r="UG11" s="2"/>
      <c r="UH11">
        <f t="shared" si="92"/>
        <v>33</v>
      </c>
      <c r="UI11" t="s">
        <v>2588</v>
      </c>
      <c r="UJ11" t="s">
        <v>2589</v>
      </c>
      <c r="UK11">
        <v>12.506345272064211</v>
      </c>
      <c r="UL11">
        <v>335</v>
      </c>
      <c r="UM11" s="5"/>
      <c r="UN11">
        <f t="shared" si="93"/>
        <v>43</v>
      </c>
      <c r="UO11" t="s">
        <v>608</v>
      </c>
      <c r="UP11" t="s">
        <v>2590</v>
      </c>
      <c r="UQ11">
        <v>6.4307425022125244</v>
      </c>
      <c r="UR11">
        <v>364</v>
      </c>
      <c r="US11" s="2"/>
      <c r="UT11">
        <f t="shared" si="94"/>
        <v>31</v>
      </c>
      <c r="UU11" t="s">
        <v>2591</v>
      </c>
      <c r="UV11" t="s">
        <v>2592</v>
      </c>
      <c r="UW11">
        <v>22.485911846160889</v>
      </c>
      <c r="UX11">
        <v>359</v>
      </c>
      <c r="UY11" s="5"/>
      <c r="UZ11">
        <f t="shared" si="95"/>
        <v>29</v>
      </c>
      <c r="VA11" t="s">
        <v>2593</v>
      </c>
      <c r="VB11" t="s">
        <v>2594</v>
      </c>
      <c r="VC11">
        <v>20.423589706420898</v>
      </c>
      <c r="VD11">
        <v>403</v>
      </c>
      <c r="VE11" s="2"/>
      <c r="VF11">
        <f t="shared" si="96"/>
        <v>21</v>
      </c>
      <c r="VG11" t="s">
        <v>2595</v>
      </c>
      <c r="VH11" t="s">
        <v>2596</v>
      </c>
      <c r="VI11">
        <v>6.4839153289794922</v>
      </c>
      <c r="VJ11">
        <v>274</v>
      </c>
      <c r="VK11" s="5"/>
      <c r="VL11">
        <f t="shared" si="97"/>
        <v>46</v>
      </c>
      <c r="VM11" t="s">
        <v>2597</v>
      </c>
      <c r="VN11" t="s">
        <v>2598</v>
      </c>
      <c r="VO11">
        <v>17.9234733581543</v>
      </c>
      <c r="VP11">
        <v>269</v>
      </c>
      <c r="VQ11" s="2"/>
      <c r="VR11">
        <f t="shared" si="98"/>
        <v>12</v>
      </c>
      <c r="VS11" t="s">
        <v>2599</v>
      </c>
      <c r="VT11" t="s">
        <v>2600</v>
      </c>
      <c r="VU11">
        <v>5.1072754859924316</v>
      </c>
      <c r="VV11">
        <v>281</v>
      </c>
      <c r="VW11" s="5"/>
      <c r="VX11">
        <f t="shared" si="99"/>
        <v>26</v>
      </c>
      <c r="VY11" t="s">
        <v>2601</v>
      </c>
      <c r="VZ11" t="s">
        <v>2602</v>
      </c>
      <c r="WA11">
        <v>25.385571002960209</v>
      </c>
      <c r="WB11">
        <v>271</v>
      </c>
      <c r="WC11" s="2"/>
      <c r="WD11">
        <f t="shared" si="100"/>
        <v>22</v>
      </c>
      <c r="WE11" t="s">
        <v>382</v>
      </c>
      <c r="WF11" t="s">
        <v>2603</v>
      </c>
      <c r="WG11">
        <v>18.452567100524899</v>
      </c>
      <c r="WH11">
        <v>302</v>
      </c>
      <c r="WI11" s="5"/>
      <c r="WJ11">
        <f t="shared" si="101"/>
        <v>19</v>
      </c>
      <c r="WK11" t="s">
        <v>2604</v>
      </c>
      <c r="WL11" t="s">
        <v>2605</v>
      </c>
      <c r="WM11">
        <v>10.48499059677124</v>
      </c>
      <c r="WN11">
        <v>317</v>
      </c>
      <c r="WO11" s="2"/>
      <c r="WP11">
        <f t="shared" si="102"/>
        <v>23</v>
      </c>
      <c r="WQ11" t="s">
        <v>2606</v>
      </c>
      <c r="WR11" t="s">
        <v>2607</v>
      </c>
      <c r="WS11">
        <v>10.75612258911133</v>
      </c>
      <c r="WT11">
        <v>205</v>
      </c>
      <c r="WU11" s="5"/>
      <c r="WV11">
        <f t="shared" si="103"/>
        <v>16</v>
      </c>
      <c r="WW11" t="s">
        <v>1395</v>
      </c>
      <c r="WX11" t="s">
        <v>2608</v>
      </c>
      <c r="WY11">
        <v>25.131561279296879</v>
      </c>
      <c r="WZ11">
        <v>218</v>
      </c>
      <c r="XA11" s="2"/>
      <c r="XB11">
        <f t="shared" si="104"/>
        <v>62</v>
      </c>
      <c r="XC11" t="s">
        <v>2609</v>
      </c>
      <c r="XD11" t="s">
        <v>2610</v>
      </c>
      <c r="XE11">
        <v>30.222277879714969</v>
      </c>
      <c r="XF11">
        <v>295</v>
      </c>
      <c r="XG11" s="5"/>
      <c r="XH11">
        <f t="shared" si="105"/>
        <v>31</v>
      </c>
      <c r="XI11" t="s">
        <v>2164</v>
      </c>
      <c r="XJ11" t="s">
        <v>2611</v>
      </c>
      <c r="XK11">
        <v>10.557719230651861</v>
      </c>
      <c r="XL11">
        <v>340</v>
      </c>
      <c r="XM11" s="2"/>
      <c r="XN11">
        <f t="shared" si="106"/>
        <v>28</v>
      </c>
      <c r="XO11" t="s">
        <v>2612</v>
      </c>
      <c r="XP11" t="s">
        <v>2613</v>
      </c>
      <c r="XQ11">
        <v>8.4308772087097168</v>
      </c>
      <c r="XR11">
        <v>279</v>
      </c>
      <c r="XS11" s="5"/>
      <c r="XT11">
        <f t="shared" si="107"/>
        <v>90</v>
      </c>
      <c r="XU11" t="s">
        <v>2614</v>
      </c>
      <c r="XV11" t="s">
        <v>2615</v>
      </c>
      <c r="XW11">
        <v>32.633717060089111</v>
      </c>
      <c r="XX11">
        <v>551</v>
      </c>
      <c r="XY11" s="2"/>
      <c r="XZ11">
        <f t="shared" si="108"/>
        <v>27</v>
      </c>
      <c r="YA11" t="s">
        <v>2616</v>
      </c>
      <c r="YB11" t="s">
        <v>2617</v>
      </c>
      <c r="YC11">
        <v>6.7624645233154297</v>
      </c>
      <c r="YD11">
        <v>217</v>
      </c>
      <c r="YE11" s="5"/>
      <c r="YF11">
        <f t="shared" si="109"/>
        <v>11</v>
      </c>
      <c r="YG11" t="s">
        <v>138</v>
      </c>
      <c r="YH11" t="s">
        <v>2618</v>
      </c>
      <c r="YI11">
        <v>12.14482522010803</v>
      </c>
      <c r="YJ11">
        <v>201</v>
      </c>
      <c r="YK11" s="2"/>
      <c r="YL11">
        <f t="shared" si="110"/>
        <v>21</v>
      </c>
      <c r="YM11" t="s">
        <v>2619</v>
      </c>
      <c r="YN11" t="s">
        <v>2620</v>
      </c>
      <c r="YO11">
        <v>7.5868778228759766</v>
      </c>
      <c r="YP11">
        <v>300</v>
      </c>
      <c r="YQ11" s="5"/>
      <c r="YR11">
        <f t="shared" si="111"/>
        <v>24</v>
      </c>
      <c r="YS11" t="s">
        <v>2621</v>
      </c>
      <c r="YT11" t="s">
        <v>2622</v>
      </c>
      <c r="YU11">
        <v>11.42785120010376</v>
      </c>
      <c r="YV11">
        <v>393</v>
      </c>
      <c r="YW11" s="2"/>
      <c r="YX11">
        <f t="shared" si="112"/>
        <v>32</v>
      </c>
      <c r="YY11" t="s">
        <v>2623</v>
      </c>
      <c r="YZ11" t="s">
        <v>2624</v>
      </c>
      <c r="ZA11">
        <v>18.790748357772831</v>
      </c>
      <c r="ZB11">
        <v>404</v>
      </c>
      <c r="ZC11" s="5"/>
      <c r="ZD11">
        <f t="shared" si="113"/>
        <v>40</v>
      </c>
      <c r="ZE11" t="s">
        <v>2625</v>
      </c>
      <c r="ZF11" t="s">
        <v>2626</v>
      </c>
      <c r="ZG11">
        <v>15.23476243019104</v>
      </c>
      <c r="ZH11">
        <v>310</v>
      </c>
      <c r="ZI11" s="2"/>
      <c r="ZJ11">
        <f t="shared" si="114"/>
        <v>33</v>
      </c>
      <c r="ZK11" t="s">
        <v>2192</v>
      </c>
      <c r="ZL11" t="s">
        <v>2627</v>
      </c>
      <c r="ZM11">
        <v>14.808535099029539</v>
      </c>
      <c r="ZN11">
        <v>370</v>
      </c>
      <c r="ZO11" s="5"/>
      <c r="ZP11">
        <f t="shared" si="115"/>
        <v>27</v>
      </c>
      <c r="ZQ11" t="s">
        <v>2628</v>
      </c>
      <c r="ZR11" t="s">
        <v>2629</v>
      </c>
      <c r="ZS11">
        <v>7.0443682670593262</v>
      </c>
      <c r="ZT11">
        <v>289</v>
      </c>
      <c r="ZU11" s="2"/>
      <c r="ZV11">
        <f t="shared" si="116"/>
        <v>22</v>
      </c>
      <c r="ZW11" t="s">
        <v>2630</v>
      </c>
      <c r="ZX11" t="s">
        <v>2631</v>
      </c>
      <c r="ZY11">
        <v>4.5839943885803223</v>
      </c>
      <c r="ZZ11">
        <v>373</v>
      </c>
      <c r="AAA11" s="5"/>
      <c r="AAB11">
        <f t="shared" si="117"/>
        <v>25</v>
      </c>
      <c r="AAC11" t="s">
        <v>2632</v>
      </c>
      <c r="AAD11" t="s">
        <v>2633</v>
      </c>
      <c r="AAE11">
        <v>13.216716527938839</v>
      </c>
      <c r="AAF11">
        <v>335</v>
      </c>
      <c r="AAG11" s="2"/>
      <c r="AAH11">
        <f t="shared" si="118"/>
        <v>16</v>
      </c>
      <c r="AAI11" t="s">
        <v>2634</v>
      </c>
      <c r="AAJ11" t="s">
        <v>2635</v>
      </c>
      <c r="AAK11">
        <v>4.5554707050323486</v>
      </c>
      <c r="AAL11">
        <v>333</v>
      </c>
      <c r="AAM11" s="5"/>
      <c r="AAN11">
        <f t="shared" si="119"/>
        <v>25</v>
      </c>
      <c r="AAO11" t="s">
        <v>2636</v>
      </c>
      <c r="AAP11" t="s">
        <v>2637</v>
      </c>
      <c r="AAQ11">
        <v>22.813965559005741</v>
      </c>
      <c r="AAR11">
        <v>269</v>
      </c>
      <c r="AAS11" s="2"/>
      <c r="AAT11">
        <f t="shared" si="120"/>
        <v>51</v>
      </c>
      <c r="AAU11" t="s">
        <v>2638</v>
      </c>
      <c r="AAV11" t="s">
        <v>2639</v>
      </c>
      <c r="AAW11">
        <v>20.99303221702576</v>
      </c>
      <c r="AAX11">
        <v>343</v>
      </c>
      <c r="AAY11" s="5"/>
      <c r="AAZ11">
        <f t="shared" si="121"/>
        <v>9</v>
      </c>
      <c r="ABA11" t="s">
        <v>1758</v>
      </c>
      <c r="ABB11" t="s">
        <v>2640</v>
      </c>
      <c r="ABC11">
        <v>3.9396293163299561</v>
      </c>
      <c r="ABD11">
        <v>172</v>
      </c>
      <c r="ABE11" s="2"/>
      <c r="ABF11">
        <f t="shared" si="122"/>
        <v>39</v>
      </c>
      <c r="ABG11" t="s">
        <v>2641</v>
      </c>
      <c r="ABH11" t="s">
        <v>2642</v>
      </c>
      <c r="ABI11">
        <v>21.609863996505741</v>
      </c>
      <c r="ABJ11">
        <v>431</v>
      </c>
      <c r="ABK11" s="5"/>
      <c r="ABL11">
        <f t="shared" si="123"/>
        <v>13</v>
      </c>
      <c r="ABM11" t="s">
        <v>1258</v>
      </c>
      <c r="ABN11" t="s">
        <v>2643</v>
      </c>
      <c r="ABO11">
        <v>6.6013586521148682</v>
      </c>
      <c r="ABP11">
        <v>241</v>
      </c>
      <c r="ABQ11" s="2"/>
      <c r="ABR11">
        <f t="shared" si="124"/>
        <v>15</v>
      </c>
      <c r="ABS11" t="s">
        <v>2644</v>
      </c>
      <c r="ABT11" t="s">
        <v>2645</v>
      </c>
      <c r="ABU11">
        <v>4.6818130016326904</v>
      </c>
      <c r="ABV11">
        <v>275</v>
      </c>
      <c r="ABW11" s="5"/>
      <c r="ABX11">
        <f t="shared" si="125"/>
        <v>25</v>
      </c>
      <c r="ABY11" t="s">
        <v>349</v>
      </c>
      <c r="ABZ11" t="s">
        <v>2646</v>
      </c>
      <c r="ACA11">
        <v>13.257372617721559</v>
      </c>
      <c r="ACB11">
        <v>305</v>
      </c>
      <c r="ACC11" s="2"/>
      <c r="ACD11">
        <f t="shared" si="126"/>
        <v>10</v>
      </c>
      <c r="ACE11" t="s">
        <v>2647</v>
      </c>
      <c r="ACF11" t="s">
        <v>2648</v>
      </c>
      <c r="ACG11">
        <v>3.1280350685119629</v>
      </c>
      <c r="ACH11">
        <v>182</v>
      </c>
      <c r="ACI11" s="5"/>
      <c r="ACJ11">
        <f t="shared" si="127"/>
        <v>13</v>
      </c>
      <c r="ACK11" t="s">
        <v>322</v>
      </c>
      <c r="ACL11" t="s">
        <v>2649</v>
      </c>
      <c r="ACM11">
        <v>11.10761475563049</v>
      </c>
      <c r="ACN11">
        <v>256</v>
      </c>
      <c r="ACO11" s="2"/>
      <c r="ACP11">
        <f t="shared" si="128"/>
        <v>13</v>
      </c>
      <c r="ACQ11" t="s">
        <v>3</v>
      </c>
      <c r="ACR11" t="s">
        <v>2650</v>
      </c>
      <c r="ACS11">
        <v>2.7943112850189209</v>
      </c>
      <c r="ACT11">
        <v>209</v>
      </c>
      <c r="ACU11" s="5"/>
      <c r="ACV11">
        <f t="shared" si="129"/>
        <v>13</v>
      </c>
      <c r="ACW11" t="s">
        <v>2651</v>
      </c>
      <c r="ACX11" t="s">
        <v>2652</v>
      </c>
      <c r="ACY11">
        <v>6.8542158603668213</v>
      </c>
      <c r="ACZ11">
        <v>214</v>
      </c>
      <c r="ADA11" s="2"/>
      <c r="ADB11">
        <f t="shared" si="130"/>
        <v>30</v>
      </c>
      <c r="ADC11" t="s">
        <v>657</v>
      </c>
      <c r="ADD11" t="s">
        <v>2653</v>
      </c>
      <c r="ADE11">
        <v>25.399447917938229</v>
      </c>
      <c r="ADF11">
        <v>285</v>
      </c>
      <c r="ADG11" s="5"/>
      <c r="ADH11">
        <f t="shared" si="131"/>
        <v>22</v>
      </c>
      <c r="ADI11" t="s">
        <v>2654</v>
      </c>
      <c r="ADJ11" t="s">
        <v>2655</v>
      </c>
      <c r="ADK11">
        <v>11.24960017204285</v>
      </c>
      <c r="ADL11">
        <v>369</v>
      </c>
      <c r="ADM11" s="2"/>
      <c r="ADN11">
        <f t="shared" si="132"/>
        <v>32</v>
      </c>
      <c r="ADO11" t="s">
        <v>2656</v>
      </c>
      <c r="ADP11" t="s">
        <v>2657</v>
      </c>
      <c r="ADQ11">
        <v>19.532858371734619</v>
      </c>
      <c r="ADR11">
        <v>280</v>
      </c>
      <c r="ADS11" s="5"/>
      <c r="ADT11">
        <f t="shared" si="133"/>
        <v>26</v>
      </c>
      <c r="ADU11" t="s">
        <v>2658</v>
      </c>
      <c r="ADV11" t="s">
        <v>2659</v>
      </c>
      <c r="ADW11">
        <v>14.3457932472229</v>
      </c>
      <c r="ADX11">
        <v>332</v>
      </c>
      <c r="ADY11" s="2"/>
      <c r="ADZ11">
        <f t="shared" si="134"/>
        <v>31</v>
      </c>
      <c r="AEA11" t="s">
        <v>2660</v>
      </c>
      <c r="AEB11" t="s">
        <v>2661</v>
      </c>
      <c r="AEC11">
        <v>26.002638339996341</v>
      </c>
      <c r="AED11">
        <v>366</v>
      </c>
      <c r="AEE11" s="5"/>
      <c r="AEF11">
        <f t="shared" si="135"/>
        <v>33</v>
      </c>
      <c r="AEG11" t="s">
        <v>2662</v>
      </c>
      <c r="AEH11" t="s">
        <v>2663</v>
      </c>
      <c r="AEI11">
        <v>15.54394173622131</v>
      </c>
      <c r="AEJ11">
        <v>370</v>
      </c>
      <c r="AEK11" s="2"/>
      <c r="AEL11">
        <f t="shared" si="136"/>
        <v>23</v>
      </c>
      <c r="AEM11" t="s">
        <v>2664</v>
      </c>
      <c r="AEN11" t="s">
        <v>2665</v>
      </c>
      <c r="AEO11">
        <v>10.05133748054504</v>
      </c>
      <c r="AEP11">
        <v>338</v>
      </c>
      <c r="AEQ11" s="5"/>
      <c r="AER11">
        <f t="shared" si="137"/>
        <v>30</v>
      </c>
      <c r="AES11" t="s">
        <v>2666</v>
      </c>
      <c r="AET11" t="s">
        <v>2667</v>
      </c>
      <c r="AEU11">
        <v>12.444168567657471</v>
      </c>
      <c r="AEV11">
        <v>311</v>
      </c>
      <c r="AEW11" s="2"/>
      <c r="AEX11">
        <f t="shared" si="138"/>
        <v>23</v>
      </c>
      <c r="AEY11" t="s">
        <v>2668</v>
      </c>
      <c r="AEZ11" t="s">
        <v>2669</v>
      </c>
      <c r="AFA11">
        <v>13.3805046081543</v>
      </c>
      <c r="AFB11">
        <v>331</v>
      </c>
      <c r="AFC11" s="5"/>
      <c r="AFD11">
        <f t="shared" si="139"/>
        <v>35</v>
      </c>
      <c r="AFE11" t="s">
        <v>184</v>
      </c>
      <c r="AFF11" t="s">
        <v>2670</v>
      </c>
      <c r="AFG11">
        <v>19.741244077682499</v>
      </c>
      <c r="AFH11">
        <v>241</v>
      </c>
      <c r="AFI11" s="2"/>
      <c r="AFJ11">
        <f t="shared" si="140"/>
        <v>46</v>
      </c>
      <c r="AFK11" t="s">
        <v>2671</v>
      </c>
      <c r="AFL11" t="s">
        <v>2672</v>
      </c>
      <c r="AFM11">
        <v>19.459441900253299</v>
      </c>
      <c r="AFN11">
        <v>268</v>
      </c>
      <c r="AFO11" s="5"/>
      <c r="AFP11">
        <f t="shared" si="141"/>
        <v>16</v>
      </c>
      <c r="AFQ11" t="s">
        <v>2673</v>
      </c>
      <c r="AFR11" t="s">
        <v>2674</v>
      </c>
      <c r="AFS11">
        <v>19.46761775016785</v>
      </c>
      <c r="AFT11">
        <v>208</v>
      </c>
      <c r="AFU11" s="2"/>
      <c r="AFV11">
        <f t="shared" si="142"/>
        <v>34</v>
      </c>
      <c r="AFW11" t="s">
        <v>2675</v>
      </c>
      <c r="AFX11" t="s">
        <v>2676</v>
      </c>
      <c r="AFY11">
        <v>17.8713846206665</v>
      </c>
      <c r="AFZ11">
        <v>225</v>
      </c>
      <c r="AGA11" s="5"/>
      <c r="AGB11">
        <f t="shared" si="143"/>
        <v>20</v>
      </c>
      <c r="AGC11" t="s">
        <v>627</v>
      </c>
      <c r="AGD11" t="s">
        <v>2677</v>
      </c>
      <c r="AGE11">
        <v>8.288625955581665</v>
      </c>
      <c r="AGF11">
        <v>256</v>
      </c>
      <c r="AGG11" s="2"/>
      <c r="AGH11">
        <f t="shared" si="144"/>
        <v>33</v>
      </c>
      <c r="AGI11" t="s">
        <v>2678</v>
      </c>
      <c r="AGJ11" t="s">
        <v>2679</v>
      </c>
      <c r="AGK11">
        <v>12.476352214813231</v>
      </c>
      <c r="AGL11">
        <v>396</v>
      </c>
      <c r="AGM11" s="5"/>
      <c r="AGN11">
        <f t="shared" si="145"/>
        <v>22</v>
      </c>
      <c r="AGO11" t="s">
        <v>2680</v>
      </c>
      <c r="AGP11" t="s">
        <v>2681</v>
      </c>
      <c r="AGQ11">
        <v>22.763022422790531</v>
      </c>
      <c r="AGR11">
        <v>292</v>
      </c>
      <c r="AGS11" s="2"/>
      <c r="AGT11">
        <f t="shared" si="146"/>
        <v>22</v>
      </c>
      <c r="AGU11" t="s">
        <v>2682</v>
      </c>
      <c r="AGV11" t="s">
        <v>2683</v>
      </c>
      <c r="AGW11">
        <v>18.021855115890499</v>
      </c>
      <c r="AGX11">
        <v>261</v>
      </c>
      <c r="AGY11" s="5"/>
      <c r="AGZ11">
        <f t="shared" si="147"/>
        <v>31</v>
      </c>
      <c r="AHA11" t="s">
        <v>2684</v>
      </c>
      <c r="AHB11" t="s">
        <v>2685</v>
      </c>
      <c r="AHC11">
        <v>20.449944734573361</v>
      </c>
      <c r="AHD11">
        <v>359</v>
      </c>
      <c r="AHE11" s="2"/>
      <c r="AHF11">
        <f t="shared" si="148"/>
        <v>22</v>
      </c>
      <c r="AHG11" t="s">
        <v>97</v>
      </c>
      <c r="AHH11" t="s">
        <v>2686</v>
      </c>
      <c r="AHI11">
        <v>4.7908895015716553</v>
      </c>
      <c r="AHJ11">
        <v>263</v>
      </c>
      <c r="AHK11" s="5"/>
      <c r="AHL11">
        <f t="shared" si="149"/>
        <v>19</v>
      </c>
      <c r="AHM11" t="s">
        <v>1652</v>
      </c>
      <c r="AHN11" t="s">
        <v>2687</v>
      </c>
      <c r="AHO11">
        <v>23.872189283370972</v>
      </c>
      <c r="AHP11">
        <v>241</v>
      </c>
      <c r="AHQ11" s="2"/>
      <c r="AHR11">
        <f t="shared" si="150"/>
        <v>35</v>
      </c>
      <c r="AHS11" t="s">
        <v>2688</v>
      </c>
      <c r="AHT11" t="s">
        <v>2689</v>
      </c>
      <c r="AHU11">
        <v>15.57624840736389</v>
      </c>
      <c r="AHV11">
        <v>307</v>
      </c>
      <c r="AHW11" s="5"/>
      <c r="AHX11">
        <f t="shared" si="151"/>
        <v>8</v>
      </c>
      <c r="AHY11" t="s">
        <v>1149</v>
      </c>
      <c r="AHZ11" t="s">
        <v>2690</v>
      </c>
      <c r="AIA11">
        <v>3.5621557235717769</v>
      </c>
      <c r="AIB11">
        <v>137</v>
      </c>
      <c r="AIC11" s="2"/>
      <c r="AID11">
        <f t="shared" si="152"/>
        <v>42</v>
      </c>
      <c r="AIE11" t="s">
        <v>2691</v>
      </c>
      <c r="AIF11" t="s">
        <v>2692</v>
      </c>
      <c r="AIG11">
        <v>20.83175349235535</v>
      </c>
      <c r="AIH11">
        <v>253</v>
      </c>
      <c r="AII11" s="5"/>
      <c r="AIJ11">
        <f t="shared" si="153"/>
        <v>33</v>
      </c>
      <c r="AIK11" t="s">
        <v>133</v>
      </c>
      <c r="AIL11" t="s">
        <v>2693</v>
      </c>
      <c r="AIM11">
        <v>10.417418003082281</v>
      </c>
      <c r="AIN11">
        <v>233</v>
      </c>
      <c r="AIO11" s="2"/>
      <c r="AIP11">
        <f t="shared" si="154"/>
        <v>27</v>
      </c>
      <c r="AIQ11" t="s">
        <v>2694</v>
      </c>
      <c r="AIR11" t="s">
        <v>2695</v>
      </c>
      <c r="AIS11">
        <v>12.481743335723881</v>
      </c>
      <c r="AIT11">
        <v>256</v>
      </c>
      <c r="AIU11" s="5"/>
      <c r="AIV11">
        <f t="shared" si="155"/>
        <v>33</v>
      </c>
      <c r="AIW11" t="s">
        <v>2696</v>
      </c>
      <c r="AIX11" t="s">
        <v>2697</v>
      </c>
      <c r="AIY11">
        <v>16.7099883556366</v>
      </c>
      <c r="AIZ11">
        <v>296</v>
      </c>
      <c r="AJA11" s="2"/>
      <c r="AJB11">
        <f t="shared" si="156"/>
        <v>48</v>
      </c>
      <c r="AJC11" t="s">
        <v>1644</v>
      </c>
      <c r="AJD11" t="s">
        <v>2698</v>
      </c>
      <c r="AJE11">
        <v>20.61844086647034</v>
      </c>
      <c r="AJF11">
        <v>495</v>
      </c>
      <c r="AJG11" s="5"/>
      <c r="AJH11">
        <f t="shared" si="157"/>
        <v>30</v>
      </c>
      <c r="AJI11" t="s">
        <v>1303</v>
      </c>
      <c r="AJJ11" t="s">
        <v>2699</v>
      </c>
      <c r="AJK11">
        <v>24.63755106925964</v>
      </c>
      <c r="AJL11">
        <v>321</v>
      </c>
      <c r="AJM11" s="2"/>
      <c r="AJN11">
        <f t="shared" si="158"/>
        <v>25</v>
      </c>
      <c r="AJO11" t="s">
        <v>2401</v>
      </c>
      <c r="AJP11" t="s">
        <v>2700</v>
      </c>
      <c r="AJQ11">
        <v>19.619192600250241</v>
      </c>
      <c r="AJR11">
        <v>337</v>
      </c>
      <c r="AJS11" s="5"/>
      <c r="AJT11">
        <f t="shared" si="159"/>
        <v>23</v>
      </c>
      <c r="AJU11" t="s">
        <v>2701</v>
      </c>
      <c r="AJV11" t="s">
        <v>2702</v>
      </c>
      <c r="AJW11">
        <v>12.85008120536804</v>
      </c>
      <c r="AJX11">
        <v>345</v>
      </c>
      <c r="AJY11" s="2"/>
      <c r="AJZ11">
        <f t="shared" si="160"/>
        <v>26</v>
      </c>
      <c r="AKA11" t="s">
        <v>2703</v>
      </c>
      <c r="AKB11" t="s">
        <v>2704</v>
      </c>
      <c r="AKC11">
        <v>5.4892520904541016</v>
      </c>
      <c r="AKD11">
        <v>190</v>
      </c>
      <c r="AKE11" s="5"/>
      <c r="AKF11">
        <f t="shared" si="161"/>
        <v>16</v>
      </c>
      <c r="AKG11" t="s">
        <v>2705</v>
      </c>
      <c r="AKH11" t="s">
        <v>2706</v>
      </c>
      <c r="AKI11">
        <v>21.264376640319821</v>
      </c>
      <c r="AKJ11">
        <v>304</v>
      </c>
      <c r="AKK11" s="2"/>
      <c r="AKL11">
        <f t="shared" si="162"/>
        <v>21</v>
      </c>
      <c r="AKM11" t="s">
        <v>2707</v>
      </c>
      <c r="AKN11" t="s">
        <v>2708</v>
      </c>
      <c r="AKO11">
        <v>5.0657873153686523</v>
      </c>
      <c r="AKP11">
        <v>284</v>
      </c>
      <c r="AKQ11" s="5"/>
      <c r="AKR11">
        <f t="shared" si="163"/>
        <v>27</v>
      </c>
      <c r="AKS11" t="s">
        <v>2709</v>
      </c>
      <c r="AKT11" t="s">
        <v>2710</v>
      </c>
      <c r="AKU11">
        <v>10.02773284912109</v>
      </c>
      <c r="AKV11">
        <v>343</v>
      </c>
      <c r="AKW11" s="2"/>
      <c r="AKX11">
        <f t="shared" si="164"/>
        <v>29</v>
      </c>
      <c r="AKY11" t="s">
        <v>2711</v>
      </c>
      <c r="AKZ11" t="s">
        <v>2712</v>
      </c>
      <c r="ALA11">
        <v>63.444337129592903</v>
      </c>
      <c r="ALB11">
        <v>376</v>
      </c>
      <c r="ALC11" s="5"/>
      <c r="ALD11">
        <f t="shared" si="165"/>
        <v>79</v>
      </c>
      <c r="ALE11" t="s">
        <v>2713</v>
      </c>
      <c r="ALF11" t="s">
        <v>2714</v>
      </c>
      <c r="ALG11">
        <v>41.474260330200202</v>
      </c>
      <c r="ALH11">
        <v>405</v>
      </c>
      <c r="ALI11" s="2"/>
      <c r="ALJ11">
        <f t="shared" si="166"/>
        <v>25</v>
      </c>
      <c r="ALK11" t="s">
        <v>2252</v>
      </c>
      <c r="ALL11" t="s">
        <v>2715</v>
      </c>
      <c r="ALM11">
        <v>6.1445755958557129</v>
      </c>
      <c r="ALN11">
        <v>294</v>
      </c>
      <c r="ALO11" s="5"/>
      <c r="ALP11">
        <f t="shared" si="167"/>
        <v>29</v>
      </c>
      <c r="ALQ11" t="s">
        <v>2716</v>
      </c>
      <c r="ALR11" t="s">
        <v>2717</v>
      </c>
      <c r="ALS11">
        <v>15.225080966949459</v>
      </c>
      <c r="ALT11">
        <v>292</v>
      </c>
      <c r="ALU11" s="2"/>
      <c r="ALV11">
        <f t="shared" si="168"/>
        <v>36</v>
      </c>
      <c r="ALW11" t="s">
        <v>2718</v>
      </c>
      <c r="ALX11" t="s">
        <v>2719</v>
      </c>
      <c r="ALY11">
        <v>19.965187311172489</v>
      </c>
      <c r="ALZ11">
        <v>364</v>
      </c>
      <c r="AMA11" s="5"/>
      <c r="AMB11">
        <f t="shared" si="169"/>
        <v>32</v>
      </c>
      <c r="AMC11" t="s">
        <v>2720</v>
      </c>
      <c r="AMD11" t="s">
        <v>2721</v>
      </c>
      <c r="AME11">
        <v>12.94736289978027</v>
      </c>
      <c r="AMF11">
        <v>262</v>
      </c>
      <c r="AMG11" s="2"/>
      <c r="AMH11">
        <f t="shared" si="170"/>
        <v>18</v>
      </c>
      <c r="AMI11" t="s">
        <v>2680</v>
      </c>
      <c r="AMJ11" t="s">
        <v>2722</v>
      </c>
      <c r="AMK11">
        <v>4.5664734840393066</v>
      </c>
      <c r="AML11">
        <v>322</v>
      </c>
      <c r="AMM11" s="5"/>
      <c r="AMN11">
        <f t="shared" si="171"/>
        <v>30</v>
      </c>
      <c r="AMO11" t="s">
        <v>2489</v>
      </c>
      <c r="AMP11" t="s">
        <v>2723</v>
      </c>
      <c r="AMQ11">
        <v>12.11889433860779</v>
      </c>
      <c r="AMR11">
        <v>269</v>
      </c>
      <c r="AMS11" s="2"/>
    </row>
    <row r="12" spans="1:1033" x14ac:dyDescent="0.25">
      <c r="A12">
        <v>10</v>
      </c>
      <c r="B12">
        <f t="shared" si="0"/>
        <v>26</v>
      </c>
      <c r="C12" t="s">
        <v>1764</v>
      </c>
      <c r="D12" t="s">
        <v>2724</v>
      </c>
      <c r="E12">
        <v>9.044262170791626</v>
      </c>
      <c r="F12">
        <v>313</v>
      </c>
      <c r="G12" s="1"/>
      <c r="H12">
        <f t="shared" si="1"/>
        <v>20</v>
      </c>
      <c r="I12" t="s">
        <v>2725</v>
      </c>
      <c r="J12" t="s">
        <v>2726</v>
      </c>
      <c r="K12">
        <v>5.9929032325744629</v>
      </c>
      <c r="L12">
        <v>319</v>
      </c>
      <c r="M12" s="2"/>
      <c r="N12">
        <f t="shared" si="2"/>
        <v>27</v>
      </c>
      <c r="O12" t="s">
        <v>2727</v>
      </c>
      <c r="P12" t="s">
        <v>2728</v>
      </c>
      <c r="Q12">
        <v>16.333930969238281</v>
      </c>
      <c r="R12">
        <v>279</v>
      </c>
      <c r="S12" s="1"/>
      <c r="T12">
        <f t="shared" si="3"/>
        <v>22</v>
      </c>
      <c r="U12" t="s">
        <v>1684</v>
      </c>
      <c r="V12" t="s">
        <v>2729</v>
      </c>
      <c r="W12">
        <v>4.7778866291046143</v>
      </c>
      <c r="X12">
        <v>333</v>
      </c>
      <c r="Y12" s="2"/>
      <c r="Z12">
        <f t="shared" si="4"/>
        <v>61</v>
      </c>
      <c r="AA12" t="s">
        <v>2730</v>
      </c>
      <c r="AB12" t="s">
        <v>2731</v>
      </c>
      <c r="AC12">
        <v>26.314803838729858</v>
      </c>
      <c r="AD12">
        <v>339</v>
      </c>
      <c r="AE12" s="1"/>
      <c r="AF12">
        <f t="shared" si="5"/>
        <v>23</v>
      </c>
      <c r="AG12" t="s">
        <v>2732</v>
      </c>
      <c r="AH12" t="s">
        <v>2733</v>
      </c>
      <c r="AI12">
        <v>5.7806661128997803</v>
      </c>
      <c r="AJ12">
        <v>310</v>
      </c>
      <c r="AK12" s="2"/>
      <c r="AL12">
        <f t="shared" si="6"/>
        <v>11</v>
      </c>
      <c r="AM12" t="s">
        <v>2734</v>
      </c>
      <c r="AN12" t="s">
        <v>2735</v>
      </c>
      <c r="AO12">
        <v>4.1731891632080078</v>
      </c>
      <c r="AP12">
        <v>334</v>
      </c>
      <c r="AQ12" s="3"/>
      <c r="AR12">
        <f t="shared" si="7"/>
        <v>14</v>
      </c>
      <c r="AS12" t="s">
        <v>2736</v>
      </c>
      <c r="AT12" t="s">
        <v>2737</v>
      </c>
      <c r="AU12">
        <v>4.513256311416626</v>
      </c>
      <c r="AV12">
        <v>338</v>
      </c>
      <c r="AW12" s="2"/>
      <c r="AX12">
        <f t="shared" si="8"/>
        <v>20</v>
      </c>
      <c r="AY12" t="s">
        <v>2738</v>
      </c>
      <c r="AZ12" t="s">
        <v>2739</v>
      </c>
      <c r="BA12">
        <v>12.29585909843445</v>
      </c>
      <c r="BB12">
        <v>294</v>
      </c>
      <c r="BC12" s="3"/>
      <c r="BD12">
        <f t="shared" si="9"/>
        <v>52</v>
      </c>
      <c r="BE12" t="s">
        <v>2740</v>
      </c>
      <c r="BF12" t="s">
        <v>2741</v>
      </c>
      <c r="BG12">
        <v>22.54253530502319</v>
      </c>
      <c r="BH12">
        <v>423</v>
      </c>
      <c r="BI12" s="2"/>
      <c r="BJ12">
        <f t="shared" si="10"/>
        <v>22</v>
      </c>
      <c r="BK12" t="s">
        <v>2742</v>
      </c>
      <c r="BL12" t="s">
        <v>2743</v>
      </c>
      <c r="BM12">
        <v>11.305788040161129</v>
      </c>
      <c r="BN12">
        <v>427</v>
      </c>
      <c r="BO12" s="3"/>
      <c r="BP12">
        <f t="shared" si="11"/>
        <v>17</v>
      </c>
      <c r="BQ12" t="s">
        <v>2744</v>
      </c>
      <c r="BR12" t="s">
        <v>2745</v>
      </c>
      <c r="BS12">
        <v>7.5326449871063232</v>
      </c>
      <c r="BT12">
        <v>320</v>
      </c>
      <c r="BU12" s="2"/>
      <c r="BV12">
        <f t="shared" si="12"/>
        <v>17</v>
      </c>
      <c r="BW12" t="s">
        <v>2746</v>
      </c>
      <c r="BX12" t="s">
        <v>2747</v>
      </c>
      <c r="BY12">
        <v>10.747918367385861</v>
      </c>
      <c r="BZ12">
        <v>411</v>
      </c>
      <c r="CA12" s="3"/>
      <c r="CB12">
        <f t="shared" si="13"/>
        <v>30</v>
      </c>
      <c r="CC12" t="s">
        <v>2748</v>
      </c>
      <c r="CD12" t="s">
        <v>2749</v>
      </c>
      <c r="CE12">
        <v>13.573062896728519</v>
      </c>
      <c r="CF12">
        <v>310</v>
      </c>
      <c r="CG12" s="2"/>
      <c r="CH12">
        <f t="shared" si="14"/>
        <v>33</v>
      </c>
      <c r="CI12" t="s">
        <v>2750</v>
      </c>
      <c r="CJ12" t="s">
        <v>2751</v>
      </c>
      <c r="CK12">
        <v>9.7170484066009521</v>
      </c>
      <c r="CL12">
        <v>268</v>
      </c>
      <c r="CM12" s="3"/>
      <c r="CN12">
        <f t="shared" si="15"/>
        <v>19</v>
      </c>
      <c r="CO12" t="s">
        <v>2752</v>
      </c>
      <c r="CP12" t="s">
        <v>2753</v>
      </c>
      <c r="CQ12">
        <v>6.8385958671569824</v>
      </c>
      <c r="CR12">
        <v>348</v>
      </c>
      <c r="CS12" s="2"/>
      <c r="CT12">
        <f t="shared" si="16"/>
        <v>44</v>
      </c>
      <c r="CU12" t="s">
        <v>2754</v>
      </c>
      <c r="CV12" t="s">
        <v>2755</v>
      </c>
      <c r="CW12">
        <v>9.7446327209472656</v>
      </c>
      <c r="CX12">
        <v>404</v>
      </c>
      <c r="CY12" s="3"/>
      <c r="CZ12">
        <f t="shared" si="17"/>
        <v>38</v>
      </c>
      <c r="DA12" t="s">
        <v>1460</v>
      </c>
      <c r="DB12" t="s">
        <v>2756</v>
      </c>
      <c r="DC12">
        <v>13.61714553833008</v>
      </c>
      <c r="DD12">
        <v>313</v>
      </c>
      <c r="DE12" s="2"/>
      <c r="DF12">
        <f t="shared" si="18"/>
        <v>19</v>
      </c>
      <c r="DG12" t="s">
        <v>2757</v>
      </c>
      <c r="DH12" t="s">
        <v>2758</v>
      </c>
      <c r="DI12">
        <v>12.40300321578979</v>
      </c>
      <c r="DJ12">
        <v>181</v>
      </c>
      <c r="DK12" s="3"/>
      <c r="DL12">
        <f t="shared" si="19"/>
        <v>40</v>
      </c>
      <c r="DM12" t="s">
        <v>1733</v>
      </c>
      <c r="DN12" t="s">
        <v>2759</v>
      </c>
      <c r="DO12">
        <v>5.6653857231140137</v>
      </c>
      <c r="DP12">
        <v>252</v>
      </c>
      <c r="DQ12" s="2"/>
      <c r="DR12">
        <f t="shared" si="20"/>
        <v>37</v>
      </c>
      <c r="DS12" t="s">
        <v>2760</v>
      </c>
      <c r="DT12" t="s">
        <v>2761</v>
      </c>
      <c r="DU12">
        <v>18.557802438735958</v>
      </c>
      <c r="DV12">
        <v>435</v>
      </c>
      <c r="DW12" s="3"/>
      <c r="DX12">
        <f t="shared" si="21"/>
        <v>25</v>
      </c>
      <c r="DY12" t="s">
        <v>2619</v>
      </c>
      <c r="DZ12" t="s">
        <v>2762</v>
      </c>
      <c r="EA12">
        <v>5.8327317237854004</v>
      </c>
      <c r="EB12">
        <v>305</v>
      </c>
      <c r="EC12" s="2"/>
      <c r="ED12">
        <f t="shared" si="22"/>
        <v>20</v>
      </c>
      <c r="EE12" t="s">
        <v>2763</v>
      </c>
      <c r="EF12" t="s">
        <v>2764</v>
      </c>
      <c r="EG12">
        <v>4.7229886054992676</v>
      </c>
      <c r="EH12">
        <v>175</v>
      </c>
      <c r="EI12" s="3"/>
      <c r="EJ12">
        <f t="shared" si="23"/>
        <v>13</v>
      </c>
      <c r="EK12" t="s">
        <v>2765</v>
      </c>
      <c r="EL12" t="s">
        <v>2766</v>
      </c>
      <c r="EM12">
        <v>4.5860552787780762</v>
      </c>
      <c r="EN12">
        <v>372</v>
      </c>
      <c r="EO12" s="2"/>
      <c r="EP12">
        <f t="shared" si="24"/>
        <v>39</v>
      </c>
      <c r="EQ12" t="s">
        <v>2767</v>
      </c>
      <c r="ER12" t="s">
        <v>2768</v>
      </c>
      <c r="ES12">
        <v>10.60647892951965</v>
      </c>
      <c r="ET12">
        <v>276</v>
      </c>
      <c r="EU12" s="3"/>
      <c r="EV12">
        <f t="shared" si="25"/>
        <v>20</v>
      </c>
      <c r="EW12" t="s">
        <v>2769</v>
      </c>
      <c r="EX12" t="s">
        <v>2770</v>
      </c>
      <c r="EY12">
        <v>14.74278235435486</v>
      </c>
      <c r="EZ12">
        <v>225</v>
      </c>
      <c r="FA12" s="2"/>
      <c r="FB12">
        <f t="shared" si="26"/>
        <v>37</v>
      </c>
      <c r="FC12" t="s">
        <v>500</v>
      </c>
      <c r="FD12" t="s">
        <v>2771</v>
      </c>
      <c r="FE12">
        <v>15.0095546245575</v>
      </c>
      <c r="FF12">
        <v>364</v>
      </c>
      <c r="FG12" s="3"/>
      <c r="FH12">
        <f t="shared" si="27"/>
        <v>20</v>
      </c>
      <c r="FI12" t="s">
        <v>2772</v>
      </c>
      <c r="FJ12" t="s">
        <v>2773</v>
      </c>
      <c r="FK12">
        <v>15.450832366943359</v>
      </c>
      <c r="FL12">
        <v>378</v>
      </c>
      <c r="FM12" s="2"/>
      <c r="FN12">
        <f t="shared" si="28"/>
        <v>50</v>
      </c>
      <c r="FO12" t="s">
        <v>2774</v>
      </c>
      <c r="FP12" t="s">
        <v>2775</v>
      </c>
      <c r="FQ12">
        <v>16.54980206489563</v>
      </c>
      <c r="FR12">
        <v>437</v>
      </c>
      <c r="FS12" s="3"/>
      <c r="FT12">
        <f t="shared" si="29"/>
        <v>34</v>
      </c>
      <c r="FU12" t="s">
        <v>2776</v>
      </c>
      <c r="FV12" t="s">
        <v>2777</v>
      </c>
      <c r="FW12">
        <v>33.116623163223267</v>
      </c>
      <c r="FX12">
        <v>403</v>
      </c>
      <c r="FY12" s="2"/>
      <c r="FZ12">
        <f t="shared" si="30"/>
        <v>25</v>
      </c>
      <c r="GA12" t="s">
        <v>2778</v>
      </c>
      <c r="GB12" t="s">
        <v>2779</v>
      </c>
      <c r="GC12">
        <v>16.442953824996948</v>
      </c>
      <c r="GD12">
        <v>317</v>
      </c>
      <c r="GE12" s="3"/>
      <c r="GF12">
        <f t="shared" si="31"/>
        <v>19</v>
      </c>
      <c r="GG12" t="s">
        <v>2780</v>
      </c>
      <c r="GH12" t="s">
        <v>2781</v>
      </c>
      <c r="GI12">
        <v>14.31771850585938</v>
      </c>
      <c r="GJ12">
        <v>348</v>
      </c>
      <c r="GK12" s="2"/>
      <c r="GL12">
        <f t="shared" si="32"/>
        <v>54</v>
      </c>
      <c r="GM12" t="s">
        <v>2782</v>
      </c>
      <c r="GN12" t="s">
        <v>2783</v>
      </c>
      <c r="GO12">
        <v>29.54258036613464</v>
      </c>
      <c r="GP12">
        <v>319</v>
      </c>
      <c r="GQ12" s="3"/>
      <c r="GR12">
        <f t="shared" si="33"/>
        <v>22</v>
      </c>
      <c r="GS12" t="s">
        <v>2784</v>
      </c>
      <c r="GT12" t="s">
        <v>2785</v>
      </c>
      <c r="GU12">
        <v>13.80967998504639</v>
      </c>
      <c r="GV12">
        <v>400</v>
      </c>
      <c r="GW12" s="2"/>
      <c r="GX12">
        <f t="shared" si="34"/>
        <v>34</v>
      </c>
      <c r="GY12" t="s">
        <v>11</v>
      </c>
      <c r="GZ12" t="s">
        <v>2786</v>
      </c>
      <c r="HA12">
        <v>10.21634149551392</v>
      </c>
      <c r="HB12">
        <v>315</v>
      </c>
      <c r="HC12" s="3"/>
      <c r="HD12">
        <f t="shared" si="35"/>
        <v>34</v>
      </c>
      <c r="HE12" t="s">
        <v>2787</v>
      </c>
      <c r="HF12" t="s">
        <v>2788</v>
      </c>
      <c r="HG12">
        <v>54.657171010971069</v>
      </c>
      <c r="HH12">
        <v>269</v>
      </c>
      <c r="HI12" s="2"/>
      <c r="HJ12">
        <f t="shared" si="36"/>
        <v>30</v>
      </c>
      <c r="HK12" t="s">
        <v>2789</v>
      </c>
      <c r="HL12" t="s">
        <v>2790</v>
      </c>
      <c r="HM12">
        <v>13.3566575050354</v>
      </c>
      <c r="HN12">
        <v>300</v>
      </c>
      <c r="HO12" s="3"/>
      <c r="HP12">
        <f t="shared" si="37"/>
        <v>22</v>
      </c>
      <c r="HQ12" t="s">
        <v>2791</v>
      </c>
      <c r="HR12" t="s">
        <v>2792</v>
      </c>
      <c r="HS12">
        <v>12.96756863594055</v>
      </c>
      <c r="HT12">
        <v>335</v>
      </c>
      <c r="HU12" s="2"/>
      <c r="HV12">
        <f t="shared" si="38"/>
        <v>29</v>
      </c>
      <c r="HW12" t="s">
        <v>2793</v>
      </c>
      <c r="HX12" t="s">
        <v>2794</v>
      </c>
      <c r="HY12">
        <v>11.140710115432739</v>
      </c>
      <c r="HZ12">
        <v>358</v>
      </c>
      <c r="IA12" s="3"/>
      <c r="IB12">
        <f t="shared" si="39"/>
        <v>40</v>
      </c>
      <c r="IC12" t="s">
        <v>2795</v>
      </c>
      <c r="ID12" t="s">
        <v>2796</v>
      </c>
      <c r="IE12">
        <v>22.043809175491329</v>
      </c>
      <c r="IF12">
        <v>344</v>
      </c>
      <c r="IG12" s="2"/>
      <c r="IH12">
        <f t="shared" si="40"/>
        <v>34</v>
      </c>
      <c r="II12" t="s">
        <v>2797</v>
      </c>
      <c r="IJ12" t="s">
        <v>2798</v>
      </c>
      <c r="IK12">
        <v>20.699231863021851</v>
      </c>
      <c r="IL12">
        <v>411</v>
      </c>
      <c r="IM12" s="3"/>
      <c r="IN12">
        <f t="shared" si="41"/>
        <v>16</v>
      </c>
      <c r="IO12" t="s">
        <v>2799</v>
      </c>
      <c r="IP12" t="s">
        <v>2800</v>
      </c>
      <c r="IQ12">
        <v>5.7299325466156006</v>
      </c>
      <c r="IR12">
        <v>332</v>
      </c>
      <c r="IS12" s="2"/>
      <c r="IT12">
        <f t="shared" si="42"/>
        <v>25</v>
      </c>
      <c r="IU12" t="s">
        <v>2801</v>
      </c>
      <c r="IV12" t="s">
        <v>2802</v>
      </c>
      <c r="IW12">
        <v>12.181986331939701</v>
      </c>
      <c r="IX12">
        <v>269</v>
      </c>
      <c r="IY12" s="3"/>
      <c r="IZ12">
        <f t="shared" si="43"/>
        <v>28</v>
      </c>
      <c r="JA12" t="s">
        <v>2803</v>
      </c>
      <c r="JB12" t="s">
        <v>2804</v>
      </c>
      <c r="JC12">
        <v>234.45271730422971</v>
      </c>
      <c r="JD12">
        <v>294</v>
      </c>
      <c r="JE12" s="2"/>
      <c r="JF12">
        <f t="shared" si="44"/>
        <v>15</v>
      </c>
      <c r="JG12" t="s">
        <v>2805</v>
      </c>
      <c r="JH12" t="s">
        <v>2806</v>
      </c>
      <c r="JI12">
        <v>6.1126487255096444</v>
      </c>
      <c r="JJ12">
        <v>239</v>
      </c>
      <c r="JK12" s="3"/>
      <c r="JL12">
        <f t="shared" si="45"/>
        <v>18</v>
      </c>
      <c r="JM12" t="s">
        <v>2807</v>
      </c>
      <c r="JN12" t="s">
        <v>2808</v>
      </c>
      <c r="JO12">
        <v>4.3380165100097656</v>
      </c>
      <c r="JP12">
        <v>248</v>
      </c>
      <c r="JQ12" s="2"/>
      <c r="JR12">
        <f t="shared" si="46"/>
        <v>27</v>
      </c>
      <c r="JS12" t="s">
        <v>2809</v>
      </c>
      <c r="JT12" t="s">
        <v>2810</v>
      </c>
      <c r="JU12">
        <v>17.41719913482666</v>
      </c>
      <c r="JV12">
        <v>223</v>
      </c>
      <c r="JW12" s="3"/>
      <c r="JX12">
        <f t="shared" si="47"/>
        <v>32</v>
      </c>
      <c r="JY12" t="s">
        <v>2811</v>
      </c>
      <c r="JZ12" t="s">
        <v>2812</v>
      </c>
      <c r="KA12">
        <v>6.3488929271697998</v>
      </c>
      <c r="KB12">
        <v>350</v>
      </c>
      <c r="KC12" s="2"/>
      <c r="KD12">
        <f t="shared" si="48"/>
        <v>24</v>
      </c>
      <c r="KE12" t="s">
        <v>786</v>
      </c>
      <c r="KF12" t="s">
        <v>2813</v>
      </c>
      <c r="KG12">
        <v>5.3976309299468994</v>
      </c>
      <c r="KH12">
        <v>167</v>
      </c>
      <c r="KI12" s="3"/>
      <c r="KJ12">
        <f t="shared" si="49"/>
        <v>28</v>
      </c>
      <c r="KK12" t="s">
        <v>2814</v>
      </c>
      <c r="KL12" t="s">
        <v>2815</v>
      </c>
      <c r="KM12">
        <v>10.43569231033325</v>
      </c>
      <c r="KN12">
        <v>335</v>
      </c>
      <c r="KO12" s="2"/>
      <c r="KP12">
        <f t="shared" si="50"/>
        <v>24</v>
      </c>
      <c r="KQ12" t="s">
        <v>333</v>
      </c>
      <c r="KR12" t="s">
        <v>2816</v>
      </c>
      <c r="KS12">
        <v>17.142092943191528</v>
      </c>
      <c r="KT12">
        <v>431</v>
      </c>
      <c r="KU12" s="3"/>
      <c r="KV12">
        <f t="shared" si="51"/>
        <v>16</v>
      </c>
      <c r="KW12" t="s">
        <v>2817</v>
      </c>
      <c r="KX12" t="s">
        <v>2818</v>
      </c>
      <c r="KY12">
        <v>9.0261552333831787</v>
      </c>
      <c r="KZ12">
        <v>316</v>
      </c>
      <c r="LA12" s="2"/>
      <c r="LB12">
        <f t="shared" si="52"/>
        <v>30</v>
      </c>
      <c r="LC12" t="s">
        <v>2819</v>
      </c>
      <c r="LD12" t="s">
        <v>2820</v>
      </c>
      <c r="LE12">
        <v>21.263504981994629</v>
      </c>
      <c r="LF12">
        <v>327</v>
      </c>
      <c r="LG12" s="3"/>
      <c r="LH12">
        <f t="shared" si="53"/>
        <v>22</v>
      </c>
      <c r="LI12" t="s">
        <v>2821</v>
      </c>
      <c r="LJ12" t="s">
        <v>2822</v>
      </c>
      <c r="LK12">
        <v>8.2249298095703125</v>
      </c>
      <c r="LL12">
        <v>372</v>
      </c>
      <c r="LM12" s="2"/>
      <c r="LN12">
        <f t="shared" si="54"/>
        <v>66</v>
      </c>
      <c r="LO12" t="s">
        <v>2823</v>
      </c>
      <c r="LP12" t="s">
        <v>2824</v>
      </c>
      <c r="LQ12">
        <v>160.21402502059939</v>
      </c>
      <c r="LR12">
        <v>365</v>
      </c>
      <c r="LS12" s="3"/>
      <c r="LT12">
        <f t="shared" si="55"/>
        <v>18</v>
      </c>
      <c r="LU12" t="s">
        <v>1852</v>
      </c>
      <c r="LV12" t="s">
        <v>2825</v>
      </c>
      <c r="LW12">
        <v>4.000131368637085</v>
      </c>
      <c r="LX12">
        <v>352</v>
      </c>
      <c r="LY12" s="2"/>
      <c r="LZ12">
        <f t="shared" si="56"/>
        <v>50</v>
      </c>
      <c r="MA12" t="s">
        <v>500</v>
      </c>
      <c r="MB12" t="s">
        <v>2826</v>
      </c>
      <c r="MC12">
        <v>11.594423294067379</v>
      </c>
      <c r="MD12">
        <v>367</v>
      </c>
      <c r="ME12" s="3"/>
      <c r="MF12">
        <f t="shared" si="57"/>
        <v>25</v>
      </c>
      <c r="MG12" t="s">
        <v>2827</v>
      </c>
      <c r="MH12" t="s">
        <v>2828</v>
      </c>
      <c r="MI12">
        <v>21.60514497756958</v>
      </c>
      <c r="MJ12">
        <v>436</v>
      </c>
      <c r="MK12" s="2"/>
      <c r="ML12">
        <f t="shared" si="58"/>
        <v>22</v>
      </c>
      <c r="MM12" t="s">
        <v>2829</v>
      </c>
      <c r="MN12" t="s">
        <v>2830</v>
      </c>
      <c r="MO12">
        <v>11.57443070411682</v>
      </c>
      <c r="MP12">
        <v>250</v>
      </c>
      <c r="MQ12" s="3"/>
      <c r="MR12">
        <f t="shared" si="59"/>
        <v>18</v>
      </c>
      <c r="MS12" t="s">
        <v>928</v>
      </c>
      <c r="MT12" t="s">
        <v>2831</v>
      </c>
      <c r="MU12">
        <v>7.5662808418273926</v>
      </c>
      <c r="MV12">
        <v>367</v>
      </c>
      <c r="MW12" s="2"/>
      <c r="MX12">
        <f t="shared" si="60"/>
        <v>34</v>
      </c>
      <c r="MY12" t="s">
        <v>2832</v>
      </c>
      <c r="MZ12" t="s">
        <v>2833</v>
      </c>
      <c r="NA12">
        <v>24.124697208404541</v>
      </c>
      <c r="NB12">
        <v>316</v>
      </c>
      <c r="NC12" s="3"/>
      <c r="ND12">
        <f t="shared" si="61"/>
        <v>40</v>
      </c>
      <c r="NE12" t="s">
        <v>162</v>
      </c>
      <c r="NF12" t="s">
        <v>2834</v>
      </c>
      <c r="NG12">
        <v>11.17213559150696</v>
      </c>
      <c r="NH12">
        <v>337</v>
      </c>
      <c r="NI12" s="2"/>
      <c r="NJ12">
        <f t="shared" si="62"/>
        <v>13</v>
      </c>
      <c r="NK12" t="s">
        <v>500</v>
      </c>
      <c r="NL12" t="s">
        <v>2835</v>
      </c>
      <c r="NM12">
        <v>7.090986967086792</v>
      </c>
      <c r="NN12">
        <v>245</v>
      </c>
      <c r="NO12" s="3"/>
      <c r="NP12">
        <f t="shared" si="63"/>
        <v>31</v>
      </c>
      <c r="NQ12" t="s">
        <v>2836</v>
      </c>
      <c r="NR12" t="s">
        <v>2837</v>
      </c>
      <c r="NS12">
        <v>21.09468150138855</v>
      </c>
      <c r="NT12">
        <v>225</v>
      </c>
      <c r="NU12" s="2"/>
      <c r="NV12">
        <f t="shared" si="64"/>
        <v>14</v>
      </c>
      <c r="NW12" t="s">
        <v>2838</v>
      </c>
      <c r="NX12" t="s">
        <v>2839</v>
      </c>
      <c r="NY12">
        <v>6.7137179374694824</v>
      </c>
      <c r="NZ12">
        <v>235</v>
      </c>
      <c r="OA12" s="3"/>
      <c r="OB12">
        <f t="shared" si="65"/>
        <v>36</v>
      </c>
      <c r="OC12" t="s">
        <v>2840</v>
      </c>
      <c r="OD12" t="s">
        <v>2841</v>
      </c>
      <c r="OE12">
        <v>10.379723787307739</v>
      </c>
      <c r="OF12">
        <v>336</v>
      </c>
      <c r="OG12" s="2"/>
      <c r="OH12">
        <f t="shared" si="66"/>
        <v>19</v>
      </c>
      <c r="OI12" t="s">
        <v>2842</v>
      </c>
      <c r="OJ12" t="s">
        <v>2843</v>
      </c>
      <c r="OK12">
        <v>4.2088785171508789</v>
      </c>
      <c r="OL12">
        <v>254</v>
      </c>
      <c r="OM12" s="3"/>
      <c r="ON12">
        <f t="shared" si="67"/>
        <v>39</v>
      </c>
      <c r="OO12" t="s">
        <v>2844</v>
      </c>
      <c r="OP12" t="s">
        <v>2845</v>
      </c>
      <c r="OQ12">
        <v>14.238082885742189</v>
      </c>
      <c r="OR12">
        <v>404</v>
      </c>
      <c r="OS12" s="2"/>
      <c r="OT12">
        <f t="shared" si="68"/>
        <v>40</v>
      </c>
      <c r="OU12" t="s">
        <v>2846</v>
      </c>
      <c r="OV12" t="s">
        <v>2847</v>
      </c>
      <c r="OW12">
        <v>6.7288341522216797</v>
      </c>
      <c r="OX12">
        <v>327</v>
      </c>
      <c r="OY12" s="3"/>
      <c r="OZ12">
        <f t="shared" si="69"/>
        <v>36</v>
      </c>
      <c r="PA12" t="s">
        <v>1039</v>
      </c>
      <c r="PB12" t="s">
        <v>2848</v>
      </c>
      <c r="PC12">
        <v>21.847508430480961</v>
      </c>
      <c r="PD12">
        <v>417</v>
      </c>
      <c r="PE12" s="2"/>
      <c r="PF12">
        <f t="shared" si="70"/>
        <v>21</v>
      </c>
      <c r="PG12" t="s">
        <v>2849</v>
      </c>
      <c r="PH12" t="s">
        <v>2850</v>
      </c>
      <c r="PI12">
        <v>9.2580156326293945</v>
      </c>
      <c r="PJ12">
        <v>265</v>
      </c>
      <c r="PK12" s="3"/>
      <c r="PL12">
        <f t="shared" si="71"/>
        <v>31</v>
      </c>
      <c r="PM12" t="s">
        <v>1423</v>
      </c>
      <c r="PN12" t="s">
        <v>2851</v>
      </c>
      <c r="PO12">
        <v>9.8869123458862305</v>
      </c>
      <c r="PP12">
        <v>445</v>
      </c>
      <c r="PQ12" s="2"/>
      <c r="PR12">
        <f t="shared" si="72"/>
        <v>14</v>
      </c>
      <c r="PS12" t="s">
        <v>2456</v>
      </c>
      <c r="PT12" t="s">
        <v>2852</v>
      </c>
      <c r="PU12">
        <v>6.2822439670562744</v>
      </c>
      <c r="PV12">
        <v>284</v>
      </c>
      <c r="PW12" s="3"/>
      <c r="PX12">
        <f t="shared" si="73"/>
        <v>39</v>
      </c>
      <c r="PY12" t="s">
        <v>2853</v>
      </c>
      <c r="PZ12" t="s">
        <v>2854</v>
      </c>
      <c r="QA12">
        <v>27.547443151473999</v>
      </c>
      <c r="QB12">
        <v>381</v>
      </c>
      <c r="QC12" s="2"/>
      <c r="QD12">
        <f t="shared" si="74"/>
        <v>38</v>
      </c>
      <c r="QE12" t="s">
        <v>2855</v>
      </c>
      <c r="QF12" t="s">
        <v>2856</v>
      </c>
      <c r="QG12">
        <v>20.788049221038818</v>
      </c>
      <c r="QH12">
        <v>236</v>
      </c>
      <c r="QI12" s="3"/>
      <c r="QJ12">
        <f t="shared" si="75"/>
        <v>18</v>
      </c>
      <c r="QK12" t="s">
        <v>2857</v>
      </c>
      <c r="QL12" t="s">
        <v>2858</v>
      </c>
      <c r="QM12">
        <v>14.69449734687805</v>
      </c>
      <c r="QN12">
        <v>346</v>
      </c>
      <c r="QO12" s="2"/>
      <c r="QP12">
        <f t="shared" si="76"/>
        <v>26</v>
      </c>
      <c r="QQ12" t="s">
        <v>78</v>
      </c>
      <c r="QR12" t="s">
        <v>2859</v>
      </c>
      <c r="QS12">
        <v>8.7127461433410645</v>
      </c>
      <c r="QT12">
        <v>182</v>
      </c>
      <c r="QU12" s="3"/>
      <c r="QV12">
        <f t="shared" si="77"/>
        <v>30</v>
      </c>
      <c r="QW12" t="s">
        <v>2860</v>
      </c>
      <c r="QX12" t="s">
        <v>2861</v>
      </c>
      <c r="QY12">
        <v>153.57564640045169</v>
      </c>
      <c r="QZ12">
        <v>209</v>
      </c>
      <c r="RA12" s="2"/>
      <c r="RB12">
        <f t="shared" si="78"/>
        <v>21</v>
      </c>
      <c r="RC12" t="s">
        <v>2862</v>
      </c>
      <c r="RD12" t="s">
        <v>2863</v>
      </c>
      <c r="RE12">
        <v>16.37225866317749</v>
      </c>
      <c r="RF12">
        <v>250</v>
      </c>
      <c r="RG12" s="3"/>
      <c r="RH12">
        <f t="shared" si="79"/>
        <v>46</v>
      </c>
      <c r="RI12" t="s">
        <v>2864</v>
      </c>
      <c r="RJ12" t="s">
        <v>2865</v>
      </c>
      <c r="RK12">
        <v>8.2321667671203613</v>
      </c>
      <c r="RL12">
        <v>233</v>
      </c>
      <c r="RM12" s="2"/>
      <c r="RN12">
        <f t="shared" si="80"/>
        <v>39</v>
      </c>
      <c r="RO12" t="s">
        <v>140</v>
      </c>
      <c r="RP12" t="s">
        <v>2866</v>
      </c>
      <c r="RQ12">
        <v>55.588282346725457</v>
      </c>
      <c r="RR12">
        <v>289</v>
      </c>
      <c r="RS12" s="3"/>
      <c r="RT12">
        <f t="shared" si="81"/>
        <v>41</v>
      </c>
      <c r="RU12" t="s">
        <v>982</v>
      </c>
      <c r="RV12" t="s">
        <v>2867</v>
      </c>
      <c r="RW12">
        <v>5.8348219394683838</v>
      </c>
      <c r="RX12">
        <v>371</v>
      </c>
      <c r="RY12" s="2"/>
      <c r="RZ12">
        <f t="shared" si="82"/>
        <v>25</v>
      </c>
      <c r="SA12" t="s">
        <v>2868</v>
      </c>
      <c r="SB12" t="s">
        <v>2869</v>
      </c>
      <c r="SC12">
        <v>11.55934429168701</v>
      </c>
      <c r="SD12">
        <v>199</v>
      </c>
      <c r="SE12" s="3"/>
      <c r="SF12">
        <f t="shared" si="83"/>
        <v>22</v>
      </c>
      <c r="SG12" t="s">
        <v>2870</v>
      </c>
      <c r="SH12" t="s">
        <v>2871</v>
      </c>
      <c r="SI12">
        <v>20.452189683914181</v>
      </c>
      <c r="SJ12">
        <v>295</v>
      </c>
      <c r="SK12" s="2"/>
      <c r="SL12">
        <f t="shared" si="84"/>
        <v>32</v>
      </c>
      <c r="SM12" t="s">
        <v>2003</v>
      </c>
      <c r="SN12" t="s">
        <v>2872</v>
      </c>
      <c r="SO12">
        <v>4.3185503482818604</v>
      </c>
      <c r="SP12">
        <v>317</v>
      </c>
      <c r="SQ12" s="3"/>
      <c r="SR12">
        <f t="shared" si="85"/>
        <v>16</v>
      </c>
      <c r="SS12" t="s">
        <v>2873</v>
      </c>
      <c r="ST12" t="s">
        <v>2874</v>
      </c>
      <c r="SU12">
        <v>11.662720918655401</v>
      </c>
      <c r="SV12">
        <v>319</v>
      </c>
      <c r="SW12" s="4"/>
      <c r="SX12">
        <f t="shared" si="86"/>
        <v>31</v>
      </c>
      <c r="SY12" t="s">
        <v>2875</v>
      </c>
      <c r="SZ12" t="s">
        <v>2876</v>
      </c>
      <c r="TA12">
        <v>179.33840417861941</v>
      </c>
      <c r="TB12">
        <v>374</v>
      </c>
      <c r="TC12" s="5"/>
      <c r="TD12">
        <f t="shared" si="87"/>
        <v>18</v>
      </c>
      <c r="TE12" t="s">
        <v>926</v>
      </c>
      <c r="TF12" t="s">
        <v>2877</v>
      </c>
      <c r="TG12">
        <v>6.3907909393310547</v>
      </c>
      <c r="TH12">
        <v>254</v>
      </c>
      <c r="TI12" s="2"/>
      <c r="TJ12">
        <f t="shared" si="88"/>
        <v>65</v>
      </c>
      <c r="TK12" t="s">
        <v>2878</v>
      </c>
      <c r="TL12" t="s">
        <v>2879</v>
      </c>
      <c r="TM12">
        <v>32.091684818267822</v>
      </c>
      <c r="TN12">
        <v>385</v>
      </c>
      <c r="TO12" s="5"/>
      <c r="TP12">
        <f t="shared" si="89"/>
        <v>22</v>
      </c>
      <c r="TQ12" t="s">
        <v>2880</v>
      </c>
      <c r="TR12" t="s">
        <v>2881</v>
      </c>
      <c r="TS12">
        <v>28.22461557388306</v>
      </c>
      <c r="TT12">
        <v>329</v>
      </c>
      <c r="TU12" s="2"/>
      <c r="TV12">
        <f t="shared" si="90"/>
        <v>28</v>
      </c>
      <c r="TW12" t="s">
        <v>2882</v>
      </c>
      <c r="TX12" t="s">
        <v>2883</v>
      </c>
      <c r="TY12">
        <v>11.10890579223633</v>
      </c>
      <c r="TZ12">
        <v>263</v>
      </c>
      <c r="UA12" s="5"/>
      <c r="UB12">
        <f t="shared" si="91"/>
        <v>24</v>
      </c>
      <c r="UC12" t="s">
        <v>2884</v>
      </c>
      <c r="UD12" t="s">
        <v>2885</v>
      </c>
      <c r="UE12">
        <v>18.36534571647644</v>
      </c>
      <c r="UF12">
        <v>288</v>
      </c>
      <c r="UG12" s="2"/>
      <c r="UH12">
        <f t="shared" si="92"/>
        <v>20</v>
      </c>
      <c r="UI12" t="s">
        <v>2886</v>
      </c>
      <c r="UJ12" t="s">
        <v>2887</v>
      </c>
      <c r="UK12">
        <v>11.4232280254364</v>
      </c>
      <c r="UL12">
        <v>355</v>
      </c>
      <c r="UM12" s="5"/>
      <c r="UN12">
        <f t="shared" si="93"/>
        <v>35</v>
      </c>
      <c r="UO12" t="s">
        <v>1179</v>
      </c>
      <c r="UP12" t="s">
        <v>2888</v>
      </c>
      <c r="UQ12">
        <v>4.340808629989624</v>
      </c>
      <c r="UR12">
        <v>399</v>
      </c>
      <c r="US12" s="2"/>
      <c r="UT12">
        <f t="shared" si="94"/>
        <v>24</v>
      </c>
      <c r="UU12" t="s">
        <v>2736</v>
      </c>
      <c r="UV12" t="s">
        <v>2889</v>
      </c>
      <c r="UW12">
        <v>18.877672433853149</v>
      </c>
      <c r="UX12">
        <v>383</v>
      </c>
      <c r="UY12" s="5"/>
      <c r="UZ12">
        <f t="shared" si="95"/>
        <v>21</v>
      </c>
      <c r="VA12" t="s">
        <v>2110</v>
      </c>
      <c r="VB12" t="s">
        <v>2890</v>
      </c>
      <c r="VC12">
        <v>8.0440628528594971</v>
      </c>
      <c r="VD12">
        <v>424</v>
      </c>
      <c r="VE12" s="2"/>
      <c r="VF12">
        <f t="shared" si="96"/>
        <v>16</v>
      </c>
      <c r="VG12" t="s">
        <v>2891</v>
      </c>
      <c r="VH12" t="s">
        <v>2892</v>
      </c>
      <c r="VI12">
        <v>5.4586901664733887</v>
      </c>
      <c r="VJ12">
        <v>290</v>
      </c>
      <c r="VK12" s="5"/>
      <c r="VL12">
        <f t="shared" si="97"/>
        <v>24</v>
      </c>
      <c r="VM12" t="s">
        <v>1607</v>
      </c>
      <c r="VN12" t="s">
        <v>2893</v>
      </c>
      <c r="VO12">
        <v>13.29067778587341</v>
      </c>
      <c r="VP12">
        <v>293</v>
      </c>
      <c r="VQ12" s="2"/>
      <c r="VR12">
        <f t="shared" si="98"/>
        <v>10</v>
      </c>
      <c r="VS12" t="s">
        <v>2894</v>
      </c>
      <c r="VT12" t="s">
        <v>2895</v>
      </c>
      <c r="VU12">
        <v>5.5894668102264404</v>
      </c>
      <c r="VV12">
        <v>291</v>
      </c>
      <c r="VW12" s="5"/>
      <c r="VX12">
        <f t="shared" si="99"/>
        <v>45</v>
      </c>
      <c r="VY12" t="s">
        <v>2896</v>
      </c>
      <c r="VZ12" t="s">
        <v>2897</v>
      </c>
      <c r="WA12">
        <v>12.892520904541019</v>
      </c>
      <c r="WB12">
        <v>316</v>
      </c>
      <c r="WC12" s="2"/>
      <c r="WD12">
        <f t="shared" si="100"/>
        <v>25</v>
      </c>
      <c r="WE12" t="s">
        <v>2898</v>
      </c>
      <c r="WF12" t="s">
        <v>2899</v>
      </c>
      <c r="WG12">
        <v>12.25752019882202</v>
      </c>
      <c r="WH12">
        <v>327</v>
      </c>
      <c r="WI12" s="5"/>
      <c r="WJ12">
        <f t="shared" si="101"/>
        <v>27</v>
      </c>
      <c r="WK12" t="s">
        <v>1549</v>
      </c>
      <c r="WL12" t="s">
        <v>2900</v>
      </c>
      <c r="WM12">
        <v>6.287766695022583</v>
      </c>
      <c r="WN12">
        <v>344</v>
      </c>
      <c r="WO12" s="2"/>
      <c r="WP12">
        <f t="shared" si="102"/>
        <v>38</v>
      </c>
      <c r="WQ12" t="s">
        <v>178</v>
      </c>
      <c r="WR12" t="s">
        <v>2901</v>
      </c>
      <c r="WS12">
        <v>8.6676113605499268</v>
      </c>
      <c r="WT12">
        <v>243</v>
      </c>
      <c r="WU12" s="5"/>
      <c r="WV12">
        <f t="shared" si="103"/>
        <v>37</v>
      </c>
      <c r="WW12" t="s">
        <v>138</v>
      </c>
      <c r="WX12" t="s">
        <v>2902</v>
      </c>
      <c r="WY12">
        <v>13.96839761734009</v>
      </c>
      <c r="WZ12">
        <v>255</v>
      </c>
      <c r="XA12" s="2"/>
      <c r="XB12">
        <f t="shared" si="104"/>
        <v>48</v>
      </c>
      <c r="XC12" t="s">
        <v>2903</v>
      </c>
      <c r="XD12" t="s">
        <v>2904</v>
      </c>
      <c r="XE12">
        <v>31.715180158615109</v>
      </c>
      <c r="XF12">
        <v>343</v>
      </c>
      <c r="XG12" s="5"/>
      <c r="XH12">
        <f t="shared" si="105"/>
        <v>23</v>
      </c>
      <c r="XI12" t="s">
        <v>1140</v>
      </c>
      <c r="XJ12" t="s">
        <v>2905</v>
      </c>
      <c r="XK12">
        <v>14.90702271461487</v>
      </c>
      <c r="XL12">
        <v>363</v>
      </c>
      <c r="XM12" s="2"/>
      <c r="XN12">
        <f t="shared" si="106"/>
        <v>23</v>
      </c>
      <c r="XO12" t="s">
        <v>151</v>
      </c>
      <c r="XP12" t="s">
        <v>2906</v>
      </c>
      <c r="XQ12">
        <v>4.6703405380249023</v>
      </c>
      <c r="XR12">
        <v>302</v>
      </c>
      <c r="XS12" s="5"/>
      <c r="XT12">
        <f t="shared" si="107"/>
        <v>27</v>
      </c>
      <c r="XU12" t="s">
        <v>2907</v>
      </c>
      <c r="XV12" t="s">
        <v>2908</v>
      </c>
      <c r="XW12">
        <v>93.546594619750977</v>
      </c>
      <c r="XX12">
        <v>578</v>
      </c>
      <c r="XY12" s="2"/>
      <c r="XZ12">
        <f t="shared" si="108"/>
        <v>19</v>
      </c>
      <c r="YA12" t="s">
        <v>1264</v>
      </c>
      <c r="YB12" t="s">
        <v>2909</v>
      </c>
      <c r="YC12">
        <v>8.0932438373565674</v>
      </c>
      <c r="YD12">
        <v>236</v>
      </c>
      <c r="YE12" s="5"/>
      <c r="YF12">
        <f t="shared" si="109"/>
        <v>13</v>
      </c>
      <c r="YG12" t="s">
        <v>1937</v>
      </c>
      <c r="YH12" t="s">
        <v>2910</v>
      </c>
      <c r="YI12">
        <v>21.929182529449459</v>
      </c>
      <c r="YJ12">
        <v>214</v>
      </c>
      <c r="YK12" s="2"/>
      <c r="YL12">
        <f t="shared" si="110"/>
        <v>29</v>
      </c>
      <c r="YM12" t="s">
        <v>2515</v>
      </c>
      <c r="YN12" t="s">
        <v>2911</v>
      </c>
      <c r="YO12">
        <v>14.687117099761959</v>
      </c>
      <c r="YP12">
        <v>329</v>
      </c>
      <c r="YQ12" s="5"/>
      <c r="YR12">
        <f t="shared" si="111"/>
        <v>28</v>
      </c>
      <c r="YS12" t="s">
        <v>2912</v>
      </c>
      <c r="YT12" t="s">
        <v>2913</v>
      </c>
      <c r="YU12">
        <v>31.59473896026611</v>
      </c>
      <c r="YV12">
        <v>421</v>
      </c>
      <c r="YW12" s="2"/>
      <c r="YX12">
        <f t="shared" si="112"/>
        <v>34</v>
      </c>
      <c r="YY12" t="s">
        <v>2914</v>
      </c>
      <c r="YZ12" t="s">
        <v>2915</v>
      </c>
      <c r="ZA12">
        <v>20.699851751327511</v>
      </c>
      <c r="ZB12">
        <v>438</v>
      </c>
      <c r="ZC12" s="5"/>
      <c r="ZD12">
        <f t="shared" si="113"/>
        <v>3</v>
      </c>
      <c r="ZE12" t="s">
        <v>1652</v>
      </c>
      <c r="ZF12" t="s">
        <v>2916</v>
      </c>
      <c r="ZG12">
        <v>9.9063894748687744</v>
      </c>
      <c r="ZH12">
        <v>313</v>
      </c>
      <c r="ZI12" s="2"/>
      <c r="ZJ12">
        <f t="shared" si="114"/>
        <v>23</v>
      </c>
      <c r="ZK12" t="s">
        <v>2678</v>
      </c>
      <c r="ZL12" t="s">
        <v>2917</v>
      </c>
      <c r="ZM12">
        <v>21.311182975769039</v>
      </c>
      <c r="ZN12">
        <v>393</v>
      </c>
      <c r="ZO12" s="5"/>
      <c r="ZP12">
        <f t="shared" si="115"/>
        <v>15</v>
      </c>
      <c r="ZQ12" t="s">
        <v>264</v>
      </c>
      <c r="ZR12" t="s">
        <v>2918</v>
      </c>
      <c r="ZS12">
        <v>6.4697685241699219</v>
      </c>
      <c r="ZT12">
        <v>304</v>
      </c>
      <c r="ZU12" s="2"/>
      <c r="ZV12">
        <f t="shared" si="116"/>
        <v>48</v>
      </c>
      <c r="ZW12" t="s">
        <v>78</v>
      </c>
      <c r="ZX12" t="s">
        <v>2919</v>
      </c>
      <c r="ZY12">
        <v>5.9001433849334717</v>
      </c>
      <c r="ZZ12">
        <v>421</v>
      </c>
      <c r="AAA12" s="5"/>
      <c r="AAB12">
        <f t="shared" si="117"/>
        <v>42</v>
      </c>
      <c r="AAC12" t="s">
        <v>2920</v>
      </c>
      <c r="AAD12" t="s">
        <v>2921</v>
      </c>
      <c r="AAE12">
        <v>21.8547956943512</v>
      </c>
      <c r="AAF12">
        <v>377</v>
      </c>
      <c r="AAG12" s="2"/>
      <c r="AAH12">
        <f t="shared" si="118"/>
        <v>19</v>
      </c>
      <c r="AAI12" t="s">
        <v>2922</v>
      </c>
      <c r="AAJ12" t="s">
        <v>2923</v>
      </c>
      <c r="AAK12">
        <v>10.296500682830811</v>
      </c>
      <c r="AAL12">
        <v>352</v>
      </c>
      <c r="AAM12" s="5"/>
      <c r="AAN12">
        <f t="shared" si="119"/>
        <v>22</v>
      </c>
      <c r="AAO12" t="s">
        <v>1764</v>
      </c>
      <c r="AAP12" t="s">
        <v>2924</v>
      </c>
      <c r="AAQ12">
        <v>12.991173505783079</v>
      </c>
      <c r="AAR12">
        <v>291</v>
      </c>
      <c r="AAS12" s="2"/>
      <c r="AAT12">
        <f t="shared" si="120"/>
        <v>29</v>
      </c>
      <c r="AAU12" t="s">
        <v>2925</v>
      </c>
      <c r="AAV12" t="s">
        <v>2926</v>
      </c>
      <c r="AAW12">
        <v>10.769774675369259</v>
      </c>
      <c r="AAX12">
        <v>372</v>
      </c>
      <c r="AAY12" s="5"/>
      <c r="AAZ12">
        <f t="shared" si="121"/>
        <v>22</v>
      </c>
      <c r="ABA12" t="s">
        <v>2927</v>
      </c>
      <c r="ABB12" t="s">
        <v>2928</v>
      </c>
      <c r="ABC12">
        <v>6.0722599029541016</v>
      </c>
      <c r="ABD12">
        <v>194</v>
      </c>
      <c r="ABE12" s="2"/>
      <c r="ABF12">
        <f t="shared" si="122"/>
        <v>26</v>
      </c>
      <c r="ABG12" t="s">
        <v>2929</v>
      </c>
      <c r="ABH12" t="s">
        <v>2930</v>
      </c>
      <c r="ABI12">
        <v>12.477035522460939</v>
      </c>
      <c r="ABJ12">
        <v>457</v>
      </c>
      <c r="ABK12" s="5"/>
      <c r="ABL12">
        <f t="shared" si="123"/>
        <v>18</v>
      </c>
      <c r="ABM12" t="s">
        <v>2673</v>
      </c>
      <c r="ABN12" t="s">
        <v>2931</v>
      </c>
      <c r="ABO12">
        <v>7.6460394859313956</v>
      </c>
      <c r="ABP12">
        <v>259</v>
      </c>
      <c r="ABQ12" s="2"/>
      <c r="ABR12">
        <f t="shared" si="124"/>
        <v>21</v>
      </c>
      <c r="ABS12" t="s">
        <v>2932</v>
      </c>
      <c r="ABT12" t="s">
        <v>2933</v>
      </c>
      <c r="ABU12">
        <v>12.832680225372309</v>
      </c>
      <c r="ABV12">
        <v>296</v>
      </c>
      <c r="ABW12" s="5"/>
      <c r="ABX12">
        <f t="shared" si="125"/>
        <v>54</v>
      </c>
      <c r="ABY12" t="s">
        <v>2934</v>
      </c>
      <c r="ABZ12" t="s">
        <v>2935</v>
      </c>
      <c r="ACA12">
        <v>12.96200823783875</v>
      </c>
      <c r="ACB12">
        <v>359</v>
      </c>
      <c r="ACC12" s="2"/>
      <c r="ACD12">
        <f t="shared" si="126"/>
        <v>13</v>
      </c>
      <c r="ACE12" t="s">
        <v>2936</v>
      </c>
      <c r="ACF12" t="s">
        <v>2937</v>
      </c>
      <c r="ACG12">
        <v>3.854683637619019</v>
      </c>
      <c r="ACH12">
        <v>195</v>
      </c>
      <c r="ACI12" s="5"/>
      <c r="ACJ12">
        <f t="shared" si="127"/>
        <v>36</v>
      </c>
      <c r="ACK12" t="s">
        <v>34</v>
      </c>
      <c r="ACL12" t="s">
        <v>2938</v>
      </c>
      <c r="ACM12">
        <v>11.08503580093384</v>
      </c>
      <c r="ACN12">
        <v>292</v>
      </c>
      <c r="ACO12" s="2"/>
      <c r="ACP12">
        <f t="shared" si="128"/>
        <v>9</v>
      </c>
      <c r="ACQ12" t="s">
        <v>786</v>
      </c>
      <c r="ACR12" t="s">
        <v>2939</v>
      </c>
      <c r="ACS12">
        <v>2.939639806747437</v>
      </c>
      <c r="ACT12">
        <v>218</v>
      </c>
      <c r="ACU12" s="5"/>
      <c r="ACV12">
        <f t="shared" si="129"/>
        <v>3</v>
      </c>
      <c r="ACW12" t="s">
        <v>1652</v>
      </c>
      <c r="ACX12" t="s">
        <v>2940</v>
      </c>
      <c r="ACY12">
        <v>4.4321253299713126</v>
      </c>
      <c r="ACZ12">
        <v>217</v>
      </c>
      <c r="ADA12" s="2"/>
      <c r="ADB12">
        <f t="shared" si="130"/>
        <v>23</v>
      </c>
      <c r="ADC12" t="s">
        <v>2941</v>
      </c>
      <c r="ADD12" t="s">
        <v>2942</v>
      </c>
      <c r="ADE12">
        <v>28.223514080047611</v>
      </c>
      <c r="ADF12">
        <v>308</v>
      </c>
      <c r="ADG12" s="5"/>
      <c r="ADH12">
        <f t="shared" si="131"/>
        <v>18</v>
      </c>
      <c r="ADI12" t="s">
        <v>2943</v>
      </c>
      <c r="ADJ12" t="s">
        <v>2944</v>
      </c>
      <c r="ADK12">
        <v>21.2195451259613</v>
      </c>
      <c r="ADL12">
        <v>387</v>
      </c>
      <c r="ADM12" s="2"/>
      <c r="ADN12">
        <f t="shared" si="132"/>
        <v>28</v>
      </c>
      <c r="ADO12" t="s">
        <v>1803</v>
      </c>
      <c r="ADP12" t="s">
        <v>2945</v>
      </c>
      <c r="ADQ12">
        <v>9.4674324989318848</v>
      </c>
      <c r="ADR12">
        <v>308</v>
      </c>
      <c r="ADS12" s="5"/>
      <c r="ADT12">
        <f t="shared" si="133"/>
        <v>37</v>
      </c>
      <c r="ADU12" t="s">
        <v>2946</v>
      </c>
      <c r="ADV12" t="s">
        <v>2947</v>
      </c>
      <c r="ADW12">
        <v>32.89478325843811</v>
      </c>
      <c r="ADX12">
        <v>369</v>
      </c>
      <c r="ADY12" s="2"/>
      <c r="ADZ12">
        <f t="shared" si="134"/>
        <v>32</v>
      </c>
      <c r="AEA12" t="s">
        <v>2948</v>
      </c>
      <c r="AEB12" t="s">
        <v>2949</v>
      </c>
      <c r="AEC12">
        <v>26.486503124237061</v>
      </c>
      <c r="AED12">
        <v>398</v>
      </c>
      <c r="AEE12" s="5"/>
      <c r="AEF12">
        <f t="shared" si="135"/>
        <v>15</v>
      </c>
      <c r="AEG12" t="s">
        <v>1549</v>
      </c>
      <c r="AEH12" t="s">
        <v>2950</v>
      </c>
      <c r="AEI12">
        <v>7.3763692378997803</v>
      </c>
      <c r="AEJ12">
        <v>385</v>
      </c>
      <c r="AEK12" s="2"/>
      <c r="AEL12">
        <f t="shared" si="136"/>
        <v>15</v>
      </c>
      <c r="AEM12" t="s">
        <v>1224</v>
      </c>
      <c r="AEN12" t="s">
        <v>2951</v>
      </c>
      <c r="AEO12">
        <v>8.2126109600067139</v>
      </c>
      <c r="AEP12">
        <v>353</v>
      </c>
      <c r="AEQ12" s="5"/>
      <c r="AER12">
        <f t="shared" si="137"/>
        <v>29</v>
      </c>
      <c r="AES12" t="s">
        <v>28</v>
      </c>
      <c r="AET12" t="s">
        <v>2952</v>
      </c>
      <c r="AEU12">
        <v>204.53538990020749</v>
      </c>
      <c r="AEV12">
        <v>340</v>
      </c>
      <c r="AEW12" s="2"/>
      <c r="AEX12">
        <f t="shared" si="138"/>
        <v>19</v>
      </c>
      <c r="AEY12" t="s">
        <v>1754</v>
      </c>
      <c r="AEZ12" t="s">
        <v>2953</v>
      </c>
      <c r="AFA12">
        <v>8.5574667453765869</v>
      </c>
      <c r="AFB12">
        <v>350</v>
      </c>
      <c r="AFC12" s="5"/>
      <c r="AFD12">
        <f t="shared" si="139"/>
        <v>28</v>
      </c>
      <c r="AFE12" t="s">
        <v>2954</v>
      </c>
      <c r="AFF12" t="s">
        <v>2955</v>
      </c>
      <c r="AFG12">
        <v>23.28710246086121</v>
      </c>
      <c r="AFH12">
        <v>269</v>
      </c>
      <c r="AFI12" s="2"/>
      <c r="AFJ12">
        <f t="shared" si="140"/>
        <v>36</v>
      </c>
      <c r="AFK12" t="s">
        <v>2956</v>
      </c>
      <c r="AFL12" t="s">
        <v>2957</v>
      </c>
      <c r="AFM12">
        <v>25.077694416046139</v>
      </c>
      <c r="AFN12">
        <v>304</v>
      </c>
      <c r="AFO12" s="5"/>
      <c r="AFP12">
        <f t="shared" si="141"/>
        <v>36</v>
      </c>
      <c r="AFQ12" t="s">
        <v>2958</v>
      </c>
      <c r="AFR12" t="s">
        <v>2959</v>
      </c>
      <c r="AFS12">
        <v>129.55635452270511</v>
      </c>
      <c r="AFT12">
        <v>244</v>
      </c>
      <c r="AFU12" s="2"/>
      <c r="AFV12">
        <f t="shared" si="142"/>
        <v>19</v>
      </c>
      <c r="AFW12" t="s">
        <v>2960</v>
      </c>
      <c r="AFX12" t="s">
        <v>2961</v>
      </c>
      <c r="AFY12">
        <v>20.72609639167786</v>
      </c>
      <c r="AFZ12">
        <v>244</v>
      </c>
      <c r="AGA12" s="5"/>
      <c r="AGB12">
        <f t="shared" si="143"/>
        <v>18</v>
      </c>
      <c r="AGC12" t="s">
        <v>2962</v>
      </c>
      <c r="AGD12" t="s">
        <v>2963</v>
      </c>
      <c r="AGE12">
        <v>3.943787574768066</v>
      </c>
      <c r="AGF12">
        <v>274</v>
      </c>
      <c r="AGG12" s="2"/>
      <c r="AGH12">
        <f t="shared" si="144"/>
        <v>43</v>
      </c>
      <c r="AGI12" t="s">
        <v>2964</v>
      </c>
      <c r="AGJ12" t="s">
        <v>2965</v>
      </c>
      <c r="AGK12">
        <v>27.403486967086788</v>
      </c>
      <c r="AGL12">
        <v>439</v>
      </c>
      <c r="AGM12" s="5"/>
      <c r="AGN12">
        <f t="shared" si="145"/>
        <v>37</v>
      </c>
      <c r="AGO12" t="s">
        <v>2966</v>
      </c>
      <c r="AGP12" t="s">
        <v>2967</v>
      </c>
      <c r="AGQ12">
        <v>31.70398473739624</v>
      </c>
      <c r="AGR12">
        <v>329</v>
      </c>
      <c r="AGS12" s="2"/>
      <c r="AGT12">
        <f t="shared" si="146"/>
        <v>31</v>
      </c>
      <c r="AGU12" t="s">
        <v>2709</v>
      </c>
      <c r="AGV12" t="s">
        <v>2968</v>
      </c>
      <c r="AGW12">
        <v>14.42397356033325</v>
      </c>
      <c r="AGX12">
        <v>292</v>
      </c>
      <c r="AGY12" s="5"/>
      <c r="AGZ12">
        <f t="shared" si="147"/>
        <v>38</v>
      </c>
      <c r="AHA12" t="s">
        <v>2969</v>
      </c>
      <c r="AHB12" t="s">
        <v>2970</v>
      </c>
      <c r="AHC12">
        <v>19.958662986755371</v>
      </c>
      <c r="AHD12">
        <v>397</v>
      </c>
      <c r="AHE12" s="2"/>
      <c r="AHF12">
        <f t="shared" si="148"/>
        <v>15</v>
      </c>
      <c r="AHG12" t="s">
        <v>1179</v>
      </c>
      <c r="AHH12" t="s">
        <v>2971</v>
      </c>
      <c r="AHI12">
        <v>4.0658776760101318</v>
      </c>
      <c r="AHJ12">
        <v>278</v>
      </c>
      <c r="AHK12" s="5"/>
      <c r="AHL12">
        <f t="shared" si="149"/>
        <v>30</v>
      </c>
      <c r="AHM12" t="s">
        <v>2972</v>
      </c>
      <c r="AHN12" t="s">
        <v>2973</v>
      </c>
      <c r="AHO12">
        <v>9.0118741989135742</v>
      </c>
      <c r="AHP12">
        <v>271</v>
      </c>
      <c r="AHQ12" s="2"/>
      <c r="AHR12">
        <f t="shared" si="150"/>
        <v>45</v>
      </c>
      <c r="AHS12" t="s">
        <v>2974</v>
      </c>
      <c r="AHT12" t="s">
        <v>2975</v>
      </c>
      <c r="AHU12">
        <v>11.03932690620422</v>
      </c>
      <c r="AHV12">
        <v>352</v>
      </c>
      <c r="AHW12" s="5"/>
      <c r="AHX12">
        <f t="shared" si="151"/>
        <v>18</v>
      </c>
      <c r="AHY12" t="s">
        <v>1652</v>
      </c>
      <c r="AHZ12" t="s">
        <v>2976</v>
      </c>
      <c r="AIA12">
        <v>4.5460860729217529</v>
      </c>
      <c r="AIB12">
        <v>155</v>
      </c>
      <c r="AIC12" s="2"/>
      <c r="AID12">
        <f t="shared" si="152"/>
        <v>44</v>
      </c>
      <c r="AIE12" t="s">
        <v>2977</v>
      </c>
      <c r="AIF12" t="s">
        <v>2978</v>
      </c>
      <c r="AIG12">
        <v>22.401232481002811</v>
      </c>
      <c r="AIH12">
        <v>297</v>
      </c>
      <c r="AII12" s="5"/>
      <c r="AIJ12">
        <f t="shared" si="153"/>
        <v>15</v>
      </c>
      <c r="AIK12" t="s">
        <v>2979</v>
      </c>
      <c r="AIL12" t="s">
        <v>2980</v>
      </c>
      <c r="AIM12">
        <v>12.6450092792511</v>
      </c>
      <c r="AIN12">
        <v>248</v>
      </c>
      <c r="AIO12" s="2"/>
      <c r="AIP12">
        <f t="shared" si="154"/>
        <v>32</v>
      </c>
      <c r="AIQ12" t="s">
        <v>2981</v>
      </c>
      <c r="AIR12" t="s">
        <v>2982</v>
      </c>
      <c r="AIS12">
        <v>10.978807210922239</v>
      </c>
      <c r="AIT12">
        <v>288</v>
      </c>
      <c r="AIU12" s="5"/>
      <c r="AIV12">
        <f t="shared" si="155"/>
        <v>22</v>
      </c>
      <c r="AIW12" t="s">
        <v>2983</v>
      </c>
      <c r="AIX12" t="s">
        <v>2984</v>
      </c>
      <c r="AIY12">
        <v>15.94853353500366</v>
      </c>
      <c r="AIZ12">
        <v>318</v>
      </c>
      <c r="AJA12" s="2"/>
      <c r="AJB12">
        <f t="shared" si="156"/>
        <v>22</v>
      </c>
      <c r="AJC12" t="s">
        <v>2985</v>
      </c>
      <c r="AJD12" t="s">
        <v>2986</v>
      </c>
      <c r="AJE12">
        <v>21.610660791397091</v>
      </c>
      <c r="AJF12">
        <v>517</v>
      </c>
      <c r="AJG12" s="5"/>
      <c r="AJH12">
        <f t="shared" si="157"/>
        <v>21</v>
      </c>
      <c r="AJI12" t="s">
        <v>2987</v>
      </c>
      <c r="AJJ12" t="s">
        <v>2988</v>
      </c>
      <c r="AJK12">
        <v>13.025465250015261</v>
      </c>
      <c r="AJL12">
        <v>342</v>
      </c>
      <c r="AJM12" s="2"/>
      <c r="AJN12">
        <f t="shared" si="158"/>
        <v>53</v>
      </c>
      <c r="AJO12" t="s">
        <v>304</v>
      </c>
      <c r="AJP12" t="s">
        <v>2989</v>
      </c>
      <c r="AJQ12">
        <v>8.6522765159606934</v>
      </c>
      <c r="AJR12">
        <v>390</v>
      </c>
      <c r="AJS12" s="5"/>
      <c r="AJT12">
        <f t="shared" si="159"/>
        <v>34</v>
      </c>
      <c r="AJU12" t="s">
        <v>2110</v>
      </c>
      <c r="AJV12" t="s">
        <v>2990</v>
      </c>
      <c r="AJW12">
        <v>7.9735310077667236</v>
      </c>
      <c r="AJX12">
        <v>379</v>
      </c>
      <c r="AJY12" s="2"/>
      <c r="AJZ12">
        <f t="shared" si="160"/>
        <v>28</v>
      </c>
      <c r="AKA12" t="s">
        <v>2991</v>
      </c>
      <c r="AKB12" t="s">
        <v>2992</v>
      </c>
      <c r="AKC12">
        <v>17.60964035987854</v>
      </c>
      <c r="AKD12">
        <v>218</v>
      </c>
      <c r="AKE12" s="5"/>
      <c r="AKF12">
        <f t="shared" si="161"/>
        <v>14</v>
      </c>
      <c r="AKG12" t="s">
        <v>2993</v>
      </c>
      <c r="AKH12" t="s">
        <v>2994</v>
      </c>
      <c r="AKI12">
        <v>13.218897104263309</v>
      </c>
      <c r="AKJ12">
        <v>318</v>
      </c>
      <c r="AKK12" s="2"/>
      <c r="AKL12">
        <f t="shared" si="162"/>
        <v>17</v>
      </c>
      <c r="AKM12" t="s">
        <v>2995</v>
      </c>
      <c r="AKN12" t="s">
        <v>2996</v>
      </c>
      <c r="AKO12">
        <v>4.5345070362091056</v>
      </c>
      <c r="AKP12">
        <v>301</v>
      </c>
      <c r="AKQ12" s="5"/>
      <c r="AKR12">
        <f t="shared" si="163"/>
        <v>24</v>
      </c>
      <c r="AKS12" t="s">
        <v>2997</v>
      </c>
      <c r="AKT12" t="s">
        <v>2998</v>
      </c>
      <c r="AKU12">
        <v>10.30179405212402</v>
      </c>
      <c r="AKV12">
        <v>367</v>
      </c>
      <c r="AKW12" s="2"/>
      <c r="AKX12">
        <f t="shared" si="164"/>
        <v>31</v>
      </c>
      <c r="AKY12" t="s">
        <v>2999</v>
      </c>
      <c r="AKZ12" t="s">
        <v>3000</v>
      </c>
      <c r="ALA12">
        <v>15.41250205039978</v>
      </c>
      <c r="ALB12">
        <v>407</v>
      </c>
      <c r="ALC12" s="5"/>
      <c r="ALD12">
        <f t="shared" si="165"/>
        <v>27</v>
      </c>
      <c r="ALE12" t="s">
        <v>522</v>
      </c>
      <c r="ALF12" t="s">
        <v>3001</v>
      </c>
      <c r="ALG12">
        <v>15.81847524642944</v>
      </c>
      <c r="ALH12">
        <v>432</v>
      </c>
      <c r="ALI12" s="2"/>
      <c r="ALJ12">
        <f t="shared" si="166"/>
        <v>28</v>
      </c>
      <c r="ALK12" t="s">
        <v>3002</v>
      </c>
      <c r="ALL12" t="s">
        <v>3003</v>
      </c>
      <c r="ALM12">
        <v>23.753270626068119</v>
      </c>
      <c r="ALN12">
        <v>322</v>
      </c>
      <c r="ALO12" s="5"/>
      <c r="ALP12">
        <f t="shared" si="167"/>
        <v>29</v>
      </c>
      <c r="ALQ12" t="s">
        <v>3004</v>
      </c>
      <c r="ALR12" t="s">
        <v>3005</v>
      </c>
      <c r="ALS12">
        <v>14.793268918991091</v>
      </c>
      <c r="ALT12">
        <v>321</v>
      </c>
      <c r="ALU12" s="2"/>
      <c r="ALV12">
        <f t="shared" si="168"/>
        <v>30</v>
      </c>
      <c r="ALW12" t="s">
        <v>3006</v>
      </c>
      <c r="ALX12" t="s">
        <v>3007</v>
      </c>
      <c r="ALY12">
        <v>18.834330081939701</v>
      </c>
      <c r="ALZ12">
        <v>394</v>
      </c>
      <c r="AMA12" s="5"/>
      <c r="AMB12">
        <f t="shared" si="169"/>
        <v>22</v>
      </c>
      <c r="AMC12" t="s">
        <v>3008</v>
      </c>
      <c r="AMD12" t="s">
        <v>3009</v>
      </c>
      <c r="AME12">
        <v>99.250298738479614</v>
      </c>
      <c r="AMF12">
        <v>284</v>
      </c>
      <c r="AMG12" s="2"/>
      <c r="AMH12">
        <f t="shared" si="170"/>
        <v>11</v>
      </c>
      <c r="AMI12" t="s">
        <v>2993</v>
      </c>
      <c r="AMJ12" t="s">
        <v>3010</v>
      </c>
      <c r="AMK12">
        <v>4.5733180046081543</v>
      </c>
      <c r="AML12">
        <v>333</v>
      </c>
      <c r="AMM12" s="5"/>
      <c r="AMN12">
        <f t="shared" si="171"/>
        <v>25</v>
      </c>
      <c r="AMO12" t="s">
        <v>3011</v>
      </c>
      <c r="AMP12" t="s">
        <v>3012</v>
      </c>
      <c r="AMQ12">
        <v>13.83131527900696</v>
      </c>
      <c r="AMR12">
        <v>294</v>
      </c>
      <c r="AMS12" s="2"/>
    </row>
    <row r="13" spans="1:1033" x14ac:dyDescent="0.25">
      <c r="A13">
        <v>11</v>
      </c>
      <c r="B13">
        <f t="shared" si="0"/>
        <v>21</v>
      </c>
      <c r="C13" t="s">
        <v>3013</v>
      </c>
      <c r="D13" t="s">
        <v>3014</v>
      </c>
      <c r="E13">
        <v>10.59229588508606</v>
      </c>
      <c r="F13">
        <v>334</v>
      </c>
      <c r="G13" s="1"/>
      <c r="H13">
        <f t="shared" si="1"/>
        <v>29</v>
      </c>
      <c r="I13" t="s">
        <v>3015</v>
      </c>
      <c r="J13" t="s">
        <v>3016</v>
      </c>
      <c r="K13">
        <v>7.2708768844604492</v>
      </c>
      <c r="L13">
        <v>348</v>
      </c>
      <c r="M13" s="2"/>
      <c r="N13">
        <f t="shared" si="2"/>
        <v>22</v>
      </c>
      <c r="O13" t="s">
        <v>3017</v>
      </c>
      <c r="P13" t="s">
        <v>3018</v>
      </c>
      <c r="Q13">
        <v>10.27772092819214</v>
      </c>
      <c r="R13">
        <v>301</v>
      </c>
      <c r="S13" s="1"/>
      <c r="T13">
        <f t="shared" si="3"/>
        <v>24</v>
      </c>
      <c r="U13" t="s">
        <v>3019</v>
      </c>
      <c r="V13" t="s">
        <v>3020</v>
      </c>
      <c r="W13">
        <v>5.4298315048217773</v>
      </c>
      <c r="X13">
        <v>357</v>
      </c>
      <c r="Y13" s="2"/>
      <c r="Z13">
        <f t="shared" si="4"/>
        <v>43</v>
      </c>
      <c r="AA13" t="s">
        <v>3021</v>
      </c>
      <c r="AB13" t="s">
        <v>3022</v>
      </c>
      <c r="AC13">
        <v>23.490971803665161</v>
      </c>
      <c r="AD13">
        <v>382</v>
      </c>
      <c r="AE13" s="1"/>
      <c r="AF13">
        <f t="shared" si="5"/>
        <v>29</v>
      </c>
      <c r="AG13" t="s">
        <v>3023</v>
      </c>
      <c r="AH13" t="s">
        <v>3024</v>
      </c>
      <c r="AI13">
        <v>26.80644154548645</v>
      </c>
      <c r="AJ13">
        <v>339</v>
      </c>
      <c r="AK13" s="2"/>
      <c r="AL13">
        <f t="shared" si="6"/>
        <v>14</v>
      </c>
      <c r="AM13" t="s">
        <v>2062</v>
      </c>
      <c r="AN13" t="s">
        <v>3025</v>
      </c>
      <c r="AO13">
        <v>5.7007577419281006</v>
      </c>
      <c r="AP13">
        <v>348</v>
      </c>
      <c r="AQ13" s="3"/>
      <c r="AR13">
        <f t="shared" si="7"/>
        <v>20</v>
      </c>
      <c r="AS13" t="s">
        <v>3026</v>
      </c>
      <c r="AT13" t="s">
        <v>3027</v>
      </c>
      <c r="AU13">
        <v>5.8640964031219482</v>
      </c>
      <c r="AV13">
        <v>358</v>
      </c>
      <c r="AW13" s="2"/>
      <c r="AX13">
        <f t="shared" si="8"/>
        <v>68</v>
      </c>
      <c r="AY13" t="s">
        <v>3028</v>
      </c>
      <c r="AZ13" t="s">
        <v>3029</v>
      </c>
      <c r="BA13">
        <v>108.4883065223694</v>
      </c>
      <c r="BB13">
        <v>362</v>
      </c>
      <c r="BC13" s="3"/>
      <c r="BD13">
        <f t="shared" si="9"/>
        <v>47</v>
      </c>
      <c r="BE13" t="s">
        <v>3030</v>
      </c>
      <c r="BF13" t="s">
        <v>3031</v>
      </c>
      <c r="BG13">
        <v>27.56344652175903</v>
      </c>
      <c r="BH13">
        <v>470</v>
      </c>
      <c r="BI13" s="2"/>
      <c r="BJ13">
        <f t="shared" si="10"/>
        <v>35</v>
      </c>
      <c r="BK13" t="s">
        <v>3032</v>
      </c>
      <c r="BL13" t="s">
        <v>3033</v>
      </c>
      <c r="BM13">
        <v>38.267392158508301</v>
      </c>
      <c r="BN13">
        <v>462</v>
      </c>
      <c r="BO13" s="3"/>
      <c r="BP13">
        <f t="shared" si="11"/>
        <v>35</v>
      </c>
      <c r="BQ13" t="s">
        <v>412</v>
      </c>
      <c r="BR13" t="s">
        <v>3034</v>
      </c>
      <c r="BS13">
        <v>9.2713959217071533</v>
      </c>
      <c r="BT13">
        <v>355</v>
      </c>
      <c r="BU13" s="2"/>
      <c r="BV13">
        <f t="shared" si="12"/>
        <v>51</v>
      </c>
      <c r="BW13" t="s">
        <v>3035</v>
      </c>
      <c r="BX13" t="s">
        <v>3036</v>
      </c>
      <c r="BY13">
        <v>11.57822489738464</v>
      </c>
      <c r="BZ13">
        <v>462</v>
      </c>
      <c r="CA13" s="3"/>
      <c r="CB13">
        <f t="shared" si="13"/>
        <v>26</v>
      </c>
      <c r="CC13" t="s">
        <v>3037</v>
      </c>
      <c r="CD13" t="s">
        <v>3038</v>
      </c>
      <c r="CE13">
        <v>15.705085754394529</v>
      </c>
      <c r="CF13">
        <v>336</v>
      </c>
      <c r="CG13" s="2"/>
      <c r="CH13">
        <f t="shared" si="14"/>
        <v>28</v>
      </c>
      <c r="CI13" t="s">
        <v>3039</v>
      </c>
      <c r="CJ13" t="s">
        <v>3040</v>
      </c>
      <c r="CK13">
        <v>8.3788611888885498</v>
      </c>
      <c r="CL13">
        <v>296</v>
      </c>
      <c r="CM13" s="3"/>
      <c r="CN13">
        <f t="shared" si="15"/>
        <v>25</v>
      </c>
      <c r="CO13" t="s">
        <v>1764</v>
      </c>
      <c r="CP13" t="s">
        <v>3041</v>
      </c>
      <c r="CQ13">
        <v>6.7367343902587891</v>
      </c>
      <c r="CR13">
        <v>373</v>
      </c>
      <c r="CS13" s="2"/>
      <c r="CT13">
        <f t="shared" si="16"/>
        <v>25</v>
      </c>
      <c r="CU13" t="s">
        <v>3042</v>
      </c>
      <c r="CV13" t="s">
        <v>3043</v>
      </c>
      <c r="CW13">
        <v>12.8178334236145</v>
      </c>
      <c r="CX13">
        <v>429</v>
      </c>
      <c r="CY13" s="3"/>
      <c r="CZ13">
        <f t="shared" si="17"/>
        <v>25</v>
      </c>
      <c r="DA13" t="s">
        <v>1762</v>
      </c>
      <c r="DB13" t="s">
        <v>3044</v>
      </c>
      <c r="DC13">
        <v>15.80389881134033</v>
      </c>
      <c r="DD13">
        <v>338</v>
      </c>
      <c r="DE13" s="2"/>
      <c r="DF13">
        <f t="shared" si="18"/>
        <v>19</v>
      </c>
      <c r="DG13" t="s">
        <v>3045</v>
      </c>
      <c r="DH13" t="s">
        <v>3046</v>
      </c>
      <c r="DI13">
        <v>6.6198065280914307</v>
      </c>
      <c r="DJ13">
        <v>200</v>
      </c>
      <c r="DK13" s="3"/>
      <c r="DL13">
        <f t="shared" si="19"/>
        <v>18</v>
      </c>
      <c r="DM13" t="s">
        <v>2110</v>
      </c>
      <c r="DN13" t="s">
        <v>3047</v>
      </c>
      <c r="DO13">
        <v>5.3429110050201416</v>
      </c>
      <c r="DP13">
        <v>270</v>
      </c>
      <c r="DQ13" s="2"/>
      <c r="DR13">
        <f t="shared" si="20"/>
        <v>21</v>
      </c>
      <c r="DS13" t="s">
        <v>3048</v>
      </c>
      <c r="DT13" t="s">
        <v>3049</v>
      </c>
      <c r="DU13">
        <v>26.3035261631012</v>
      </c>
      <c r="DV13">
        <v>456</v>
      </c>
      <c r="DW13" s="3"/>
      <c r="DX13">
        <f t="shared" si="21"/>
        <v>10</v>
      </c>
      <c r="DY13" t="s">
        <v>3050</v>
      </c>
      <c r="DZ13" t="s">
        <v>3051</v>
      </c>
      <c r="EA13">
        <v>4.2544486522674561</v>
      </c>
      <c r="EB13">
        <v>315</v>
      </c>
      <c r="EC13" s="2"/>
      <c r="ED13">
        <f t="shared" si="22"/>
        <v>20</v>
      </c>
      <c r="EE13" t="s">
        <v>1721</v>
      </c>
      <c r="EF13" t="s">
        <v>3052</v>
      </c>
      <c r="EG13">
        <v>7.6001605987548828</v>
      </c>
      <c r="EH13">
        <v>195</v>
      </c>
      <c r="EI13" s="3"/>
      <c r="EJ13">
        <f t="shared" si="23"/>
        <v>31</v>
      </c>
      <c r="EK13" t="s">
        <v>3053</v>
      </c>
      <c r="EL13" t="s">
        <v>3054</v>
      </c>
      <c r="EM13">
        <v>3.920777320861816</v>
      </c>
      <c r="EN13">
        <v>403</v>
      </c>
      <c r="EO13" s="2"/>
      <c r="EP13">
        <f t="shared" si="24"/>
        <v>15</v>
      </c>
      <c r="EQ13" t="s">
        <v>3055</v>
      </c>
      <c r="ER13" t="s">
        <v>3056</v>
      </c>
      <c r="ES13">
        <v>18.359626770019531</v>
      </c>
      <c r="ET13">
        <v>291</v>
      </c>
      <c r="EU13" s="3"/>
      <c r="EV13">
        <f t="shared" si="25"/>
        <v>14</v>
      </c>
      <c r="EW13" t="s">
        <v>914</v>
      </c>
      <c r="EX13" t="s">
        <v>3057</v>
      </c>
      <c r="EY13">
        <v>12.390734910964969</v>
      </c>
      <c r="EZ13">
        <v>239</v>
      </c>
      <c r="FA13" s="2"/>
      <c r="FB13">
        <f t="shared" si="26"/>
        <v>30</v>
      </c>
      <c r="FC13" t="s">
        <v>3058</v>
      </c>
      <c r="FD13" t="s">
        <v>3059</v>
      </c>
      <c r="FE13">
        <v>25.208304643630981</v>
      </c>
      <c r="FF13">
        <v>394</v>
      </c>
      <c r="FG13" s="3"/>
      <c r="FH13">
        <f t="shared" si="27"/>
        <v>24</v>
      </c>
      <c r="FI13" t="s">
        <v>3060</v>
      </c>
      <c r="FJ13" t="s">
        <v>3061</v>
      </c>
      <c r="FK13">
        <v>7.4576337337493896</v>
      </c>
      <c r="FL13">
        <v>402</v>
      </c>
      <c r="FM13" s="2"/>
      <c r="FN13">
        <f t="shared" si="28"/>
        <v>19</v>
      </c>
      <c r="FO13" t="s">
        <v>3062</v>
      </c>
      <c r="FP13" t="s">
        <v>3063</v>
      </c>
      <c r="FQ13">
        <v>5.4264564514160156</v>
      </c>
      <c r="FR13">
        <v>456</v>
      </c>
      <c r="FS13" s="3"/>
      <c r="FT13">
        <f t="shared" si="29"/>
        <v>25</v>
      </c>
      <c r="FU13" t="s">
        <v>786</v>
      </c>
      <c r="FV13" t="s">
        <v>3064</v>
      </c>
      <c r="FW13">
        <v>13.46428394317627</v>
      </c>
      <c r="FX13">
        <v>428</v>
      </c>
      <c r="FY13" s="2"/>
      <c r="FZ13">
        <f t="shared" si="30"/>
        <v>66</v>
      </c>
      <c r="GA13" t="s">
        <v>3065</v>
      </c>
      <c r="GB13" t="s">
        <v>3066</v>
      </c>
      <c r="GC13">
        <v>12.057572841644291</v>
      </c>
      <c r="GD13">
        <v>383</v>
      </c>
      <c r="GE13" s="3"/>
      <c r="GF13">
        <f t="shared" si="31"/>
        <v>16</v>
      </c>
      <c r="GG13" t="s">
        <v>3067</v>
      </c>
      <c r="GH13" t="s">
        <v>3068</v>
      </c>
      <c r="GI13">
        <v>6.2554926872253418</v>
      </c>
      <c r="GJ13">
        <v>364</v>
      </c>
      <c r="GK13" s="2"/>
      <c r="GL13">
        <f t="shared" si="32"/>
        <v>26</v>
      </c>
      <c r="GM13" t="s">
        <v>3069</v>
      </c>
      <c r="GN13" t="s">
        <v>3070</v>
      </c>
      <c r="GO13">
        <v>17.567138433456421</v>
      </c>
      <c r="GP13">
        <v>345</v>
      </c>
      <c r="GQ13" s="3"/>
      <c r="GR13">
        <f t="shared" si="33"/>
        <v>28</v>
      </c>
      <c r="GS13" t="s">
        <v>3071</v>
      </c>
      <c r="GT13" t="s">
        <v>3072</v>
      </c>
      <c r="GU13">
        <v>35.215993881225593</v>
      </c>
      <c r="GV13">
        <v>428</v>
      </c>
      <c r="GW13" s="2"/>
      <c r="GX13">
        <f t="shared" si="34"/>
        <v>32</v>
      </c>
      <c r="GY13" t="s">
        <v>3073</v>
      </c>
      <c r="GZ13" t="s">
        <v>3074</v>
      </c>
      <c r="HA13">
        <v>22.806057214736938</v>
      </c>
      <c r="HB13">
        <v>347</v>
      </c>
      <c r="HC13" s="3"/>
      <c r="HD13">
        <f t="shared" si="35"/>
        <v>36</v>
      </c>
      <c r="HE13" t="s">
        <v>3075</v>
      </c>
      <c r="HF13" t="s">
        <v>3076</v>
      </c>
      <c r="HG13">
        <v>8.900395393371582</v>
      </c>
      <c r="HH13">
        <v>305</v>
      </c>
      <c r="HI13" s="2"/>
      <c r="HJ13">
        <f t="shared" si="36"/>
        <v>23</v>
      </c>
      <c r="HK13" t="s">
        <v>420</v>
      </c>
      <c r="HL13" t="s">
        <v>3077</v>
      </c>
      <c r="HM13">
        <v>17.338676452636719</v>
      </c>
      <c r="HN13">
        <v>323</v>
      </c>
      <c r="HO13" s="3"/>
      <c r="HP13">
        <f t="shared" si="37"/>
        <v>17</v>
      </c>
      <c r="HQ13" t="s">
        <v>3078</v>
      </c>
      <c r="HR13" t="s">
        <v>3079</v>
      </c>
      <c r="HS13">
        <v>10.480666637420651</v>
      </c>
      <c r="HT13">
        <v>352</v>
      </c>
      <c r="HU13" s="2"/>
      <c r="HV13">
        <f t="shared" si="38"/>
        <v>17</v>
      </c>
      <c r="HW13" t="s">
        <v>3080</v>
      </c>
      <c r="HX13" t="s">
        <v>3081</v>
      </c>
      <c r="HY13">
        <v>8.8265910148620605</v>
      </c>
      <c r="HZ13">
        <v>375</v>
      </c>
      <c r="IA13" s="3"/>
      <c r="IB13">
        <f t="shared" si="39"/>
        <v>32</v>
      </c>
      <c r="IC13" t="s">
        <v>959</v>
      </c>
      <c r="ID13" t="s">
        <v>3082</v>
      </c>
      <c r="IE13">
        <v>11.797589063644409</v>
      </c>
      <c r="IF13">
        <v>376</v>
      </c>
      <c r="IG13" s="2"/>
      <c r="IH13">
        <f t="shared" si="40"/>
        <v>39</v>
      </c>
      <c r="II13" t="s">
        <v>2662</v>
      </c>
      <c r="IJ13" t="s">
        <v>3083</v>
      </c>
      <c r="IK13">
        <v>13.80077862739563</v>
      </c>
      <c r="IL13">
        <v>450</v>
      </c>
      <c r="IM13" s="3"/>
      <c r="IN13">
        <f t="shared" si="41"/>
        <v>29</v>
      </c>
      <c r="IO13" t="s">
        <v>2809</v>
      </c>
      <c r="IP13" t="s">
        <v>3084</v>
      </c>
      <c r="IQ13">
        <v>4.6385769844055176</v>
      </c>
      <c r="IR13">
        <v>361</v>
      </c>
      <c r="IS13" s="2"/>
      <c r="IT13">
        <f t="shared" si="42"/>
        <v>26</v>
      </c>
      <c r="IU13" t="s">
        <v>1749</v>
      </c>
      <c r="IV13" t="s">
        <v>3085</v>
      </c>
      <c r="IW13">
        <v>9.3231494426727295</v>
      </c>
      <c r="IX13">
        <v>295</v>
      </c>
      <c r="IY13" s="3"/>
      <c r="IZ13">
        <f t="shared" si="43"/>
        <v>33</v>
      </c>
      <c r="JA13" t="s">
        <v>1650</v>
      </c>
      <c r="JB13" t="s">
        <v>3086</v>
      </c>
      <c r="JC13">
        <v>43.399873733520508</v>
      </c>
      <c r="JD13">
        <v>327</v>
      </c>
      <c r="JE13" s="2"/>
      <c r="JF13">
        <f t="shared" si="44"/>
        <v>20</v>
      </c>
      <c r="JG13" t="s">
        <v>78</v>
      </c>
      <c r="JH13" t="s">
        <v>3087</v>
      </c>
      <c r="JI13">
        <v>3.893093585968018</v>
      </c>
      <c r="JJ13">
        <v>259</v>
      </c>
      <c r="JK13" s="3"/>
      <c r="JL13">
        <f t="shared" si="45"/>
        <v>23</v>
      </c>
      <c r="JM13" t="s">
        <v>3088</v>
      </c>
      <c r="JN13" t="s">
        <v>3089</v>
      </c>
      <c r="JO13">
        <v>8.061070442199707</v>
      </c>
      <c r="JP13">
        <v>271</v>
      </c>
      <c r="JQ13" s="2"/>
      <c r="JR13">
        <f t="shared" si="46"/>
        <v>18</v>
      </c>
      <c r="JS13" t="s">
        <v>3090</v>
      </c>
      <c r="JT13" t="s">
        <v>3091</v>
      </c>
      <c r="JU13">
        <v>17.32733678817749</v>
      </c>
      <c r="JV13">
        <v>241</v>
      </c>
      <c r="JW13" s="3"/>
      <c r="JX13">
        <f t="shared" si="47"/>
        <v>8</v>
      </c>
      <c r="JY13" t="s">
        <v>2734</v>
      </c>
      <c r="JZ13" t="s">
        <v>3092</v>
      </c>
      <c r="KA13">
        <v>4.548943042755127</v>
      </c>
      <c r="KB13">
        <v>358</v>
      </c>
      <c r="KC13" s="2"/>
      <c r="KD13">
        <f t="shared" si="48"/>
        <v>23</v>
      </c>
      <c r="KE13" t="s">
        <v>3093</v>
      </c>
      <c r="KF13" t="s">
        <v>3094</v>
      </c>
      <c r="KG13">
        <v>10.72669196128845</v>
      </c>
      <c r="KH13">
        <v>190</v>
      </c>
      <c r="KI13" s="3"/>
      <c r="KJ13">
        <f t="shared" si="49"/>
        <v>21</v>
      </c>
      <c r="KK13" t="s">
        <v>3095</v>
      </c>
      <c r="KL13" t="s">
        <v>3096</v>
      </c>
      <c r="KM13">
        <v>12.15492534637451</v>
      </c>
      <c r="KN13">
        <v>356</v>
      </c>
      <c r="KO13" s="2"/>
      <c r="KP13">
        <f t="shared" si="50"/>
        <v>25</v>
      </c>
      <c r="KQ13" t="s">
        <v>1425</v>
      </c>
      <c r="KR13" t="s">
        <v>3097</v>
      </c>
      <c r="KS13">
        <v>24.712200164794918</v>
      </c>
      <c r="KT13">
        <v>456</v>
      </c>
      <c r="KU13" s="3"/>
      <c r="KV13">
        <f t="shared" si="51"/>
        <v>66</v>
      </c>
      <c r="KW13" t="s">
        <v>3098</v>
      </c>
      <c r="KX13" t="s">
        <v>3099</v>
      </c>
      <c r="KY13">
        <v>10.67032742500305</v>
      </c>
      <c r="KZ13">
        <v>382</v>
      </c>
      <c r="LA13" s="2"/>
      <c r="LB13">
        <f t="shared" si="52"/>
        <v>17</v>
      </c>
      <c r="LC13" t="s">
        <v>458</v>
      </c>
      <c r="LD13" t="s">
        <v>3100</v>
      </c>
      <c r="LE13">
        <v>12.09434080123901</v>
      </c>
      <c r="LF13">
        <v>344</v>
      </c>
      <c r="LG13" s="3"/>
      <c r="LH13">
        <f t="shared" si="53"/>
        <v>20</v>
      </c>
      <c r="LI13" t="s">
        <v>655</v>
      </c>
      <c r="LJ13" t="s">
        <v>3101</v>
      </c>
      <c r="LK13">
        <v>7.492546558380127</v>
      </c>
      <c r="LL13">
        <v>392</v>
      </c>
      <c r="LM13" s="2"/>
      <c r="LN13">
        <f t="shared" si="54"/>
        <v>26</v>
      </c>
      <c r="LO13" t="s">
        <v>2037</v>
      </c>
      <c r="LP13" t="s">
        <v>3102</v>
      </c>
      <c r="LQ13">
        <v>17.167468547821041</v>
      </c>
      <c r="LR13">
        <v>391</v>
      </c>
      <c r="LS13" s="3"/>
      <c r="LT13">
        <f t="shared" si="55"/>
        <v>25</v>
      </c>
      <c r="LU13" t="s">
        <v>2232</v>
      </c>
      <c r="LV13" t="s">
        <v>3103</v>
      </c>
      <c r="LW13">
        <v>5.92128586769104</v>
      </c>
      <c r="LX13">
        <v>377</v>
      </c>
      <c r="LY13" s="2"/>
      <c r="LZ13">
        <f t="shared" si="56"/>
        <v>29</v>
      </c>
      <c r="MA13" t="s">
        <v>3104</v>
      </c>
      <c r="MB13" t="s">
        <v>3105</v>
      </c>
      <c r="MC13">
        <v>17.52844071388245</v>
      </c>
      <c r="MD13">
        <v>396</v>
      </c>
      <c r="ME13" s="3"/>
      <c r="MF13">
        <f t="shared" si="57"/>
        <v>36</v>
      </c>
      <c r="MG13" t="s">
        <v>3106</v>
      </c>
      <c r="MH13" t="s">
        <v>3107</v>
      </c>
      <c r="MI13">
        <v>18.12009334564209</v>
      </c>
      <c r="MJ13">
        <v>472</v>
      </c>
      <c r="MK13" s="2"/>
      <c r="ML13">
        <f t="shared" si="58"/>
        <v>33</v>
      </c>
      <c r="MM13" t="s">
        <v>1134</v>
      </c>
      <c r="MN13" t="s">
        <v>3108</v>
      </c>
      <c r="MO13">
        <v>8.7245719432830811</v>
      </c>
      <c r="MP13">
        <v>283</v>
      </c>
      <c r="MQ13" s="3"/>
      <c r="MR13">
        <f t="shared" si="59"/>
        <v>38</v>
      </c>
      <c r="MS13" t="s">
        <v>3109</v>
      </c>
      <c r="MT13" t="s">
        <v>3110</v>
      </c>
      <c r="MU13">
        <v>7.8788132667541504</v>
      </c>
      <c r="MV13">
        <v>405</v>
      </c>
      <c r="MW13" s="2"/>
      <c r="MX13">
        <f t="shared" si="60"/>
        <v>35</v>
      </c>
      <c r="MY13" t="s">
        <v>3111</v>
      </c>
      <c r="MZ13" t="s">
        <v>3112</v>
      </c>
      <c r="NA13">
        <v>14.609697341918951</v>
      </c>
      <c r="NB13">
        <v>351</v>
      </c>
      <c r="NC13" s="3"/>
      <c r="ND13">
        <f t="shared" si="61"/>
        <v>90</v>
      </c>
      <c r="NE13" t="s">
        <v>2946</v>
      </c>
      <c r="NF13" t="s">
        <v>3113</v>
      </c>
      <c r="NG13">
        <v>29.504019021987919</v>
      </c>
      <c r="NH13">
        <v>427</v>
      </c>
      <c r="NI13" s="2"/>
      <c r="NJ13">
        <f t="shared" si="62"/>
        <v>27</v>
      </c>
      <c r="NK13" t="s">
        <v>2155</v>
      </c>
      <c r="NL13" t="s">
        <v>3114</v>
      </c>
      <c r="NM13">
        <v>12.714814424514771</v>
      </c>
      <c r="NN13">
        <v>272</v>
      </c>
      <c r="NO13" s="3"/>
      <c r="NP13">
        <f t="shared" si="63"/>
        <v>37</v>
      </c>
      <c r="NQ13" t="s">
        <v>3115</v>
      </c>
      <c r="NR13" t="s">
        <v>3116</v>
      </c>
      <c r="NS13">
        <v>10.726805448532099</v>
      </c>
      <c r="NT13">
        <v>262</v>
      </c>
      <c r="NU13" s="2"/>
      <c r="NV13">
        <f t="shared" si="64"/>
        <v>22</v>
      </c>
      <c r="NW13" t="s">
        <v>1402</v>
      </c>
      <c r="NX13" t="s">
        <v>3117</v>
      </c>
      <c r="NY13">
        <v>5.9040851593017578</v>
      </c>
      <c r="NZ13">
        <v>257</v>
      </c>
      <c r="OA13" s="3"/>
      <c r="OB13">
        <f t="shared" si="65"/>
        <v>15</v>
      </c>
      <c r="OC13" t="s">
        <v>3118</v>
      </c>
      <c r="OD13" t="s">
        <v>3119</v>
      </c>
      <c r="OE13">
        <v>11.475359201431271</v>
      </c>
      <c r="OF13">
        <v>351</v>
      </c>
      <c r="OG13" s="2"/>
      <c r="OH13">
        <f t="shared" si="66"/>
        <v>37</v>
      </c>
      <c r="OI13" t="s">
        <v>3120</v>
      </c>
      <c r="OJ13" t="s">
        <v>3121</v>
      </c>
      <c r="OK13">
        <v>9.3431737422943115</v>
      </c>
      <c r="OL13">
        <v>291</v>
      </c>
      <c r="OM13" s="3"/>
      <c r="ON13">
        <f t="shared" si="67"/>
        <v>36</v>
      </c>
      <c r="OO13" t="s">
        <v>3122</v>
      </c>
      <c r="OP13" t="s">
        <v>3123</v>
      </c>
      <c r="OQ13">
        <v>38.097691535949707</v>
      </c>
      <c r="OR13">
        <v>440</v>
      </c>
      <c r="OS13" s="2"/>
      <c r="OT13">
        <f t="shared" si="68"/>
        <v>30</v>
      </c>
      <c r="OU13" t="s">
        <v>661</v>
      </c>
      <c r="OV13" t="s">
        <v>3124</v>
      </c>
      <c r="OW13">
        <v>13.8397810459137</v>
      </c>
      <c r="OX13">
        <v>357</v>
      </c>
      <c r="OY13" s="3"/>
      <c r="OZ13">
        <f t="shared" si="69"/>
        <v>29</v>
      </c>
      <c r="PA13" t="s">
        <v>3125</v>
      </c>
      <c r="PB13" t="s">
        <v>3126</v>
      </c>
      <c r="PC13">
        <v>7.9173014163970947</v>
      </c>
      <c r="PD13">
        <v>446</v>
      </c>
      <c r="PE13" s="2"/>
      <c r="PF13">
        <f t="shared" si="70"/>
        <v>37</v>
      </c>
      <c r="PG13" t="s">
        <v>3127</v>
      </c>
      <c r="PH13" t="s">
        <v>3128</v>
      </c>
      <c r="PI13">
        <v>13.82274055480957</v>
      </c>
      <c r="PJ13">
        <v>302</v>
      </c>
      <c r="PK13" s="3"/>
      <c r="PL13">
        <f t="shared" si="71"/>
        <v>27</v>
      </c>
      <c r="PM13" t="s">
        <v>3129</v>
      </c>
      <c r="PN13" t="s">
        <v>3130</v>
      </c>
      <c r="PO13">
        <v>8.4618203639984131</v>
      </c>
      <c r="PP13">
        <v>472</v>
      </c>
      <c r="PQ13" s="2"/>
      <c r="PR13">
        <f t="shared" si="72"/>
        <v>26</v>
      </c>
      <c r="PS13" t="s">
        <v>3131</v>
      </c>
      <c r="PT13" t="s">
        <v>3132</v>
      </c>
      <c r="PU13">
        <v>13.018374443054199</v>
      </c>
      <c r="PV13">
        <v>310</v>
      </c>
      <c r="PW13" s="3"/>
      <c r="PX13">
        <f t="shared" si="73"/>
        <v>26</v>
      </c>
      <c r="PY13" t="s">
        <v>3133</v>
      </c>
      <c r="PZ13" t="s">
        <v>3134</v>
      </c>
      <c r="QA13">
        <v>10.655626058578489</v>
      </c>
      <c r="QB13">
        <v>407</v>
      </c>
      <c r="QC13" s="2"/>
      <c r="QD13">
        <f t="shared" si="74"/>
        <v>27</v>
      </c>
      <c r="QE13" t="s">
        <v>3135</v>
      </c>
      <c r="QF13" t="s">
        <v>3136</v>
      </c>
      <c r="QG13">
        <v>18.23601055145264</v>
      </c>
      <c r="QH13">
        <v>263</v>
      </c>
      <c r="QI13" s="3"/>
      <c r="QJ13">
        <f t="shared" si="75"/>
        <v>18</v>
      </c>
      <c r="QK13" t="s">
        <v>1364</v>
      </c>
      <c r="QL13" t="s">
        <v>3137</v>
      </c>
      <c r="QM13">
        <v>13.848677635192869</v>
      </c>
      <c r="QN13">
        <v>364</v>
      </c>
      <c r="QO13" s="2"/>
      <c r="QP13">
        <f t="shared" si="76"/>
        <v>13</v>
      </c>
      <c r="QQ13" t="s">
        <v>20</v>
      </c>
      <c r="QR13" t="s">
        <v>3138</v>
      </c>
      <c r="QS13">
        <v>3.4446067810058589</v>
      </c>
      <c r="QT13">
        <v>195</v>
      </c>
      <c r="QU13" s="3"/>
      <c r="QV13">
        <f t="shared" si="77"/>
        <v>34</v>
      </c>
      <c r="QW13" t="s">
        <v>3139</v>
      </c>
      <c r="QX13" t="s">
        <v>3140</v>
      </c>
      <c r="QY13">
        <v>33.157734870910637</v>
      </c>
      <c r="QZ13">
        <v>243</v>
      </c>
      <c r="RA13" s="2"/>
      <c r="RB13">
        <f t="shared" si="78"/>
        <v>44</v>
      </c>
      <c r="RC13" t="s">
        <v>1791</v>
      </c>
      <c r="RD13" t="s">
        <v>3141</v>
      </c>
      <c r="RE13">
        <v>12.821512699127201</v>
      </c>
      <c r="RF13">
        <v>294</v>
      </c>
      <c r="RG13" s="3"/>
      <c r="RH13">
        <f t="shared" si="79"/>
        <v>35</v>
      </c>
      <c r="RI13" t="s">
        <v>3142</v>
      </c>
      <c r="RJ13" t="s">
        <v>3143</v>
      </c>
      <c r="RK13">
        <v>8.8172881603240967</v>
      </c>
      <c r="RL13">
        <v>268</v>
      </c>
      <c r="RM13" s="2"/>
      <c r="RN13">
        <f t="shared" si="80"/>
        <v>31</v>
      </c>
      <c r="RO13" t="s">
        <v>3144</v>
      </c>
      <c r="RP13" t="s">
        <v>3145</v>
      </c>
      <c r="RQ13">
        <v>11.29915189743042</v>
      </c>
      <c r="RR13">
        <v>320</v>
      </c>
      <c r="RS13" s="3"/>
      <c r="RT13">
        <f t="shared" si="81"/>
        <v>21</v>
      </c>
      <c r="RU13" t="s">
        <v>1358</v>
      </c>
      <c r="RV13" t="s">
        <v>3146</v>
      </c>
      <c r="RW13">
        <v>6.4526498317718506</v>
      </c>
      <c r="RX13">
        <v>392</v>
      </c>
      <c r="RY13" s="2"/>
      <c r="RZ13">
        <f t="shared" si="82"/>
        <v>28</v>
      </c>
      <c r="SA13" t="s">
        <v>2155</v>
      </c>
      <c r="SB13" t="s">
        <v>3147</v>
      </c>
      <c r="SC13">
        <v>19.200721263885502</v>
      </c>
      <c r="SD13">
        <v>227</v>
      </c>
      <c r="SE13" s="3"/>
      <c r="SF13">
        <f t="shared" si="83"/>
        <v>34</v>
      </c>
      <c r="SG13" t="s">
        <v>3148</v>
      </c>
      <c r="SH13" t="s">
        <v>3149</v>
      </c>
      <c r="SI13">
        <v>19.66908502578735</v>
      </c>
      <c r="SJ13">
        <v>329</v>
      </c>
      <c r="SK13" s="2"/>
      <c r="SL13">
        <f t="shared" si="84"/>
        <v>18</v>
      </c>
      <c r="SM13" t="s">
        <v>3150</v>
      </c>
      <c r="SN13" t="s">
        <v>3151</v>
      </c>
      <c r="SO13">
        <v>4.1583778858184806</v>
      </c>
      <c r="SP13">
        <v>335</v>
      </c>
      <c r="SQ13" s="3"/>
      <c r="SR13">
        <f t="shared" si="85"/>
        <v>15</v>
      </c>
      <c r="SS13" t="s">
        <v>3152</v>
      </c>
      <c r="ST13" t="s">
        <v>3153</v>
      </c>
      <c r="SU13">
        <v>8.541424036026001</v>
      </c>
      <c r="SV13">
        <v>334</v>
      </c>
      <c r="SW13" s="4"/>
      <c r="SX13">
        <f t="shared" si="86"/>
        <v>23</v>
      </c>
      <c r="SY13" t="s">
        <v>3154</v>
      </c>
      <c r="SZ13" t="s">
        <v>3155</v>
      </c>
      <c r="TA13">
        <v>17.84361362457275</v>
      </c>
      <c r="TB13">
        <v>397</v>
      </c>
      <c r="TC13" s="5"/>
      <c r="TD13">
        <f t="shared" si="87"/>
        <v>51</v>
      </c>
      <c r="TE13" t="s">
        <v>3156</v>
      </c>
      <c r="TF13" t="s">
        <v>3157</v>
      </c>
      <c r="TG13">
        <v>10.330443143844599</v>
      </c>
      <c r="TH13">
        <v>305</v>
      </c>
      <c r="TI13" s="2"/>
      <c r="TJ13">
        <f t="shared" si="88"/>
        <v>27</v>
      </c>
      <c r="TK13" t="s">
        <v>3158</v>
      </c>
      <c r="TL13" t="s">
        <v>3159</v>
      </c>
      <c r="TM13">
        <v>30.826711893081669</v>
      </c>
      <c r="TN13">
        <v>412</v>
      </c>
      <c r="TO13" s="5"/>
      <c r="TP13">
        <f t="shared" si="89"/>
        <v>26</v>
      </c>
      <c r="TQ13" t="s">
        <v>1229</v>
      </c>
      <c r="TR13" t="s">
        <v>3160</v>
      </c>
      <c r="TS13">
        <v>28.61836576461792</v>
      </c>
      <c r="TT13">
        <v>355</v>
      </c>
      <c r="TU13" s="2"/>
      <c r="TV13">
        <f t="shared" si="90"/>
        <v>32</v>
      </c>
      <c r="TW13" t="s">
        <v>3161</v>
      </c>
      <c r="TX13" t="s">
        <v>3162</v>
      </c>
      <c r="TY13">
        <v>5.1347503662109384</v>
      </c>
      <c r="TZ13">
        <v>295</v>
      </c>
      <c r="UA13" s="5"/>
      <c r="UB13">
        <f t="shared" si="91"/>
        <v>34</v>
      </c>
      <c r="UC13" t="s">
        <v>3163</v>
      </c>
      <c r="UD13" t="s">
        <v>3164</v>
      </c>
      <c r="UE13">
        <v>23.063851356506351</v>
      </c>
      <c r="UF13">
        <v>322</v>
      </c>
      <c r="UG13" s="2"/>
      <c r="UH13">
        <f t="shared" si="92"/>
        <v>19</v>
      </c>
      <c r="UI13" t="s">
        <v>3148</v>
      </c>
      <c r="UJ13" t="s">
        <v>3165</v>
      </c>
      <c r="UK13">
        <v>7.1862185001373291</v>
      </c>
      <c r="UL13">
        <v>374</v>
      </c>
      <c r="UM13" s="5"/>
      <c r="UN13">
        <f t="shared" si="93"/>
        <v>24</v>
      </c>
      <c r="UO13" t="s">
        <v>2707</v>
      </c>
      <c r="UP13" t="s">
        <v>3166</v>
      </c>
      <c r="UQ13">
        <v>7.8577449321746826</v>
      </c>
      <c r="UR13">
        <v>423</v>
      </c>
      <c r="US13" s="2"/>
      <c r="UT13">
        <f t="shared" si="94"/>
        <v>27</v>
      </c>
      <c r="UU13" t="s">
        <v>2382</v>
      </c>
      <c r="UV13" t="s">
        <v>3167</v>
      </c>
      <c r="UW13">
        <v>16.058470249176029</v>
      </c>
      <c r="UX13">
        <v>410</v>
      </c>
      <c r="UY13" s="5"/>
      <c r="UZ13">
        <f t="shared" si="95"/>
        <v>39</v>
      </c>
      <c r="VA13" t="s">
        <v>3168</v>
      </c>
      <c r="VB13" t="s">
        <v>3169</v>
      </c>
      <c r="VC13">
        <v>14.10962581634521</v>
      </c>
      <c r="VD13">
        <v>463</v>
      </c>
      <c r="VE13" s="2"/>
      <c r="VF13">
        <f t="shared" si="96"/>
        <v>22</v>
      </c>
      <c r="VG13" t="s">
        <v>2821</v>
      </c>
      <c r="VH13" t="s">
        <v>3170</v>
      </c>
      <c r="VI13">
        <v>75.722704648971558</v>
      </c>
      <c r="VJ13">
        <v>312</v>
      </c>
      <c r="VK13" s="5"/>
      <c r="VL13">
        <f t="shared" si="97"/>
        <v>36</v>
      </c>
      <c r="VM13" t="s">
        <v>3171</v>
      </c>
      <c r="VN13" t="s">
        <v>3172</v>
      </c>
      <c r="VO13">
        <v>14.85532855987549</v>
      </c>
      <c r="VP13">
        <v>329</v>
      </c>
      <c r="VQ13" s="2"/>
      <c r="VR13">
        <f t="shared" si="98"/>
        <v>27</v>
      </c>
      <c r="VS13" t="s">
        <v>3173</v>
      </c>
      <c r="VT13" t="s">
        <v>3174</v>
      </c>
      <c r="VU13">
        <v>12.38281774520874</v>
      </c>
      <c r="VV13">
        <v>318</v>
      </c>
      <c r="VW13" s="5"/>
      <c r="VX13">
        <f t="shared" si="99"/>
        <v>17</v>
      </c>
      <c r="VY13" t="s">
        <v>382</v>
      </c>
      <c r="VZ13" t="s">
        <v>3175</v>
      </c>
      <c r="WA13">
        <v>10.208480358123779</v>
      </c>
      <c r="WB13">
        <v>333</v>
      </c>
      <c r="WC13" s="2"/>
      <c r="WD13">
        <f t="shared" si="100"/>
        <v>22</v>
      </c>
      <c r="WE13" t="s">
        <v>3176</v>
      </c>
      <c r="WF13" t="s">
        <v>3177</v>
      </c>
      <c r="WG13">
        <v>13.096625089645389</v>
      </c>
      <c r="WH13">
        <v>349</v>
      </c>
      <c r="WI13" s="5"/>
      <c r="WJ13">
        <f t="shared" si="101"/>
        <v>48</v>
      </c>
      <c r="WK13" t="s">
        <v>3178</v>
      </c>
      <c r="WL13" t="s">
        <v>3179</v>
      </c>
      <c r="WM13">
        <v>10.315148115158079</v>
      </c>
      <c r="WN13">
        <v>392</v>
      </c>
      <c r="WO13" s="2"/>
      <c r="WP13">
        <f t="shared" si="102"/>
        <v>30</v>
      </c>
      <c r="WQ13" t="s">
        <v>3180</v>
      </c>
      <c r="WR13" t="s">
        <v>3181</v>
      </c>
      <c r="WS13">
        <v>10.67158007621765</v>
      </c>
      <c r="WT13">
        <v>273</v>
      </c>
      <c r="WU13" s="5"/>
      <c r="WV13">
        <f t="shared" si="103"/>
        <v>39</v>
      </c>
      <c r="WW13" t="s">
        <v>3182</v>
      </c>
      <c r="WX13" t="s">
        <v>3183</v>
      </c>
      <c r="WY13">
        <v>119.8924844264984</v>
      </c>
      <c r="WZ13">
        <v>294</v>
      </c>
      <c r="XA13" s="2"/>
      <c r="XB13">
        <f t="shared" si="104"/>
        <v>22</v>
      </c>
      <c r="XC13" t="s">
        <v>3184</v>
      </c>
      <c r="XD13" t="s">
        <v>3185</v>
      </c>
      <c r="XE13">
        <v>24.519274234771729</v>
      </c>
      <c r="XF13">
        <v>365</v>
      </c>
      <c r="XG13" s="5"/>
      <c r="XH13">
        <f t="shared" si="105"/>
        <v>31</v>
      </c>
      <c r="XI13" t="s">
        <v>3186</v>
      </c>
      <c r="XJ13" t="s">
        <v>3187</v>
      </c>
      <c r="XK13">
        <v>123.1215243339539</v>
      </c>
      <c r="XL13">
        <v>394</v>
      </c>
      <c r="XM13" s="2"/>
      <c r="XN13">
        <f t="shared" si="106"/>
        <v>16</v>
      </c>
      <c r="XO13" t="s">
        <v>2943</v>
      </c>
      <c r="XP13" t="s">
        <v>3188</v>
      </c>
      <c r="XQ13">
        <v>6.9308977127075204</v>
      </c>
      <c r="XR13">
        <v>318</v>
      </c>
      <c r="XS13" s="5"/>
      <c r="XT13">
        <f t="shared" si="107"/>
        <v>21</v>
      </c>
      <c r="XU13" t="s">
        <v>3093</v>
      </c>
      <c r="XV13" t="s">
        <v>3189</v>
      </c>
      <c r="XW13">
        <v>10.716012477874759</v>
      </c>
      <c r="XX13">
        <v>599</v>
      </c>
      <c r="XY13" s="2"/>
      <c r="XZ13">
        <f t="shared" si="108"/>
        <v>18</v>
      </c>
      <c r="YA13" t="s">
        <v>3190</v>
      </c>
      <c r="YB13" t="s">
        <v>3191</v>
      </c>
      <c r="YC13">
        <v>7.9771971702575684</v>
      </c>
      <c r="YD13">
        <v>254</v>
      </c>
      <c r="YE13" s="5"/>
      <c r="YF13">
        <f t="shared" si="109"/>
        <v>23</v>
      </c>
      <c r="YG13" t="s">
        <v>3192</v>
      </c>
      <c r="YH13" t="s">
        <v>3193</v>
      </c>
      <c r="YI13">
        <v>18.16846752166748</v>
      </c>
      <c r="YJ13">
        <v>237</v>
      </c>
      <c r="YK13" s="2"/>
      <c r="YL13">
        <f t="shared" si="110"/>
        <v>14</v>
      </c>
      <c r="YM13" t="s">
        <v>3115</v>
      </c>
      <c r="YN13" t="s">
        <v>3194</v>
      </c>
      <c r="YO13">
        <v>12.57320952415466</v>
      </c>
      <c r="YP13">
        <v>343</v>
      </c>
      <c r="YQ13" s="5"/>
      <c r="YR13">
        <f t="shared" si="111"/>
        <v>33</v>
      </c>
      <c r="YS13" t="s">
        <v>3195</v>
      </c>
      <c r="YT13" t="s">
        <v>3196</v>
      </c>
      <c r="YU13">
        <v>26.34563159942627</v>
      </c>
      <c r="YV13">
        <v>454</v>
      </c>
      <c r="YW13" s="2"/>
      <c r="YX13">
        <f t="shared" si="112"/>
        <v>24</v>
      </c>
      <c r="YY13" t="s">
        <v>3197</v>
      </c>
      <c r="YZ13" t="s">
        <v>3198</v>
      </c>
      <c r="ZA13">
        <v>7.9319016933441162</v>
      </c>
      <c r="ZB13">
        <v>462</v>
      </c>
      <c r="ZC13" s="5"/>
      <c r="ZD13">
        <f t="shared" si="113"/>
        <v>23</v>
      </c>
      <c r="ZE13" t="s">
        <v>1652</v>
      </c>
      <c r="ZF13" t="s">
        <v>3199</v>
      </c>
      <c r="ZG13">
        <v>7.9193661212921143</v>
      </c>
      <c r="ZH13">
        <v>336</v>
      </c>
      <c r="ZI13" s="2"/>
      <c r="ZJ13">
        <f t="shared" si="114"/>
        <v>33</v>
      </c>
      <c r="ZK13" t="s">
        <v>3200</v>
      </c>
      <c r="ZL13" t="s">
        <v>3201</v>
      </c>
      <c r="ZM13">
        <v>12.852803707122799</v>
      </c>
      <c r="ZN13">
        <v>426</v>
      </c>
      <c r="ZO13" s="5"/>
      <c r="ZP13">
        <f t="shared" si="115"/>
        <v>29</v>
      </c>
      <c r="ZQ13" t="s">
        <v>1169</v>
      </c>
      <c r="ZR13" t="s">
        <v>3202</v>
      </c>
      <c r="ZS13">
        <v>9.9002797603607178</v>
      </c>
      <c r="ZT13">
        <v>333</v>
      </c>
      <c r="ZU13" s="2"/>
      <c r="ZV13">
        <f t="shared" si="116"/>
        <v>22</v>
      </c>
      <c r="ZW13" t="s">
        <v>928</v>
      </c>
      <c r="ZX13" t="s">
        <v>3203</v>
      </c>
      <c r="ZY13">
        <v>5.1208133697509766</v>
      </c>
      <c r="ZZ13">
        <v>443</v>
      </c>
      <c r="AAA13" s="5"/>
      <c r="AAB13">
        <f t="shared" si="117"/>
        <v>28</v>
      </c>
      <c r="AAC13" t="s">
        <v>3204</v>
      </c>
      <c r="AAD13" t="s">
        <v>3205</v>
      </c>
      <c r="AAE13">
        <v>12.658311128616329</v>
      </c>
      <c r="AAF13">
        <v>405</v>
      </c>
      <c r="AAG13" s="2"/>
      <c r="AAH13">
        <f t="shared" si="118"/>
        <v>20</v>
      </c>
      <c r="AAI13" t="s">
        <v>3206</v>
      </c>
      <c r="AAJ13" t="s">
        <v>3207</v>
      </c>
      <c r="AAK13">
        <v>4.9657111167907706</v>
      </c>
      <c r="AAL13">
        <v>372</v>
      </c>
      <c r="AAM13" s="5"/>
      <c r="AAN13">
        <f t="shared" si="119"/>
        <v>31</v>
      </c>
      <c r="AAO13" t="s">
        <v>3208</v>
      </c>
      <c r="AAP13" t="s">
        <v>3209</v>
      </c>
      <c r="AAQ13">
        <v>10.08656692504883</v>
      </c>
      <c r="AAR13">
        <v>322</v>
      </c>
      <c r="AAS13" s="2"/>
      <c r="AAT13">
        <f t="shared" si="120"/>
        <v>34</v>
      </c>
      <c r="AAU13" t="s">
        <v>3210</v>
      </c>
      <c r="AAV13" t="s">
        <v>3211</v>
      </c>
      <c r="AAW13">
        <v>29.538801908493038</v>
      </c>
      <c r="AAX13">
        <v>406</v>
      </c>
      <c r="AAY13" s="5"/>
      <c r="AAZ13">
        <f t="shared" si="121"/>
        <v>29</v>
      </c>
      <c r="ABA13" t="s">
        <v>1754</v>
      </c>
      <c r="ABB13" t="s">
        <v>3212</v>
      </c>
      <c r="ABC13">
        <v>19.342567682266239</v>
      </c>
      <c r="ABD13">
        <v>223</v>
      </c>
      <c r="ABE13" s="2"/>
      <c r="ABF13">
        <f t="shared" si="122"/>
        <v>15</v>
      </c>
      <c r="ABG13" t="s">
        <v>2647</v>
      </c>
      <c r="ABH13" t="s">
        <v>3213</v>
      </c>
      <c r="ABI13">
        <v>5.5040187835693359</v>
      </c>
      <c r="ABJ13">
        <v>472</v>
      </c>
      <c r="ABK13" s="5"/>
      <c r="ABL13">
        <f t="shared" si="123"/>
        <v>30</v>
      </c>
      <c r="ABM13" t="s">
        <v>1275</v>
      </c>
      <c r="ABN13" t="s">
        <v>3214</v>
      </c>
      <c r="ABO13">
        <v>12.3473060131073</v>
      </c>
      <c r="ABP13">
        <v>289</v>
      </c>
      <c r="ABQ13" s="2"/>
      <c r="ABR13">
        <f t="shared" si="124"/>
        <v>30</v>
      </c>
      <c r="ABS13" t="s">
        <v>3215</v>
      </c>
      <c r="ABT13" t="s">
        <v>3216</v>
      </c>
      <c r="ABU13">
        <v>77.360687494277954</v>
      </c>
      <c r="ABV13">
        <v>326</v>
      </c>
      <c r="ABW13" s="5"/>
      <c r="ABX13">
        <f t="shared" si="125"/>
        <v>19</v>
      </c>
      <c r="ABY13" t="s">
        <v>3217</v>
      </c>
      <c r="ABZ13" t="s">
        <v>3218</v>
      </c>
      <c r="ACA13">
        <v>16.737266778945919</v>
      </c>
      <c r="ACB13">
        <v>378</v>
      </c>
      <c r="ACC13" s="2"/>
      <c r="ACD13">
        <f t="shared" si="126"/>
        <v>25</v>
      </c>
      <c r="ACE13" t="s">
        <v>3219</v>
      </c>
      <c r="ACF13" t="s">
        <v>3220</v>
      </c>
      <c r="ACG13">
        <v>4.5356330871582031</v>
      </c>
      <c r="ACH13">
        <v>220</v>
      </c>
      <c r="ACI13" s="5"/>
      <c r="ACJ13">
        <f t="shared" si="127"/>
        <v>24</v>
      </c>
      <c r="ACK13" t="s">
        <v>3221</v>
      </c>
      <c r="ACL13" t="s">
        <v>3222</v>
      </c>
      <c r="ACM13">
        <v>85.81093955039978</v>
      </c>
      <c r="ACN13">
        <v>316</v>
      </c>
      <c r="ACO13" s="2"/>
      <c r="ACP13">
        <f t="shared" si="128"/>
        <v>18</v>
      </c>
      <c r="ACQ13" t="s">
        <v>1179</v>
      </c>
      <c r="ACR13" t="s">
        <v>3223</v>
      </c>
      <c r="ACS13">
        <v>2.9682197570800781</v>
      </c>
      <c r="ACT13">
        <v>236</v>
      </c>
      <c r="ACU13" s="5"/>
      <c r="ACV13">
        <f t="shared" si="129"/>
        <v>18</v>
      </c>
      <c r="ACW13" t="s">
        <v>2062</v>
      </c>
      <c r="ACX13" t="s">
        <v>3224</v>
      </c>
      <c r="ACY13">
        <v>5.0735068321228027</v>
      </c>
      <c r="ACZ13">
        <v>235</v>
      </c>
      <c r="ADA13" s="2"/>
      <c r="ADB13">
        <f t="shared" si="130"/>
        <v>61</v>
      </c>
      <c r="ADC13" t="s">
        <v>3225</v>
      </c>
      <c r="ADD13" t="s">
        <v>3226</v>
      </c>
      <c r="ADE13">
        <v>35.913695573806763</v>
      </c>
      <c r="ADF13">
        <v>369</v>
      </c>
      <c r="ADG13" s="5"/>
      <c r="ADH13">
        <f t="shared" si="131"/>
        <v>14</v>
      </c>
      <c r="ADI13" t="s">
        <v>800</v>
      </c>
      <c r="ADJ13" t="s">
        <v>3227</v>
      </c>
      <c r="ADK13">
        <v>20.08079814910889</v>
      </c>
      <c r="ADL13">
        <v>401</v>
      </c>
      <c r="ADM13" s="2"/>
      <c r="ADN13">
        <f t="shared" si="132"/>
        <v>53</v>
      </c>
      <c r="ADO13" t="s">
        <v>500</v>
      </c>
      <c r="ADP13" t="s">
        <v>3228</v>
      </c>
      <c r="ADQ13">
        <v>9.5998594760894775</v>
      </c>
      <c r="ADR13">
        <v>361</v>
      </c>
      <c r="ADS13" s="5"/>
      <c r="ADT13">
        <f t="shared" si="133"/>
        <v>48</v>
      </c>
      <c r="ADU13" t="s">
        <v>3229</v>
      </c>
      <c r="ADV13" t="s">
        <v>3230</v>
      </c>
      <c r="ADW13">
        <v>24.943892478942871</v>
      </c>
      <c r="ADX13">
        <v>417</v>
      </c>
      <c r="ADY13" s="2"/>
      <c r="ADZ13">
        <f t="shared" si="134"/>
        <v>19</v>
      </c>
      <c r="AEA13" t="s">
        <v>3231</v>
      </c>
      <c r="AEB13" t="s">
        <v>3232</v>
      </c>
      <c r="AEC13">
        <v>14.84965085983276</v>
      </c>
      <c r="AED13">
        <v>417</v>
      </c>
      <c r="AEE13" s="5"/>
      <c r="AEF13">
        <f t="shared" si="135"/>
        <v>26</v>
      </c>
      <c r="AEG13" t="s">
        <v>3233</v>
      </c>
      <c r="AEH13" t="s">
        <v>3234</v>
      </c>
      <c r="AEI13">
        <v>9.711756706237793</v>
      </c>
      <c r="AEJ13">
        <v>411</v>
      </c>
      <c r="AEK13" s="2"/>
      <c r="AEL13">
        <f t="shared" si="136"/>
        <v>27</v>
      </c>
      <c r="AEM13" t="s">
        <v>3235</v>
      </c>
      <c r="AEN13" t="s">
        <v>3236</v>
      </c>
      <c r="AEO13">
        <v>14.941338777542111</v>
      </c>
      <c r="AEP13">
        <v>380</v>
      </c>
      <c r="AEQ13" s="5"/>
      <c r="AER13">
        <f t="shared" si="137"/>
        <v>31</v>
      </c>
      <c r="AES13" t="s">
        <v>1389</v>
      </c>
      <c r="AET13" t="s">
        <v>3237</v>
      </c>
      <c r="AEU13">
        <v>23.23777008056641</v>
      </c>
      <c r="AEV13">
        <v>371</v>
      </c>
      <c r="AEW13" s="2"/>
      <c r="AEX13">
        <f t="shared" si="138"/>
        <v>30</v>
      </c>
      <c r="AEY13" t="s">
        <v>3238</v>
      </c>
      <c r="AEZ13" t="s">
        <v>3239</v>
      </c>
      <c r="AFA13">
        <v>12.70238137245178</v>
      </c>
      <c r="AFB13">
        <v>380</v>
      </c>
      <c r="AFC13" s="5"/>
      <c r="AFD13">
        <f t="shared" si="139"/>
        <v>35</v>
      </c>
      <c r="AFE13" t="s">
        <v>3240</v>
      </c>
      <c r="AFF13" t="s">
        <v>3241</v>
      </c>
      <c r="AFG13">
        <v>12.91096043586731</v>
      </c>
      <c r="AFH13">
        <v>304</v>
      </c>
      <c r="AFI13" s="2"/>
      <c r="AFJ13">
        <f t="shared" si="140"/>
        <v>80</v>
      </c>
      <c r="AFK13" t="s">
        <v>3242</v>
      </c>
      <c r="AFL13" t="s">
        <v>3243</v>
      </c>
      <c r="AFM13">
        <v>34.108340978622437</v>
      </c>
      <c r="AFN13">
        <v>384</v>
      </c>
      <c r="AFO13" s="5"/>
      <c r="AFP13">
        <f t="shared" si="141"/>
        <v>39</v>
      </c>
      <c r="AFQ13" t="s">
        <v>3244</v>
      </c>
      <c r="AFR13" t="s">
        <v>3245</v>
      </c>
      <c r="AFS13">
        <v>18.898951053619381</v>
      </c>
      <c r="AFT13">
        <v>283</v>
      </c>
      <c r="AFU13" s="2"/>
      <c r="AFV13">
        <f t="shared" si="142"/>
        <v>16</v>
      </c>
      <c r="AFW13" t="s">
        <v>3246</v>
      </c>
      <c r="AFX13" t="s">
        <v>3247</v>
      </c>
      <c r="AFY13">
        <v>35.69897198677063</v>
      </c>
      <c r="AFZ13">
        <v>260</v>
      </c>
      <c r="AGA13" s="5"/>
      <c r="AGB13">
        <f t="shared" si="143"/>
        <v>27</v>
      </c>
      <c r="AGC13" t="s">
        <v>3248</v>
      </c>
      <c r="AGD13" t="s">
        <v>3249</v>
      </c>
      <c r="AGE13">
        <v>7.8523733615875244</v>
      </c>
      <c r="AGF13">
        <v>301</v>
      </c>
      <c r="AGG13" s="2"/>
      <c r="AGH13">
        <f t="shared" si="144"/>
        <v>24</v>
      </c>
      <c r="AGI13" t="s">
        <v>3250</v>
      </c>
      <c r="AGJ13" t="s">
        <v>3251</v>
      </c>
      <c r="AGK13">
        <v>15.27214407920837</v>
      </c>
      <c r="AGL13">
        <v>463</v>
      </c>
      <c r="AGM13" s="5"/>
      <c r="AGN13">
        <f t="shared" si="145"/>
        <v>32</v>
      </c>
      <c r="AGO13" t="s">
        <v>3252</v>
      </c>
      <c r="AGP13" t="s">
        <v>3253</v>
      </c>
      <c r="AGQ13">
        <v>32.4978346824646</v>
      </c>
      <c r="AGR13">
        <v>361</v>
      </c>
      <c r="AGS13" s="2"/>
      <c r="AGT13">
        <f t="shared" si="146"/>
        <v>58</v>
      </c>
      <c r="AGU13" t="s">
        <v>20</v>
      </c>
      <c r="AGV13" t="s">
        <v>3254</v>
      </c>
      <c r="AGW13">
        <v>27.325008869171139</v>
      </c>
      <c r="AGX13">
        <v>350</v>
      </c>
      <c r="AGY13" s="5"/>
      <c r="AGZ13">
        <f t="shared" si="147"/>
        <v>32</v>
      </c>
      <c r="AHA13" t="s">
        <v>3255</v>
      </c>
      <c r="AHB13" t="s">
        <v>3256</v>
      </c>
      <c r="AHC13">
        <v>12.22565579414368</v>
      </c>
      <c r="AHD13">
        <v>429</v>
      </c>
      <c r="AHE13" s="2"/>
      <c r="AHF13">
        <f t="shared" si="148"/>
        <v>30</v>
      </c>
      <c r="AHG13" t="s">
        <v>3257</v>
      </c>
      <c r="AHH13" t="s">
        <v>3258</v>
      </c>
      <c r="AHI13">
        <v>8.8934440612792969</v>
      </c>
      <c r="AHJ13">
        <v>308</v>
      </c>
      <c r="AHK13" s="5"/>
      <c r="AHL13">
        <f t="shared" si="149"/>
        <v>17</v>
      </c>
      <c r="AHM13" t="s">
        <v>2789</v>
      </c>
      <c r="AHN13" t="s">
        <v>3259</v>
      </c>
      <c r="AHO13">
        <v>19.112321376800541</v>
      </c>
      <c r="AHP13">
        <v>288</v>
      </c>
      <c r="AHQ13" s="2"/>
      <c r="AHR13">
        <f t="shared" si="150"/>
        <v>27</v>
      </c>
      <c r="AHS13" t="s">
        <v>1704</v>
      </c>
      <c r="AHT13" t="s">
        <v>3260</v>
      </c>
      <c r="AHU13">
        <v>15.76914119720459</v>
      </c>
      <c r="AHV13">
        <v>379</v>
      </c>
      <c r="AHW13" s="5"/>
      <c r="AHX13">
        <f t="shared" si="151"/>
        <v>50</v>
      </c>
      <c r="AHY13" t="s">
        <v>1502</v>
      </c>
      <c r="AHZ13" t="s">
        <v>3261</v>
      </c>
      <c r="AIA13">
        <v>6.0857386589050293</v>
      </c>
      <c r="AIB13">
        <v>205</v>
      </c>
      <c r="AIC13" s="2"/>
      <c r="AID13">
        <f t="shared" si="152"/>
        <v>25</v>
      </c>
      <c r="AIE13" t="s">
        <v>2</v>
      </c>
      <c r="AIF13" t="s">
        <v>3262</v>
      </c>
      <c r="AIG13">
        <v>17.607851982116699</v>
      </c>
      <c r="AIH13">
        <v>322</v>
      </c>
      <c r="AII13" s="5"/>
      <c r="AIJ13">
        <f t="shared" si="153"/>
        <v>25</v>
      </c>
      <c r="AIK13" t="s">
        <v>1764</v>
      </c>
      <c r="AIL13" t="s">
        <v>3263</v>
      </c>
      <c r="AIM13">
        <v>15.303256511688231</v>
      </c>
      <c r="AIN13">
        <v>273</v>
      </c>
      <c r="AIO13" s="2"/>
      <c r="AIP13">
        <f t="shared" si="154"/>
        <v>33</v>
      </c>
      <c r="AIQ13" t="s">
        <v>3264</v>
      </c>
      <c r="AIR13" t="s">
        <v>3265</v>
      </c>
      <c r="AIS13">
        <v>10.24935555458069</v>
      </c>
      <c r="AIT13">
        <v>321</v>
      </c>
      <c r="AIU13" s="5"/>
      <c r="AIV13">
        <f t="shared" si="155"/>
        <v>81</v>
      </c>
      <c r="AIW13" t="s">
        <v>3266</v>
      </c>
      <c r="AIX13" t="s">
        <v>3267</v>
      </c>
      <c r="AIY13">
        <v>91.195658206939697</v>
      </c>
      <c r="AIZ13">
        <v>399</v>
      </c>
      <c r="AJA13" s="2"/>
      <c r="AJB13">
        <f t="shared" si="156"/>
        <v>22</v>
      </c>
      <c r="AJC13" t="s">
        <v>3268</v>
      </c>
      <c r="AJD13" t="s">
        <v>3269</v>
      </c>
      <c r="AJE13">
        <v>12.22107625007629</v>
      </c>
      <c r="AJF13">
        <v>539</v>
      </c>
      <c r="AJG13" s="5"/>
      <c r="AJH13">
        <f t="shared" si="157"/>
        <v>31</v>
      </c>
      <c r="AJI13" t="s">
        <v>3270</v>
      </c>
      <c r="AJJ13" t="s">
        <v>3271</v>
      </c>
      <c r="AJK13">
        <v>17.57491850852966</v>
      </c>
      <c r="AJL13">
        <v>373</v>
      </c>
      <c r="AJM13" s="2"/>
      <c r="AJN13">
        <f t="shared" si="158"/>
        <v>29</v>
      </c>
      <c r="AJO13" t="s">
        <v>3272</v>
      </c>
      <c r="AJP13" t="s">
        <v>3273</v>
      </c>
      <c r="AJQ13">
        <v>69.198803901672363</v>
      </c>
      <c r="AJR13">
        <v>419</v>
      </c>
      <c r="AJS13" s="5"/>
      <c r="AJT13">
        <f t="shared" si="159"/>
        <v>22</v>
      </c>
      <c r="AJU13" t="s">
        <v>3274</v>
      </c>
      <c r="AJV13" t="s">
        <v>3275</v>
      </c>
      <c r="AJW13">
        <v>12.96323204040527</v>
      </c>
      <c r="AJX13">
        <v>401</v>
      </c>
      <c r="AJY13" s="2"/>
      <c r="AJZ13">
        <f t="shared" si="160"/>
        <v>27</v>
      </c>
      <c r="AKA13" t="s">
        <v>3200</v>
      </c>
      <c r="AKB13" t="s">
        <v>3276</v>
      </c>
      <c r="AKC13">
        <v>17.36066746711731</v>
      </c>
      <c r="AKD13">
        <v>245</v>
      </c>
      <c r="AKE13" s="5"/>
      <c r="AKF13">
        <f t="shared" si="161"/>
        <v>25</v>
      </c>
      <c r="AKG13" t="s">
        <v>3277</v>
      </c>
      <c r="AKH13" t="s">
        <v>3278</v>
      </c>
      <c r="AKI13">
        <v>10.8276150226593</v>
      </c>
      <c r="AKJ13">
        <v>343</v>
      </c>
      <c r="AKK13" s="2"/>
      <c r="AKL13">
        <f t="shared" si="162"/>
        <v>19</v>
      </c>
      <c r="AKM13" t="s">
        <v>20</v>
      </c>
      <c r="AKN13" t="s">
        <v>3279</v>
      </c>
      <c r="AKO13">
        <v>5.7597436904907227</v>
      </c>
      <c r="AKP13">
        <v>320</v>
      </c>
      <c r="AKQ13" s="5"/>
      <c r="AKR13">
        <f t="shared" si="163"/>
        <v>28</v>
      </c>
      <c r="AKS13" t="s">
        <v>3280</v>
      </c>
      <c r="AKT13" t="s">
        <v>3281</v>
      </c>
      <c r="AKU13">
        <v>20.105763673782349</v>
      </c>
      <c r="AKV13">
        <v>395</v>
      </c>
      <c r="AKW13" s="2"/>
      <c r="AKX13">
        <f t="shared" si="164"/>
        <v>33</v>
      </c>
      <c r="AKY13" t="s">
        <v>1841</v>
      </c>
      <c r="AKZ13" t="s">
        <v>3282</v>
      </c>
      <c r="ALA13">
        <v>12.38195180892944</v>
      </c>
      <c r="ALB13">
        <v>440</v>
      </c>
      <c r="ALC13" s="5"/>
      <c r="ALD13">
        <f t="shared" si="165"/>
        <v>4</v>
      </c>
      <c r="ALE13" t="s">
        <v>896</v>
      </c>
      <c r="ALF13" t="s">
        <v>3283</v>
      </c>
      <c r="ALG13">
        <v>18.538913726806641</v>
      </c>
      <c r="ALH13">
        <v>436</v>
      </c>
      <c r="ALI13" s="2"/>
      <c r="ALJ13">
        <f t="shared" si="166"/>
        <v>24</v>
      </c>
      <c r="ALK13" t="s">
        <v>1764</v>
      </c>
      <c r="ALL13" t="s">
        <v>3284</v>
      </c>
      <c r="ALM13">
        <v>8.6588084697723389</v>
      </c>
      <c r="ALN13">
        <v>346</v>
      </c>
      <c r="ALO13" s="5"/>
      <c r="ALP13">
        <f t="shared" si="167"/>
        <v>19</v>
      </c>
      <c r="ALQ13" t="s">
        <v>1458</v>
      </c>
      <c r="ALR13" t="s">
        <v>3285</v>
      </c>
      <c r="ALS13">
        <v>10.599828481674191</v>
      </c>
      <c r="ALT13">
        <v>340</v>
      </c>
      <c r="ALU13" s="2"/>
      <c r="ALV13">
        <f t="shared" si="168"/>
        <v>26</v>
      </c>
      <c r="ALW13" t="s">
        <v>3286</v>
      </c>
      <c r="ALX13" t="s">
        <v>3287</v>
      </c>
      <c r="ALY13">
        <v>11.216756820678709</v>
      </c>
      <c r="ALZ13">
        <v>420</v>
      </c>
      <c r="AMA13" s="5"/>
      <c r="AMB13">
        <f t="shared" si="169"/>
        <v>39</v>
      </c>
      <c r="AMC13" t="s">
        <v>3288</v>
      </c>
      <c r="AMD13" t="s">
        <v>3289</v>
      </c>
      <c r="AME13">
        <v>8.5856814384460449</v>
      </c>
      <c r="AMF13">
        <v>323</v>
      </c>
      <c r="AMG13" s="2"/>
      <c r="AMH13">
        <f t="shared" si="170"/>
        <v>20</v>
      </c>
      <c r="AMI13" t="s">
        <v>3290</v>
      </c>
      <c r="AMJ13" t="s">
        <v>3291</v>
      </c>
      <c r="AMK13">
        <v>46.942470550537109</v>
      </c>
      <c r="AML13">
        <v>353</v>
      </c>
      <c r="AMM13" s="5"/>
      <c r="AMN13">
        <f t="shared" si="171"/>
        <v>35</v>
      </c>
      <c r="AMO13" t="s">
        <v>3292</v>
      </c>
      <c r="AMP13" t="s">
        <v>3293</v>
      </c>
      <c r="AMQ13">
        <v>12.931010246276861</v>
      </c>
      <c r="AMR13">
        <v>329</v>
      </c>
      <c r="AMS13" s="2"/>
    </row>
    <row r="14" spans="1:1033" x14ac:dyDescent="0.25">
      <c r="A14">
        <v>12</v>
      </c>
      <c r="B14">
        <f t="shared" si="0"/>
        <v>32</v>
      </c>
      <c r="C14" t="s">
        <v>778</v>
      </c>
      <c r="D14" t="s">
        <v>3294</v>
      </c>
      <c r="E14">
        <v>19.201304197311401</v>
      </c>
      <c r="F14">
        <v>366</v>
      </c>
      <c r="G14" s="1"/>
      <c r="H14">
        <f t="shared" si="1"/>
        <v>13</v>
      </c>
      <c r="I14" t="s">
        <v>3</v>
      </c>
      <c r="J14" t="s">
        <v>3295</v>
      </c>
      <c r="K14">
        <v>5.5464179515838623</v>
      </c>
      <c r="L14">
        <v>361</v>
      </c>
      <c r="M14" s="2"/>
      <c r="N14">
        <f t="shared" si="2"/>
        <v>19</v>
      </c>
      <c r="O14" t="s">
        <v>3296</v>
      </c>
      <c r="P14" t="s">
        <v>3297</v>
      </c>
      <c r="Q14">
        <v>10.893618106842039</v>
      </c>
      <c r="R14">
        <v>320</v>
      </c>
      <c r="S14" s="1"/>
      <c r="T14">
        <f t="shared" si="3"/>
        <v>16</v>
      </c>
      <c r="U14" t="s">
        <v>655</v>
      </c>
      <c r="V14" t="s">
        <v>3298</v>
      </c>
      <c r="W14">
        <v>6.2534363269805908</v>
      </c>
      <c r="X14">
        <v>373</v>
      </c>
      <c r="Y14" s="2"/>
      <c r="Z14">
        <f t="shared" si="4"/>
        <v>37</v>
      </c>
      <c r="AA14" t="s">
        <v>3299</v>
      </c>
      <c r="AB14" t="s">
        <v>3300</v>
      </c>
      <c r="AC14">
        <v>28.94309496879578</v>
      </c>
      <c r="AD14">
        <v>419</v>
      </c>
      <c r="AE14" s="1"/>
      <c r="AF14">
        <f t="shared" si="5"/>
        <v>24</v>
      </c>
      <c r="AG14" t="s">
        <v>458</v>
      </c>
      <c r="AH14" t="s">
        <v>3301</v>
      </c>
      <c r="AI14">
        <v>11.108907699584959</v>
      </c>
      <c r="AJ14">
        <v>363</v>
      </c>
      <c r="AK14" s="2"/>
      <c r="AL14">
        <f t="shared" si="6"/>
        <v>21</v>
      </c>
      <c r="AM14" t="s">
        <v>3302</v>
      </c>
      <c r="AN14" t="s">
        <v>3303</v>
      </c>
      <c r="AO14">
        <v>3.8221397399902339</v>
      </c>
      <c r="AP14">
        <v>369</v>
      </c>
      <c r="AQ14" s="3"/>
      <c r="AR14">
        <f t="shared" si="7"/>
        <v>24</v>
      </c>
      <c r="AS14" t="s">
        <v>2612</v>
      </c>
      <c r="AT14" t="s">
        <v>3304</v>
      </c>
      <c r="AU14">
        <v>8.6326084136962891</v>
      </c>
      <c r="AV14">
        <v>382</v>
      </c>
      <c r="AW14" s="2"/>
      <c r="AX14">
        <f t="shared" si="8"/>
        <v>37</v>
      </c>
      <c r="AY14" t="s">
        <v>3305</v>
      </c>
      <c r="AZ14" t="s">
        <v>3306</v>
      </c>
      <c r="BA14">
        <v>16.374497652053829</v>
      </c>
      <c r="BB14">
        <v>399</v>
      </c>
      <c r="BC14" s="3"/>
      <c r="BD14">
        <f t="shared" si="9"/>
        <v>37</v>
      </c>
      <c r="BE14" t="s">
        <v>3307</v>
      </c>
      <c r="BF14" t="s">
        <v>3308</v>
      </c>
      <c r="BG14">
        <v>9.2718384265899658</v>
      </c>
      <c r="BH14">
        <v>507</v>
      </c>
      <c r="BI14" s="2"/>
      <c r="BJ14">
        <f t="shared" si="10"/>
        <v>20</v>
      </c>
      <c r="BK14" t="s">
        <v>3309</v>
      </c>
      <c r="BL14" t="s">
        <v>3310</v>
      </c>
      <c r="BM14">
        <v>9.5483736991882324</v>
      </c>
      <c r="BN14">
        <v>482</v>
      </c>
      <c r="BO14" s="3"/>
      <c r="BP14">
        <f t="shared" si="11"/>
        <v>15</v>
      </c>
      <c r="BQ14" t="s">
        <v>3311</v>
      </c>
      <c r="BR14" t="s">
        <v>3312</v>
      </c>
      <c r="BS14">
        <v>5.5892970561981201</v>
      </c>
      <c r="BT14">
        <v>370</v>
      </c>
      <c r="BU14" s="2"/>
      <c r="BV14">
        <f t="shared" si="12"/>
        <v>41</v>
      </c>
      <c r="BW14" t="s">
        <v>3313</v>
      </c>
      <c r="BX14" t="s">
        <v>3314</v>
      </c>
      <c r="BY14">
        <v>11.64053606987</v>
      </c>
      <c r="BZ14">
        <v>503</v>
      </c>
      <c r="CA14" s="3"/>
      <c r="CB14">
        <f t="shared" si="13"/>
        <v>24</v>
      </c>
      <c r="CC14" t="s">
        <v>2660</v>
      </c>
      <c r="CD14" t="s">
        <v>3315</v>
      </c>
      <c r="CE14">
        <v>13.772983551025391</v>
      </c>
      <c r="CF14">
        <v>360</v>
      </c>
      <c r="CG14" s="2"/>
      <c r="CH14">
        <f t="shared" si="14"/>
        <v>46</v>
      </c>
      <c r="CI14" t="s">
        <v>1212</v>
      </c>
      <c r="CJ14" t="s">
        <v>3316</v>
      </c>
      <c r="CK14">
        <v>10.45543146133423</v>
      </c>
      <c r="CL14">
        <v>342</v>
      </c>
      <c r="CM14" s="3"/>
      <c r="CN14">
        <f t="shared" si="15"/>
        <v>25</v>
      </c>
      <c r="CO14" t="s">
        <v>1387</v>
      </c>
      <c r="CP14" t="s">
        <v>3317</v>
      </c>
      <c r="CQ14">
        <v>4.2912383079528809</v>
      </c>
      <c r="CR14">
        <v>398</v>
      </c>
      <c r="CS14" s="2"/>
      <c r="CT14">
        <f t="shared" si="16"/>
        <v>21</v>
      </c>
      <c r="CU14" t="s">
        <v>3318</v>
      </c>
      <c r="CV14" t="s">
        <v>3319</v>
      </c>
      <c r="CW14">
        <v>9.3401198387145996</v>
      </c>
      <c r="CX14">
        <v>450</v>
      </c>
      <c r="CY14" s="3"/>
      <c r="CZ14">
        <f t="shared" si="17"/>
        <v>21</v>
      </c>
      <c r="DA14" t="s">
        <v>48</v>
      </c>
      <c r="DB14" t="s">
        <v>3320</v>
      </c>
      <c r="DC14">
        <v>6.689708948135376</v>
      </c>
      <c r="DD14">
        <v>359</v>
      </c>
      <c r="DE14" s="2"/>
      <c r="DF14">
        <f t="shared" si="18"/>
        <v>21</v>
      </c>
      <c r="DG14" t="s">
        <v>3321</v>
      </c>
      <c r="DH14" t="s">
        <v>3322</v>
      </c>
      <c r="DI14">
        <v>6.7088844776153556</v>
      </c>
      <c r="DJ14">
        <v>221</v>
      </c>
      <c r="DK14" s="3"/>
      <c r="DL14">
        <f t="shared" si="19"/>
        <v>12</v>
      </c>
      <c r="DM14" t="s">
        <v>1758</v>
      </c>
      <c r="DN14" t="s">
        <v>3323</v>
      </c>
      <c r="DO14">
        <v>5.5619728565216056</v>
      </c>
      <c r="DP14">
        <v>282</v>
      </c>
      <c r="DQ14" s="2"/>
      <c r="DR14">
        <f t="shared" si="20"/>
        <v>22</v>
      </c>
      <c r="DS14" t="s">
        <v>3324</v>
      </c>
      <c r="DT14" t="s">
        <v>3325</v>
      </c>
      <c r="DU14">
        <v>27.883404493331909</v>
      </c>
      <c r="DV14">
        <v>478</v>
      </c>
      <c r="DW14" s="3"/>
      <c r="DX14">
        <f t="shared" si="21"/>
        <v>12</v>
      </c>
      <c r="DY14" t="s">
        <v>926</v>
      </c>
      <c r="DZ14" t="s">
        <v>3326</v>
      </c>
      <c r="EA14">
        <v>4.1079511642456046</v>
      </c>
      <c r="EB14">
        <v>327</v>
      </c>
      <c r="EC14" s="2"/>
      <c r="ED14">
        <f t="shared" si="22"/>
        <v>12</v>
      </c>
      <c r="EE14" t="s">
        <v>3327</v>
      </c>
      <c r="EF14" t="s">
        <v>3328</v>
      </c>
      <c r="EG14">
        <v>12.613681316375731</v>
      </c>
      <c r="EH14">
        <v>207</v>
      </c>
      <c r="EI14" s="3"/>
      <c r="EJ14">
        <f t="shared" si="23"/>
        <v>20</v>
      </c>
      <c r="EK14" t="s">
        <v>2287</v>
      </c>
      <c r="EL14" t="s">
        <v>3329</v>
      </c>
      <c r="EM14">
        <v>62.291251420974731</v>
      </c>
      <c r="EN14">
        <v>423</v>
      </c>
      <c r="EO14" s="2"/>
      <c r="EP14">
        <f t="shared" si="24"/>
        <v>22</v>
      </c>
      <c r="EQ14" t="s">
        <v>20</v>
      </c>
      <c r="ER14" t="s">
        <v>3330</v>
      </c>
      <c r="ES14">
        <v>9.1482222080230713</v>
      </c>
      <c r="ET14">
        <v>313</v>
      </c>
      <c r="EU14" s="3"/>
      <c r="EV14">
        <f t="shared" si="25"/>
        <v>10</v>
      </c>
      <c r="EW14" t="s">
        <v>3331</v>
      </c>
      <c r="EX14" t="s">
        <v>3332</v>
      </c>
      <c r="EY14">
        <v>8.6480972766876221</v>
      </c>
      <c r="EZ14">
        <v>249</v>
      </c>
      <c r="FA14" s="2"/>
      <c r="FB14">
        <f t="shared" si="26"/>
        <v>24</v>
      </c>
      <c r="FC14" t="s">
        <v>1326</v>
      </c>
      <c r="FD14" t="s">
        <v>3333</v>
      </c>
      <c r="FE14">
        <v>30.62063193321228</v>
      </c>
      <c r="FF14">
        <v>418</v>
      </c>
      <c r="FG14" s="3"/>
      <c r="FH14">
        <f t="shared" si="27"/>
        <v>60</v>
      </c>
      <c r="FI14" t="s">
        <v>3334</v>
      </c>
      <c r="FJ14" t="s">
        <v>3335</v>
      </c>
      <c r="FK14">
        <v>20.628439426422119</v>
      </c>
      <c r="FL14">
        <v>462</v>
      </c>
      <c r="FM14" s="2"/>
      <c r="FN14">
        <f t="shared" si="28"/>
        <v>20</v>
      </c>
      <c r="FO14" t="s">
        <v>1423</v>
      </c>
      <c r="FP14" t="s">
        <v>3336</v>
      </c>
      <c r="FQ14">
        <v>7.2767176628112793</v>
      </c>
      <c r="FR14">
        <v>476</v>
      </c>
      <c r="FS14" s="3"/>
      <c r="FT14">
        <f t="shared" si="29"/>
        <v>56</v>
      </c>
      <c r="FU14" t="s">
        <v>3337</v>
      </c>
      <c r="FV14" t="s">
        <v>3338</v>
      </c>
      <c r="FW14">
        <v>16.865600347518921</v>
      </c>
      <c r="FX14">
        <v>484</v>
      </c>
      <c r="FY14" s="2"/>
      <c r="FZ14">
        <f t="shared" si="30"/>
        <v>18</v>
      </c>
      <c r="GA14" t="s">
        <v>3339</v>
      </c>
      <c r="GB14" t="s">
        <v>3340</v>
      </c>
      <c r="GC14">
        <v>10.29620409011841</v>
      </c>
      <c r="GD14">
        <v>401</v>
      </c>
      <c r="GE14" s="3"/>
      <c r="GF14">
        <f t="shared" si="31"/>
        <v>15</v>
      </c>
      <c r="GG14" t="s">
        <v>3341</v>
      </c>
      <c r="GH14" t="s">
        <v>3342</v>
      </c>
      <c r="GI14">
        <v>5.3887608051300049</v>
      </c>
      <c r="GJ14">
        <v>379</v>
      </c>
      <c r="GK14" s="2"/>
      <c r="GL14">
        <f t="shared" si="32"/>
        <v>18</v>
      </c>
      <c r="GM14" t="s">
        <v>3343</v>
      </c>
      <c r="GN14" t="s">
        <v>3344</v>
      </c>
      <c r="GO14">
        <v>8.0430629253387451</v>
      </c>
      <c r="GP14">
        <v>363</v>
      </c>
      <c r="GQ14" s="3"/>
      <c r="GR14">
        <f t="shared" si="33"/>
        <v>24</v>
      </c>
      <c r="GS14" t="s">
        <v>2183</v>
      </c>
      <c r="GT14" t="s">
        <v>3345</v>
      </c>
      <c r="GU14">
        <v>43.692085027694702</v>
      </c>
      <c r="GV14">
        <v>452</v>
      </c>
      <c r="GW14" s="2"/>
      <c r="GX14">
        <f t="shared" si="34"/>
        <v>13</v>
      </c>
      <c r="GY14" t="s">
        <v>3346</v>
      </c>
      <c r="GZ14" t="s">
        <v>3347</v>
      </c>
      <c r="HA14">
        <v>10.208282232284549</v>
      </c>
      <c r="HB14">
        <v>360</v>
      </c>
      <c r="HC14" s="3"/>
      <c r="HD14">
        <f t="shared" si="35"/>
        <v>11</v>
      </c>
      <c r="HE14" t="s">
        <v>349</v>
      </c>
      <c r="HF14" t="s">
        <v>3348</v>
      </c>
      <c r="HG14">
        <v>8.1496672630310059</v>
      </c>
      <c r="HH14">
        <v>316</v>
      </c>
      <c r="HI14" s="2"/>
      <c r="HJ14">
        <f t="shared" si="36"/>
        <v>60</v>
      </c>
      <c r="HK14" t="s">
        <v>3349</v>
      </c>
      <c r="HL14" t="s">
        <v>3350</v>
      </c>
      <c r="HM14">
        <v>23.983847379684448</v>
      </c>
      <c r="HN14">
        <v>383</v>
      </c>
      <c r="HO14" s="3"/>
      <c r="HP14">
        <f t="shared" si="37"/>
        <v>15</v>
      </c>
      <c r="HQ14" t="s">
        <v>3351</v>
      </c>
      <c r="HR14" t="s">
        <v>3352</v>
      </c>
      <c r="HS14">
        <v>10.188462972640989</v>
      </c>
      <c r="HT14">
        <v>367</v>
      </c>
      <c r="HU14" s="2"/>
      <c r="HV14">
        <f t="shared" si="38"/>
        <v>23</v>
      </c>
      <c r="HW14" t="s">
        <v>2827</v>
      </c>
      <c r="HX14" t="s">
        <v>3353</v>
      </c>
      <c r="HY14">
        <v>8.7142510414123535</v>
      </c>
      <c r="HZ14">
        <v>398</v>
      </c>
      <c r="IA14" s="3"/>
      <c r="IB14">
        <f t="shared" si="39"/>
        <v>47</v>
      </c>
      <c r="IC14" t="s">
        <v>3354</v>
      </c>
      <c r="ID14" t="s">
        <v>3355</v>
      </c>
      <c r="IE14">
        <v>20.34996676445007</v>
      </c>
      <c r="IF14">
        <v>423</v>
      </c>
      <c r="IG14" s="2"/>
      <c r="IH14">
        <f t="shared" si="40"/>
        <v>34</v>
      </c>
      <c r="II14" t="s">
        <v>3356</v>
      </c>
      <c r="IJ14" t="s">
        <v>3357</v>
      </c>
      <c r="IK14">
        <v>30.736815690994259</v>
      </c>
      <c r="IL14">
        <v>484</v>
      </c>
      <c r="IM14" s="3"/>
      <c r="IN14">
        <f t="shared" si="41"/>
        <v>18</v>
      </c>
      <c r="IO14" t="s">
        <v>1549</v>
      </c>
      <c r="IP14" t="s">
        <v>3358</v>
      </c>
      <c r="IQ14">
        <v>6.9472455978393546</v>
      </c>
      <c r="IR14">
        <v>379</v>
      </c>
      <c r="IS14" s="2"/>
      <c r="IT14">
        <f t="shared" si="42"/>
        <v>31</v>
      </c>
      <c r="IU14" t="s">
        <v>674</v>
      </c>
      <c r="IV14" t="s">
        <v>3359</v>
      </c>
      <c r="IW14">
        <v>17.623371124267582</v>
      </c>
      <c r="IX14">
        <v>326</v>
      </c>
      <c r="IY14" s="3"/>
      <c r="IZ14">
        <f t="shared" si="43"/>
        <v>27</v>
      </c>
      <c r="JA14" t="s">
        <v>989</v>
      </c>
      <c r="JB14" t="s">
        <v>3360</v>
      </c>
      <c r="JC14">
        <v>7.3071122169494629</v>
      </c>
      <c r="JD14">
        <v>354</v>
      </c>
      <c r="JE14" s="2"/>
      <c r="JF14">
        <f t="shared" si="44"/>
        <v>5</v>
      </c>
      <c r="JG14" t="s">
        <v>3361</v>
      </c>
      <c r="JH14" t="s">
        <v>3362</v>
      </c>
      <c r="JI14">
        <v>4.7434313297271729</v>
      </c>
      <c r="JJ14">
        <v>264</v>
      </c>
      <c r="JK14" s="3"/>
      <c r="JL14">
        <f t="shared" si="45"/>
        <v>6</v>
      </c>
      <c r="JM14" t="s">
        <v>3341</v>
      </c>
      <c r="JN14" t="s">
        <v>3363</v>
      </c>
      <c r="JO14">
        <v>4.0146942138671884</v>
      </c>
      <c r="JP14">
        <v>277</v>
      </c>
      <c r="JQ14" s="2"/>
      <c r="JR14">
        <f t="shared" si="46"/>
        <v>45</v>
      </c>
      <c r="JS14" t="s">
        <v>458</v>
      </c>
      <c r="JT14" t="s">
        <v>3364</v>
      </c>
      <c r="JU14">
        <v>19.478020906448361</v>
      </c>
      <c r="JV14">
        <v>286</v>
      </c>
      <c r="JW14" s="3"/>
      <c r="JX14">
        <f t="shared" si="47"/>
        <v>10</v>
      </c>
      <c r="JY14" t="s">
        <v>3093</v>
      </c>
      <c r="JZ14" t="s">
        <v>3365</v>
      </c>
      <c r="KA14">
        <v>4.5287661552429199</v>
      </c>
      <c r="KB14">
        <v>368</v>
      </c>
      <c r="KC14" s="2"/>
      <c r="KD14">
        <f t="shared" si="48"/>
        <v>26</v>
      </c>
      <c r="KE14" t="s">
        <v>3366</v>
      </c>
      <c r="KF14" t="s">
        <v>3367</v>
      </c>
      <c r="KG14">
        <v>10.754890441894529</v>
      </c>
      <c r="KH14">
        <v>216</v>
      </c>
      <c r="KI14" s="3"/>
      <c r="KJ14">
        <f t="shared" si="49"/>
        <v>52</v>
      </c>
      <c r="KK14" t="s">
        <v>3368</v>
      </c>
      <c r="KL14" t="s">
        <v>3369</v>
      </c>
      <c r="KM14">
        <v>100.0263369083405</v>
      </c>
      <c r="KN14">
        <v>408</v>
      </c>
      <c r="KO14" s="2"/>
      <c r="KP14">
        <f t="shared" si="50"/>
        <v>20</v>
      </c>
      <c r="KQ14" t="s">
        <v>3370</v>
      </c>
      <c r="KR14" t="s">
        <v>3371</v>
      </c>
      <c r="KS14">
        <v>22.169684410095211</v>
      </c>
      <c r="KT14">
        <v>476</v>
      </c>
      <c r="KU14" s="3"/>
      <c r="KV14">
        <f t="shared" si="51"/>
        <v>7</v>
      </c>
      <c r="KW14" t="s">
        <v>211</v>
      </c>
      <c r="KX14" t="s">
        <v>3372</v>
      </c>
      <c r="KY14">
        <v>3.130689144134521</v>
      </c>
      <c r="KZ14">
        <v>389</v>
      </c>
      <c r="LA14" s="2"/>
      <c r="LB14">
        <f t="shared" si="52"/>
        <v>32</v>
      </c>
      <c r="LC14" t="s">
        <v>3373</v>
      </c>
      <c r="LD14" t="s">
        <v>3374</v>
      </c>
      <c r="LE14">
        <v>7.820065975189209</v>
      </c>
      <c r="LF14">
        <v>376</v>
      </c>
      <c r="LG14" s="3"/>
      <c r="LH14">
        <f t="shared" si="53"/>
        <v>40</v>
      </c>
      <c r="LI14" t="s">
        <v>2190</v>
      </c>
      <c r="LJ14" t="s">
        <v>3375</v>
      </c>
      <c r="LK14">
        <v>12.084994316101071</v>
      </c>
      <c r="LL14">
        <v>432</v>
      </c>
      <c r="LM14" s="2"/>
      <c r="LN14">
        <f t="shared" si="54"/>
        <v>25</v>
      </c>
      <c r="LO14" t="s">
        <v>3376</v>
      </c>
      <c r="LP14" t="s">
        <v>3377</v>
      </c>
      <c r="LQ14">
        <v>10.696442842483521</v>
      </c>
      <c r="LR14">
        <v>416</v>
      </c>
      <c r="LS14" s="3"/>
      <c r="LT14">
        <f t="shared" si="55"/>
        <v>33</v>
      </c>
      <c r="LU14" t="s">
        <v>3</v>
      </c>
      <c r="LV14" t="s">
        <v>3378</v>
      </c>
      <c r="LW14">
        <v>3.2069888114929199</v>
      </c>
      <c r="LX14">
        <v>410</v>
      </c>
      <c r="LY14" s="2"/>
      <c r="LZ14">
        <f t="shared" si="56"/>
        <v>23</v>
      </c>
      <c r="MA14" t="s">
        <v>3379</v>
      </c>
      <c r="MB14" t="s">
        <v>3380</v>
      </c>
      <c r="MC14">
        <v>11.358212947845461</v>
      </c>
      <c r="MD14">
        <v>419</v>
      </c>
      <c r="ME14" s="3"/>
      <c r="MF14">
        <f t="shared" si="57"/>
        <v>11</v>
      </c>
      <c r="MG14" t="s">
        <v>3381</v>
      </c>
      <c r="MH14" t="s">
        <v>3382</v>
      </c>
      <c r="MI14">
        <v>3.312287569046021</v>
      </c>
      <c r="MJ14">
        <v>483</v>
      </c>
      <c r="MK14" s="2"/>
      <c r="ML14">
        <f t="shared" si="58"/>
        <v>20</v>
      </c>
      <c r="MM14" t="s">
        <v>3383</v>
      </c>
      <c r="MN14" t="s">
        <v>3384</v>
      </c>
      <c r="MO14">
        <v>25.579375028610229</v>
      </c>
      <c r="MP14">
        <v>303</v>
      </c>
      <c r="MQ14" s="3"/>
      <c r="MR14">
        <f t="shared" si="59"/>
        <v>28</v>
      </c>
      <c r="MS14" t="s">
        <v>3385</v>
      </c>
      <c r="MT14" t="s">
        <v>3386</v>
      </c>
      <c r="MU14">
        <v>9.9697725772857666</v>
      </c>
      <c r="MV14">
        <v>433</v>
      </c>
      <c r="MW14" s="2"/>
      <c r="MX14">
        <f t="shared" si="60"/>
        <v>45</v>
      </c>
      <c r="MY14" t="s">
        <v>3387</v>
      </c>
      <c r="MZ14" t="s">
        <v>3388</v>
      </c>
      <c r="NA14">
        <v>27.60229587554932</v>
      </c>
      <c r="NB14">
        <v>396</v>
      </c>
      <c r="NC14" s="3"/>
      <c r="ND14">
        <f t="shared" si="61"/>
        <v>33</v>
      </c>
      <c r="NE14" t="s">
        <v>13</v>
      </c>
      <c r="NF14" t="s">
        <v>3389</v>
      </c>
      <c r="NG14">
        <v>20.524899959564209</v>
      </c>
      <c r="NH14">
        <v>460</v>
      </c>
      <c r="NI14" s="2"/>
      <c r="NJ14">
        <f t="shared" si="62"/>
        <v>16</v>
      </c>
      <c r="NK14" t="s">
        <v>655</v>
      </c>
      <c r="NL14" t="s">
        <v>3390</v>
      </c>
      <c r="NM14">
        <v>7.1584799289703369</v>
      </c>
      <c r="NN14">
        <v>288</v>
      </c>
      <c r="NO14" s="3"/>
      <c r="NP14">
        <f t="shared" si="63"/>
        <v>28</v>
      </c>
      <c r="NQ14" t="s">
        <v>3391</v>
      </c>
      <c r="NR14" t="s">
        <v>3392</v>
      </c>
      <c r="NS14">
        <v>10.28295111656189</v>
      </c>
      <c r="NT14">
        <v>290</v>
      </c>
      <c r="NU14" s="2"/>
      <c r="NV14">
        <f t="shared" si="64"/>
        <v>28</v>
      </c>
      <c r="NW14" t="s">
        <v>3393</v>
      </c>
      <c r="NX14" t="s">
        <v>3394</v>
      </c>
      <c r="NY14">
        <v>6.7261364459991464</v>
      </c>
      <c r="NZ14">
        <v>285</v>
      </c>
      <c r="OA14" s="3"/>
      <c r="OB14">
        <f t="shared" si="65"/>
        <v>72</v>
      </c>
      <c r="OC14" t="s">
        <v>3395</v>
      </c>
      <c r="OD14" t="s">
        <v>3396</v>
      </c>
      <c r="OE14">
        <v>30.208273410797119</v>
      </c>
      <c r="OF14">
        <v>423</v>
      </c>
      <c r="OG14" s="2"/>
      <c r="OH14">
        <f t="shared" si="66"/>
        <v>26</v>
      </c>
      <c r="OI14" t="s">
        <v>786</v>
      </c>
      <c r="OJ14" t="s">
        <v>3397</v>
      </c>
      <c r="OK14">
        <v>5.5721435546875</v>
      </c>
      <c r="OL14">
        <v>317</v>
      </c>
      <c r="OM14" s="3"/>
      <c r="ON14">
        <f t="shared" si="67"/>
        <v>30</v>
      </c>
      <c r="OO14" t="s">
        <v>333</v>
      </c>
      <c r="OP14" t="s">
        <v>3398</v>
      </c>
      <c r="OQ14">
        <v>23.267663478851318</v>
      </c>
      <c r="OR14">
        <v>470</v>
      </c>
      <c r="OS14" s="2"/>
      <c r="OT14">
        <f t="shared" si="68"/>
        <v>19</v>
      </c>
      <c r="OU14" t="s">
        <v>3399</v>
      </c>
      <c r="OV14" t="s">
        <v>3400</v>
      </c>
      <c r="OW14">
        <v>10.651937007904049</v>
      </c>
      <c r="OX14">
        <v>376</v>
      </c>
      <c r="OY14" s="3"/>
      <c r="OZ14">
        <f t="shared" si="69"/>
        <v>25</v>
      </c>
      <c r="PA14" t="s">
        <v>48</v>
      </c>
      <c r="PB14" t="s">
        <v>3401</v>
      </c>
      <c r="PC14">
        <v>77.563729047775269</v>
      </c>
      <c r="PD14">
        <v>471</v>
      </c>
      <c r="PE14" s="2"/>
      <c r="PF14">
        <f t="shared" si="70"/>
        <v>56</v>
      </c>
      <c r="PG14" t="s">
        <v>3402</v>
      </c>
      <c r="PH14" t="s">
        <v>3403</v>
      </c>
      <c r="PI14">
        <v>17.387618541717529</v>
      </c>
      <c r="PJ14">
        <v>358</v>
      </c>
      <c r="PK14" s="3"/>
      <c r="PL14">
        <f t="shared" si="71"/>
        <v>13</v>
      </c>
      <c r="PM14" t="s">
        <v>1320</v>
      </c>
      <c r="PN14" t="s">
        <v>3404</v>
      </c>
      <c r="PO14">
        <v>4.8984038829803467</v>
      </c>
      <c r="PP14">
        <v>485</v>
      </c>
      <c r="PQ14" s="2"/>
      <c r="PR14">
        <f t="shared" si="72"/>
        <v>32</v>
      </c>
      <c r="PS14" t="s">
        <v>3405</v>
      </c>
      <c r="PT14" t="s">
        <v>3406</v>
      </c>
      <c r="PU14">
        <v>15.410336494445801</v>
      </c>
      <c r="PV14">
        <v>342</v>
      </c>
      <c r="PW14" s="3"/>
      <c r="PX14">
        <f t="shared" si="73"/>
        <v>34</v>
      </c>
      <c r="PY14" t="s">
        <v>3407</v>
      </c>
      <c r="PZ14" t="s">
        <v>3408</v>
      </c>
      <c r="QA14">
        <v>7.1201984882354736</v>
      </c>
      <c r="QB14">
        <v>441</v>
      </c>
      <c r="QC14" s="2"/>
      <c r="QD14">
        <f t="shared" si="74"/>
        <v>23</v>
      </c>
      <c r="QE14" t="s">
        <v>3409</v>
      </c>
      <c r="QF14" t="s">
        <v>3410</v>
      </c>
      <c r="QG14">
        <v>14.59093117713928</v>
      </c>
      <c r="QH14">
        <v>286</v>
      </c>
      <c r="QI14" s="3"/>
      <c r="QJ14">
        <f t="shared" si="75"/>
        <v>30</v>
      </c>
      <c r="QK14" t="s">
        <v>3341</v>
      </c>
      <c r="QL14" t="s">
        <v>3411</v>
      </c>
      <c r="QM14">
        <v>8.5495803356170654</v>
      </c>
      <c r="QN14">
        <v>394</v>
      </c>
      <c r="QO14" s="2"/>
      <c r="QP14">
        <f t="shared" si="76"/>
        <v>26</v>
      </c>
      <c r="QQ14" t="s">
        <v>500</v>
      </c>
      <c r="QR14" t="s">
        <v>3412</v>
      </c>
      <c r="QS14">
        <v>14.836935520172119</v>
      </c>
      <c r="QT14">
        <v>221</v>
      </c>
      <c r="QU14" s="3"/>
      <c r="QV14">
        <f t="shared" si="77"/>
        <v>24</v>
      </c>
      <c r="QW14" t="s">
        <v>1485</v>
      </c>
      <c r="QX14" t="s">
        <v>3413</v>
      </c>
      <c r="QY14">
        <v>18.261193752288818</v>
      </c>
      <c r="QZ14">
        <v>267</v>
      </c>
      <c r="RA14" s="2"/>
      <c r="RB14">
        <f t="shared" si="78"/>
        <v>23</v>
      </c>
      <c r="RC14" t="s">
        <v>3414</v>
      </c>
      <c r="RD14" t="s">
        <v>3415</v>
      </c>
      <c r="RE14">
        <v>10.44443511962891</v>
      </c>
      <c r="RF14">
        <v>317</v>
      </c>
      <c r="RG14" s="3"/>
      <c r="RH14">
        <f t="shared" si="79"/>
        <v>37</v>
      </c>
      <c r="RI14" t="s">
        <v>3416</v>
      </c>
      <c r="RJ14" t="s">
        <v>3417</v>
      </c>
      <c r="RK14">
        <v>24.051914215087891</v>
      </c>
      <c r="RL14">
        <v>305</v>
      </c>
      <c r="RM14" s="2"/>
      <c r="RN14">
        <f t="shared" si="80"/>
        <v>14</v>
      </c>
      <c r="RO14" t="s">
        <v>1475</v>
      </c>
      <c r="RP14" t="s">
        <v>3418</v>
      </c>
      <c r="RQ14">
        <v>10.676765918731689</v>
      </c>
      <c r="RR14">
        <v>334</v>
      </c>
      <c r="RS14" s="3"/>
      <c r="RT14">
        <f t="shared" si="81"/>
        <v>36</v>
      </c>
      <c r="RU14" t="s">
        <v>3419</v>
      </c>
      <c r="RV14" t="s">
        <v>3420</v>
      </c>
      <c r="RW14">
        <v>8.1834890842437744</v>
      </c>
      <c r="RX14">
        <v>428</v>
      </c>
      <c r="RY14" s="2"/>
      <c r="RZ14">
        <f t="shared" si="82"/>
        <v>17</v>
      </c>
      <c r="SA14" t="s">
        <v>349</v>
      </c>
      <c r="SB14" t="s">
        <v>3421</v>
      </c>
      <c r="SC14">
        <v>18.394381999969479</v>
      </c>
      <c r="SD14">
        <v>244</v>
      </c>
      <c r="SE14" s="3"/>
      <c r="SF14">
        <f t="shared" si="83"/>
        <v>26</v>
      </c>
      <c r="SG14" t="s">
        <v>3422</v>
      </c>
      <c r="SH14" t="s">
        <v>3423</v>
      </c>
      <c r="SI14">
        <v>10.0420868396759</v>
      </c>
      <c r="SJ14">
        <v>355</v>
      </c>
      <c r="SK14" s="2"/>
      <c r="SL14">
        <f t="shared" si="84"/>
        <v>10</v>
      </c>
      <c r="SM14" t="s">
        <v>3424</v>
      </c>
      <c r="SN14" t="s">
        <v>3425</v>
      </c>
      <c r="SO14">
        <v>4.1514534950256348</v>
      </c>
      <c r="SP14">
        <v>345</v>
      </c>
      <c r="SQ14" s="3"/>
      <c r="SR14">
        <f t="shared" si="85"/>
        <v>35</v>
      </c>
      <c r="SS14" t="s">
        <v>3426</v>
      </c>
      <c r="ST14" t="s">
        <v>3427</v>
      </c>
      <c r="SU14">
        <v>5.9016013145446777</v>
      </c>
      <c r="SV14">
        <v>369</v>
      </c>
      <c r="SW14" s="4"/>
      <c r="SX14">
        <f t="shared" si="86"/>
        <v>26</v>
      </c>
      <c r="SY14" t="s">
        <v>3428</v>
      </c>
      <c r="SZ14" t="s">
        <v>3429</v>
      </c>
      <c r="TA14">
        <v>18.217303037643429</v>
      </c>
      <c r="TB14">
        <v>423</v>
      </c>
      <c r="TC14" s="5"/>
      <c r="TD14">
        <f t="shared" si="87"/>
        <v>22</v>
      </c>
      <c r="TE14" t="s">
        <v>1423</v>
      </c>
      <c r="TF14" t="s">
        <v>3430</v>
      </c>
      <c r="TG14">
        <v>8.1759195327758789</v>
      </c>
      <c r="TH14">
        <v>327</v>
      </c>
      <c r="TI14" s="2"/>
      <c r="TJ14">
        <f t="shared" si="88"/>
        <v>27</v>
      </c>
      <c r="TK14" t="s">
        <v>3431</v>
      </c>
      <c r="TL14" t="s">
        <v>3432</v>
      </c>
      <c r="TM14">
        <v>30.063668966293331</v>
      </c>
      <c r="TN14">
        <v>439</v>
      </c>
      <c r="TO14" s="5"/>
      <c r="TP14">
        <f t="shared" si="89"/>
        <v>21</v>
      </c>
      <c r="TQ14" t="s">
        <v>3433</v>
      </c>
      <c r="TR14" t="s">
        <v>3434</v>
      </c>
      <c r="TS14">
        <v>13.220333099365231</v>
      </c>
      <c r="TT14">
        <v>376</v>
      </c>
      <c r="TU14" s="2"/>
      <c r="TV14">
        <f t="shared" si="90"/>
        <v>20</v>
      </c>
      <c r="TW14" t="s">
        <v>3435</v>
      </c>
      <c r="TX14" t="s">
        <v>3436</v>
      </c>
      <c r="TY14">
        <v>8.0842013359069824</v>
      </c>
      <c r="TZ14">
        <v>315</v>
      </c>
      <c r="UA14" s="5"/>
      <c r="UB14">
        <f t="shared" si="91"/>
        <v>56</v>
      </c>
      <c r="UC14" t="s">
        <v>3437</v>
      </c>
      <c r="UD14" t="s">
        <v>3438</v>
      </c>
      <c r="UE14">
        <v>13.952481269836429</v>
      </c>
      <c r="UF14">
        <v>378</v>
      </c>
      <c r="UG14" s="2"/>
      <c r="UH14">
        <f t="shared" si="92"/>
        <v>22</v>
      </c>
      <c r="UI14" t="s">
        <v>3439</v>
      </c>
      <c r="UJ14" t="s">
        <v>3440</v>
      </c>
      <c r="UK14">
        <v>6.9349780082702637</v>
      </c>
      <c r="UL14">
        <v>396</v>
      </c>
      <c r="UM14" s="5"/>
      <c r="UN14">
        <f t="shared" si="93"/>
        <v>22</v>
      </c>
      <c r="UO14" t="s">
        <v>3441</v>
      </c>
      <c r="UP14" t="s">
        <v>3442</v>
      </c>
      <c r="UQ14">
        <v>6.0196750164031982</v>
      </c>
      <c r="UR14">
        <v>445</v>
      </c>
      <c r="US14" s="2"/>
      <c r="UT14">
        <f t="shared" si="94"/>
        <v>20</v>
      </c>
      <c r="UU14" t="s">
        <v>3443</v>
      </c>
      <c r="UV14" t="s">
        <v>3444</v>
      </c>
      <c r="UW14">
        <v>15.51401114463806</v>
      </c>
      <c r="UX14">
        <v>430</v>
      </c>
      <c r="UY14" s="5"/>
      <c r="UZ14">
        <f t="shared" si="95"/>
        <v>13</v>
      </c>
      <c r="VA14" t="s">
        <v>3445</v>
      </c>
      <c r="VB14" t="s">
        <v>3446</v>
      </c>
      <c r="VC14">
        <v>4.3717050552368164</v>
      </c>
      <c r="VD14">
        <v>476</v>
      </c>
      <c r="VE14" s="2"/>
      <c r="VF14">
        <f t="shared" si="96"/>
        <v>26</v>
      </c>
      <c r="VG14" t="s">
        <v>133</v>
      </c>
      <c r="VH14" t="s">
        <v>3447</v>
      </c>
      <c r="VI14">
        <v>15.980304479599001</v>
      </c>
      <c r="VJ14">
        <v>338</v>
      </c>
      <c r="VK14" s="5"/>
      <c r="VL14">
        <f t="shared" si="97"/>
        <v>26</v>
      </c>
      <c r="VM14" t="s">
        <v>803</v>
      </c>
      <c r="VN14" t="s">
        <v>3448</v>
      </c>
      <c r="VO14">
        <v>28.023019552230831</v>
      </c>
      <c r="VP14">
        <v>355</v>
      </c>
      <c r="VQ14" s="2"/>
      <c r="VR14">
        <f t="shared" si="98"/>
        <v>22</v>
      </c>
      <c r="VS14" t="s">
        <v>3449</v>
      </c>
      <c r="VT14" t="s">
        <v>3450</v>
      </c>
      <c r="VU14">
        <v>17.07744836807251</v>
      </c>
      <c r="VV14">
        <v>340</v>
      </c>
      <c r="VW14" s="5"/>
      <c r="VX14">
        <f t="shared" si="99"/>
        <v>40</v>
      </c>
      <c r="VY14" t="s">
        <v>3451</v>
      </c>
      <c r="VZ14" t="s">
        <v>3452</v>
      </c>
      <c r="WA14">
        <v>10.26979446411133</v>
      </c>
      <c r="WB14">
        <v>373</v>
      </c>
      <c r="WC14" s="2"/>
      <c r="WD14">
        <f t="shared" si="100"/>
        <v>22</v>
      </c>
      <c r="WE14" t="s">
        <v>3453</v>
      </c>
      <c r="WF14" t="s">
        <v>3454</v>
      </c>
      <c r="WG14">
        <v>7.7625954151153556</v>
      </c>
      <c r="WH14">
        <v>371</v>
      </c>
      <c r="WI14" s="5"/>
      <c r="WJ14">
        <f t="shared" si="101"/>
        <v>26</v>
      </c>
      <c r="WK14" t="s">
        <v>78</v>
      </c>
      <c r="WL14" t="s">
        <v>3455</v>
      </c>
      <c r="WM14">
        <v>7.1010925769805908</v>
      </c>
      <c r="WN14">
        <v>418</v>
      </c>
      <c r="WO14" s="2"/>
      <c r="WP14">
        <f t="shared" si="102"/>
        <v>39</v>
      </c>
      <c r="WQ14" t="s">
        <v>3456</v>
      </c>
      <c r="WR14" t="s">
        <v>3457</v>
      </c>
      <c r="WS14">
        <v>117.5774779319763</v>
      </c>
      <c r="WT14">
        <v>312</v>
      </c>
      <c r="WU14" s="5"/>
      <c r="WV14">
        <f t="shared" si="103"/>
        <v>31</v>
      </c>
      <c r="WW14" t="s">
        <v>1423</v>
      </c>
      <c r="WX14" t="s">
        <v>3458</v>
      </c>
      <c r="WY14">
        <v>18.968952894210819</v>
      </c>
      <c r="WZ14">
        <v>325</v>
      </c>
      <c r="XA14" s="2"/>
      <c r="XB14">
        <f t="shared" si="104"/>
        <v>35</v>
      </c>
      <c r="XC14" t="s">
        <v>3459</v>
      </c>
      <c r="XD14" t="s">
        <v>3460</v>
      </c>
      <c r="XE14">
        <v>19.91841197013855</v>
      </c>
      <c r="XF14">
        <v>400</v>
      </c>
      <c r="XG14" s="5"/>
      <c r="XH14">
        <f t="shared" si="105"/>
        <v>17</v>
      </c>
      <c r="XI14" t="s">
        <v>3461</v>
      </c>
      <c r="XJ14" t="s">
        <v>3462</v>
      </c>
      <c r="XK14">
        <v>11.33370518684387</v>
      </c>
      <c r="XL14">
        <v>411</v>
      </c>
      <c r="XM14" s="2"/>
      <c r="XN14">
        <f t="shared" si="106"/>
        <v>22</v>
      </c>
      <c r="XO14" t="s">
        <v>3463</v>
      </c>
      <c r="XP14" t="s">
        <v>3464</v>
      </c>
      <c r="XQ14">
        <v>5.7247860431671143</v>
      </c>
      <c r="XR14">
        <v>340</v>
      </c>
      <c r="XS14" s="5"/>
      <c r="XT14">
        <f t="shared" si="107"/>
        <v>22</v>
      </c>
      <c r="XU14" t="s">
        <v>3381</v>
      </c>
      <c r="XV14" t="s">
        <v>3465</v>
      </c>
      <c r="XW14">
        <v>7.5877699851989746</v>
      </c>
      <c r="XX14">
        <v>621</v>
      </c>
      <c r="XY14" s="2"/>
      <c r="XZ14">
        <f t="shared" si="108"/>
        <v>66</v>
      </c>
      <c r="YA14" t="s">
        <v>2891</v>
      </c>
      <c r="YB14" t="s">
        <v>3466</v>
      </c>
      <c r="YC14">
        <v>11.62804961204529</v>
      </c>
      <c r="YD14">
        <v>320</v>
      </c>
      <c r="YE14" s="5"/>
      <c r="YF14">
        <f t="shared" si="109"/>
        <v>34</v>
      </c>
      <c r="YG14" t="s">
        <v>3467</v>
      </c>
      <c r="YH14" t="s">
        <v>3468</v>
      </c>
      <c r="YI14">
        <v>10.29358792304993</v>
      </c>
      <c r="YJ14">
        <v>271</v>
      </c>
      <c r="YK14" s="2"/>
      <c r="YL14">
        <f t="shared" si="110"/>
        <v>33</v>
      </c>
      <c r="YM14" t="s">
        <v>3469</v>
      </c>
      <c r="YN14" t="s">
        <v>3470</v>
      </c>
      <c r="YO14">
        <v>9.5402576923370361</v>
      </c>
      <c r="YP14">
        <v>376</v>
      </c>
      <c r="YQ14" s="5"/>
      <c r="YR14">
        <f t="shared" si="111"/>
        <v>19</v>
      </c>
      <c r="YS14" t="s">
        <v>3471</v>
      </c>
      <c r="YT14" t="s">
        <v>3472</v>
      </c>
      <c r="YU14">
        <v>9.2311961650848389</v>
      </c>
      <c r="YV14">
        <v>473</v>
      </c>
      <c r="YW14" s="2"/>
      <c r="YX14">
        <f t="shared" si="112"/>
        <v>22</v>
      </c>
      <c r="YY14" t="s">
        <v>3473</v>
      </c>
      <c r="YZ14" t="s">
        <v>3474</v>
      </c>
      <c r="ZA14">
        <v>14.660926580429081</v>
      </c>
      <c r="ZB14">
        <v>484</v>
      </c>
      <c r="ZC14" s="5"/>
      <c r="ZD14">
        <f t="shared" si="113"/>
        <v>32</v>
      </c>
      <c r="ZE14" t="s">
        <v>3475</v>
      </c>
      <c r="ZF14" t="s">
        <v>3476</v>
      </c>
      <c r="ZG14">
        <v>9.415132999420166</v>
      </c>
      <c r="ZH14">
        <v>368</v>
      </c>
      <c r="ZI14" s="2"/>
      <c r="ZJ14">
        <f t="shared" si="114"/>
        <v>29</v>
      </c>
      <c r="ZK14" t="s">
        <v>3477</v>
      </c>
      <c r="ZL14" t="s">
        <v>3478</v>
      </c>
      <c r="ZM14">
        <v>12.65814781188965</v>
      </c>
      <c r="ZN14">
        <v>455</v>
      </c>
      <c r="ZO14" s="5"/>
      <c r="ZP14">
        <f t="shared" si="115"/>
        <v>14</v>
      </c>
      <c r="ZQ14" t="s">
        <v>786</v>
      </c>
      <c r="ZR14" t="s">
        <v>3479</v>
      </c>
      <c r="ZS14">
        <v>6.3222332000732422</v>
      </c>
      <c r="ZT14">
        <v>347</v>
      </c>
      <c r="ZU14" s="2"/>
      <c r="ZV14">
        <f t="shared" si="116"/>
        <v>16</v>
      </c>
      <c r="ZW14" t="s">
        <v>3480</v>
      </c>
      <c r="ZX14" t="s">
        <v>3481</v>
      </c>
      <c r="ZY14">
        <v>4.0521345138549796</v>
      </c>
      <c r="ZZ14">
        <v>459</v>
      </c>
      <c r="AAA14" s="5"/>
      <c r="AAB14">
        <f t="shared" si="117"/>
        <v>38</v>
      </c>
      <c r="AAC14" t="s">
        <v>3482</v>
      </c>
      <c r="AAD14" t="s">
        <v>3483</v>
      </c>
      <c r="AAE14">
        <v>157.47135734558111</v>
      </c>
      <c r="AAF14">
        <v>443</v>
      </c>
      <c r="AAG14" s="2"/>
      <c r="AAH14">
        <f t="shared" si="118"/>
        <v>30</v>
      </c>
      <c r="AAI14" t="s">
        <v>500</v>
      </c>
      <c r="AAJ14" t="s">
        <v>3484</v>
      </c>
      <c r="AAK14">
        <v>7.1016316413879386</v>
      </c>
      <c r="AAL14">
        <v>402</v>
      </c>
      <c r="AAM14" s="5"/>
      <c r="AAN14">
        <f t="shared" si="119"/>
        <v>26</v>
      </c>
      <c r="AAO14" t="s">
        <v>2628</v>
      </c>
      <c r="AAP14" t="s">
        <v>3485</v>
      </c>
      <c r="AAQ14">
        <v>18.968821048736569</v>
      </c>
      <c r="AAR14">
        <v>348</v>
      </c>
      <c r="AAS14" s="2"/>
      <c r="AAT14">
        <f t="shared" si="120"/>
        <v>28</v>
      </c>
      <c r="AAU14" t="s">
        <v>778</v>
      </c>
      <c r="AAV14" t="s">
        <v>3486</v>
      </c>
      <c r="AAW14">
        <v>15.54273295402527</v>
      </c>
      <c r="AAX14">
        <v>434</v>
      </c>
      <c r="AAY14" s="5"/>
      <c r="AAZ14">
        <f t="shared" si="121"/>
        <v>10</v>
      </c>
      <c r="ABA14" t="s">
        <v>3487</v>
      </c>
      <c r="ABB14" t="s">
        <v>3488</v>
      </c>
      <c r="ABC14">
        <v>5.7555198669433594</v>
      </c>
      <c r="ABD14">
        <v>233</v>
      </c>
      <c r="ABE14" s="2"/>
      <c r="ABF14">
        <f t="shared" si="122"/>
        <v>14</v>
      </c>
      <c r="ABG14" t="s">
        <v>238</v>
      </c>
      <c r="ABH14" t="s">
        <v>3489</v>
      </c>
      <c r="ABI14">
        <v>4.2927482128143311</v>
      </c>
      <c r="ABJ14">
        <v>486</v>
      </c>
      <c r="ABK14" s="5"/>
      <c r="ABL14">
        <f t="shared" si="123"/>
        <v>24</v>
      </c>
      <c r="ABM14" t="s">
        <v>3490</v>
      </c>
      <c r="ABN14" t="s">
        <v>3491</v>
      </c>
      <c r="ABO14">
        <v>11.06223940849304</v>
      </c>
      <c r="ABP14">
        <v>313</v>
      </c>
      <c r="ABQ14" s="2"/>
      <c r="ABR14">
        <f t="shared" si="124"/>
        <v>24</v>
      </c>
      <c r="ABS14" t="s">
        <v>3492</v>
      </c>
      <c r="ABT14" t="s">
        <v>3493</v>
      </c>
      <c r="ABU14">
        <v>18.819494724273682</v>
      </c>
      <c r="ABV14">
        <v>350</v>
      </c>
      <c r="ABW14" s="5"/>
      <c r="ABX14">
        <f t="shared" si="125"/>
        <v>27</v>
      </c>
      <c r="ABY14" t="s">
        <v>3494</v>
      </c>
      <c r="ABZ14" t="s">
        <v>3495</v>
      </c>
      <c r="ACA14">
        <v>21.485919952392582</v>
      </c>
      <c r="ACB14">
        <v>405</v>
      </c>
      <c r="ACC14" s="2"/>
      <c r="ACD14">
        <f t="shared" si="126"/>
        <v>27</v>
      </c>
      <c r="ACE14" t="s">
        <v>1216</v>
      </c>
      <c r="ACF14" t="s">
        <v>3496</v>
      </c>
      <c r="ACG14">
        <v>6.5350828170776367</v>
      </c>
      <c r="ACH14">
        <v>247</v>
      </c>
      <c r="ACI14" s="5"/>
      <c r="ACJ14">
        <f t="shared" si="127"/>
        <v>47</v>
      </c>
      <c r="ACK14" t="s">
        <v>3497</v>
      </c>
      <c r="ACL14" t="s">
        <v>3498</v>
      </c>
      <c r="ACM14">
        <v>15.02019143104553</v>
      </c>
      <c r="ACN14">
        <v>363</v>
      </c>
      <c r="ACO14" s="2"/>
      <c r="ACP14">
        <f t="shared" si="128"/>
        <v>10</v>
      </c>
      <c r="ACQ14" t="s">
        <v>2774</v>
      </c>
      <c r="ACR14" t="s">
        <v>3499</v>
      </c>
      <c r="ACS14">
        <v>7.2484631538391113</v>
      </c>
      <c r="ACT14">
        <v>246</v>
      </c>
      <c r="ACU14" s="5"/>
      <c r="ACV14">
        <f t="shared" si="129"/>
        <v>16</v>
      </c>
      <c r="ACW14" t="s">
        <v>3500</v>
      </c>
      <c r="ACX14" t="s">
        <v>3501</v>
      </c>
      <c r="ACY14">
        <v>13.610404968261721</v>
      </c>
      <c r="ACZ14">
        <v>251</v>
      </c>
      <c r="ADA14" s="2"/>
      <c r="ADB14">
        <f t="shared" si="130"/>
        <v>21</v>
      </c>
      <c r="ADC14" t="s">
        <v>1258</v>
      </c>
      <c r="ADD14" t="s">
        <v>3502</v>
      </c>
      <c r="ADE14">
        <v>13.275202989578251</v>
      </c>
      <c r="ADF14">
        <v>390</v>
      </c>
      <c r="ADG14" s="5"/>
      <c r="ADH14">
        <f t="shared" si="131"/>
        <v>4</v>
      </c>
      <c r="ADI14" t="s">
        <v>3346</v>
      </c>
      <c r="ADJ14" t="s">
        <v>3503</v>
      </c>
      <c r="ADK14">
        <v>8.1096358299255371</v>
      </c>
      <c r="ADL14">
        <v>405</v>
      </c>
      <c r="ADM14" s="2"/>
      <c r="ADN14">
        <f t="shared" si="132"/>
        <v>30</v>
      </c>
      <c r="ADO14" t="s">
        <v>3504</v>
      </c>
      <c r="ADP14" t="s">
        <v>3505</v>
      </c>
      <c r="ADQ14">
        <v>9.3136835098266602</v>
      </c>
      <c r="ADR14">
        <v>391</v>
      </c>
      <c r="ADS14" s="5"/>
      <c r="ADT14">
        <f t="shared" si="133"/>
        <v>53</v>
      </c>
      <c r="ADU14" t="s">
        <v>3506</v>
      </c>
      <c r="ADV14" t="s">
        <v>3507</v>
      </c>
      <c r="ADW14">
        <v>114.83144426345829</v>
      </c>
      <c r="ADX14">
        <v>470</v>
      </c>
      <c r="ADY14" s="2"/>
      <c r="ADZ14">
        <f t="shared" si="134"/>
        <v>18</v>
      </c>
      <c r="AEA14" t="s">
        <v>268</v>
      </c>
      <c r="AEB14" t="s">
        <v>3508</v>
      </c>
      <c r="AEC14">
        <v>12.68958258628845</v>
      </c>
      <c r="AED14">
        <v>435</v>
      </c>
      <c r="AEE14" s="5"/>
      <c r="AEF14">
        <f t="shared" si="135"/>
        <v>25</v>
      </c>
      <c r="AEG14" t="s">
        <v>1458</v>
      </c>
      <c r="AEH14" t="s">
        <v>3509</v>
      </c>
      <c r="AEI14">
        <v>5.563302755355835</v>
      </c>
      <c r="AEJ14">
        <v>436</v>
      </c>
      <c r="AEK14" s="2"/>
      <c r="AEL14">
        <f t="shared" si="136"/>
        <v>24</v>
      </c>
      <c r="AEM14" t="s">
        <v>2314</v>
      </c>
      <c r="AEN14" t="s">
        <v>3510</v>
      </c>
      <c r="AEO14">
        <v>8.672896146774292</v>
      </c>
      <c r="AEP14">
        <v>404</v>
      </c>
      <c r="AEQ14" s="5"/>
      <c r="AER14">
        <f t="shared" si="137"/>
        <v>21</v>
      </c>
      <c r="AES14" t="s">
        <v>3511</v>
      </c>
      <c r="AET14" t="s">
        <v>3512</v>
      </c>
      <c r="AEU14">
        <v>9.9995861053466797</v>
      </c>
      <c r="AEV14">
        <v>392</v>
      </c>
      <c r="AEW14" s="2"/>
      <c r="AEX14">
        <f t="shared" si="138"/>
        <v>18</v>
      </c>
      <c r="AEY14" t="s">
        <v>3513</v>
      </c>
      <c r="AEZ14" t="s">
        <v>3514</v>
      </c>
      <c r="AFA14">
        <v>21.398248434066769</v>
      </c>
      <c r="AFB14">
        <v>398</v>
      </c>
      <c r="AFC14" s="5"/>
      <c r="AFD14">
        <f t="shared" si="139"/>
        <v>23</v>
      </c>
      <c r="AFE14" t="s">
        <v>2716</v>
      </c>
      <c r="AFF14" t="s">
        <v>3515</v>
      </c>
      <c r="AFG14">
        <v>12.75220775604248</v>
      </c>
      <c r="AFH14">
        <v>327</v>
      </c>
      <c r="AFI14" s="2"/>
      <c r="AFJ14">
        <f t="shared" si="140"/>
        <v>42</v>
      </c>
      <c r="AFK14" t="s">
        <v>3516</v>
      </c>
      <c r="AFL14" t="s">
        <v>3517</v>
      </c>
      <c r="AFM14">
        <v>25.901893377304081</v>
      </c>
      <c r="AFN14">
        <v>426</v>
      </c>
      <c r="AFO14" s="5"/>
      <c r="AFP14">
        <f t="shared" si="141"/>
        <v>35</v>
      </c>
      <c r="AFQ14" t="s">
        <v>349</v>
      </c>
      <c r="AFR14" t="s">
        <v>3518</v>
      </c>
      <c r="AFS14">
        <v>38.582636833190918</v>
      </c>
      <c r="AFT14">
        <v>318</v>
      </c>
      <c r="AFU14" s="2"/>
      <c r="AFV14">
        <f t="shared" si="142"/>
        <v>73</v>
      </c>
      <c r="AFW14" t="s">
        <v>3519</v>
      </c>
      <c r="AFX14" t="s">
        <v>3520</v>
      </c>
      <c r="AFY14">
        <v>228.14541530609131</v>
      </c>
      <c r="AFZ14">
        <v>333</v>
      </c>
      <c r="AGA14" s="5"/>
      <c r="AGB14">
        <f t="shared" si="143"/>
        <v>31</v>
      </c>
      <c r="AGC14" t="s">
        <v>3521</v>
      </c>
      <c r="AGD14" t="s">
        <v>3522</v>
      </c>
      <c r="AGE14">
        <v>30.244760513305661</v>
      </c>
      <c r="AGF14">
        <v>332</v>
      </c>
      <c r="AGG14" s="2"/>
      <c r="AGH14">
        <f t="shared" si="144"/>
        <v>29</v>
      </c>
      <c r="AGI14" t="s">
        <v>2472</v>
      </c>
      <c r="AGJ14" t="s">
        <v>3523</v>
      </c>
      <c r="AGK14">
        <v>12.79521608352661</v>
      </c>
      <c r="AGL14">
        <v>492</v>
      </c>
      <c r="AGM14" s="5"/>
      <c r="AGN14">
        <f t="shared" si="145"/>
        <v>42</v>
      </c>
      <c r="AGO14" t="s">
        <v>3524</v>
      </c>
      <c r="AGP14" t="s">
        <v>3525</v>
      </c>
      <c r="AGQ14">
        <v>18.04499435424805</v>
      </c>
      <c r="AGR14">
        <v>403</v>
      </c>
      <c r="AGS14" s="2"/>
      <c r="AGT14">
        <f t="shared" si="146"/>
        <v>22</v>
      </c>
      <c r="AGU14" t="s">
        <v>3526</v>
      </c>
      <c r="AGV14" t="s">
        <v>3527</v>
      </c>
      <c r="AGW14">
        <v>40.251783132553101</v>
      </c>
      <c r="AGX14">
        <v>372</v>
      </c>
      <c r="AGY14" s="5"/>
      <c r="AGZ14">
        <f t="shared" si="147"/>
        <v>48</v>
      </c>
      <c r="AHA14" t="s">
        <v>3528</v>
      </c>
      <c r="AHB14" t="s">
        <v>3529</v>
      </c>
      <c r="AHC14">
        <v>25.745911836624149</v>
      </c>
      <c r="AHD14">
        <v>477</v>
      </c>
      <c r="AHE14" s="2"/>
      <c r="AHF14">
        <f t="shared" si="148"/>
        <v>61</v>
      </c>
      <c r="AHG14" t="s">
        <v>133</v>
      </c>
      <c r="AHH14" t="s">
        <v>3530</v>
      </c>
      <c r="AHI14">
        <v>10.536330461502081</v>
      </c>
      <c r="AHJ14">
        <v>369</v>
      </c>
      <c r="AHK14" s="5"/>
      <c r="AHL14">
        <f t="shared" si="149"/>
        <v>28</v>
      </c>
      <c r="AHM14" t="s">
        <v>3531</v>
      </c>
      <c r="AHN14" t="s">
        <v>3532</v>
      </c>
      <c r="AHO14">
        <v>14.29009389877319</v>
      </c>
      <c r="AHP14">
        <v>316</v>
      </c>
      <c r="AHQ14" s="2"/>
      <c r="AHR14">
        <f t="shared" si="150"/>
        <v>39</v>
      </c>
      <c r="AHS14" t="s">
        <v>3533</v>
      </c>
      <c r="AHT14" t="s">
        <v>3534</v>
      </c>
      <c r="AHU14">
        <v>12.76294922828674</v>
      </c>
      <c r="AHV14">
        <v>418</v>
      </c>
      <c r="AHW14" s="5"/>
      <c r="AHX14">
        <f t="shared" si="151"/>
        <v>43</v>
      </c>
      <c r="AHY14" t="s">
        <v>3535</v>
      </c>
      <c r="AHZ14" t="s">
        <v>3536</v>
      </c>
      <c r="AIA14">
        <v>196.93193340301511</v>
      </c>
      <c r="AIB14">
        <v>248</v>
      </c>
      <c r="AIC14" s="2"/>
      <c r="AID14">
        <f t="shared" si="152"/>
        <v>23</v>
      </c>
      <c r="AIE14" t="s">
        <v>3537</v>
      </c>
      <c r="AIF14" t="s">
        <v>3538</v>
      </c>
      <c r="AIG14">
        <v>21.914881944656369</v>
      </c>
      <c r="AIH14">
        <v>345</v>
      </c>
      <c r="AII14" s="5"/>
      <c r="AIJ14">
        <f t="shared" si="153"/>
        <v>26</v>
      </c>
      <c r="AIK14" t="s">
        <v>3539</v>
      </c>
      <c r="AIL14" t="s">
        <v>3540</v>
      </c>
      <c r="AIM14">
        <v>16.423059701919559</v>
      </c>
      <c r="AIN14">
        <v>299</v>
      </c>
      <c r="AIO14" s="2"/>
      <c r="AIP14">
        <f t="shared" si="154"/>
        <v>23</v>
      </c>
      <c r="AIQ14" t="s">
        <v>3541</v>
      </c>
      <c r="AIR14" t="s">
        <v>3542</v>
      </c>
      <c r="AIS14">
        <v>17.85926461219788</v>
      </c>
      <c r="AIT14">
        <v>344</v>
      </c>
      <c r="AIU14" s="5"/>
      <c r="AIV14">
        <f t="shared" si="155"/>
        <v>38</v>
      </c>
      <c r="AIW14" t="s">
        <v>3543</v>
      </c>
      <c r="AIX14" t="s">
        <v>3544</v>
      </c>
      <c r="AIY14">
        <v>12.48674845695496</v>
      </c>
      <c r="AIZ14">
        <v>437</v>
      </c>
      <c r="AJA14" s="2"/>
      <c r="AJB14">
        <f t="shared" si="156"/>
        <v>26</v>
      </c>
      <c r="AJC14" t="s">
        <v>1389</v>
      </c>
      <c r="AJD14" t="s">
        <v>3545</v>
      </c>
      <c r="AJE14">
        <v>7.5000319480895996</v>
      </c>
      <c r="AJF14">
        <v>565</v>
      </c>
      <c r="AJG14" s="5"/>
      <c r="AJH14">
        <f t="shared" si="157"/>
        <v>14</v>
      </c>
      <c r="AJI14" t="s">
        <v>2205</v>
      </c>
      <c r="AJJ14" t="s">
        <v>3546</v>
      </c>
      <c r="AJK14">
        <v>4.9585704803466797</v>
      </c>
      <c r="AJL14">
        <v>387</v>
      </c>
      <c r="AJM14" s="2"/>
      <c r="AJN14">
        <f t="shared" si="158"/>
        <v>24</v>
      </c>
      <c r="AJO14" t="s">
        <v>3547</v>
      </c>
      <c r="AJP14" t="s">
        <v>3548</v>
      </c>
      <c r="AJQ14">
        <v>9.990236759185791</v>
      </c>
      <c r="AJR14">
        <v>443</v>
      </c>
      <c r="AJS14" s="5"/>
      <c r="AJT14">
        <f t="shared" si="159"/>
        <v>32</v>
      </c>
      <c r="AJU14" t="s">
        <v>3549</v>
      </c>
      <c r="AJV14" t="s">
        <v>3550</v>
      </c>
      <c r="AJW14">
        <v>11.70543003082275</v>
      </c>
      <c r="AJX14">
        <v>433</v>
      </c>
      <c r="AJY14" s="2"/>
      <c r="AJZ14">
        <f t="shared" si="160"/>
        <v>63</v>
      </c>
      <c r="AKA14" t="s">
        <v>3551</v>
      </c>
      <c r="AKB14" t="s">
        <v>3552</v>
      </c>
      <c r="AKC14">
        <v>51.790225982666023</v>
      </c>
      <c r="AKD14">
        <v>308</v>
      </c>
      <c r="AKE14" s="5"/>
      <c r="AKF14">
        <f t="shared" si="161"/>
        <v>25</v>
      </c>
      <c r="AKG14" t="s">
        <v>500</v>
      </c>
      <c r="AKH14" t="s">
        <v>3553</v>
      </c>
      <c r="AKI14">
        <v>13.364338874816889</v>
      </c>
      <c r="AKJ14">
        <v>368</v>
      </c>
      <c r="AKK14" s="2"/>
      <c r="AKL14">
        <f t="shared" si="162"/>
        <v>18</v>
      </c>
      <c r="AKM14" t="s">
        <v>3093</v>
      </c>
      <c r="AKN14" t="s">
        <v>3554</v>
      </c>
      <c r="AKO14">
        <v>8.9982938766479492</v>
      </c>
      <c r="AKP14">
        <v>338</v>
      </c>
      <c r="AKQ14" s="5"/>
      <c r="AKR14">
        <f t="shared" si="163"/>
        <v>20</v>
      </c>
      <c r="AKS14" t="s">
        <v>107</v>
      </c>
      <c r="AKT14" t="s">
        <v>3555</v>
      </c>
      <c r="AKU14">
        <v>9.2538502216339111</v>
      </c>
      <c r="AKV14">
        <v>415</v>
      </c>
      <c r="AKW14" s="2"/>
      <c r="AKX14">
        <f t="shared" si="164"/>
        <v>63</v>
      </c>
      <c r="AKY14" t="s">
        <v>3556</v>
      </c>
      <c r="AKZ14" t="s">
        <v>3557</v>
      </c>
      <c r="ALA14">
        <v>14.218536615371701</v>
      </c>
      <c r="ALB14">
        <v>503</v>
      </c>
      <c r="ALC14" s="5"/>
      <c r="ALD14">
        <f t="shared" si="165"/>
        <v>34</v>
      </c>
      <c r="ALE14" t="s">
        <v>3558</v>
      </c>
      <c r="ALF14" t="s">
        <v>3559</v>
      </c>
      <c r="ALG14">
        <v>13.67278361320496</v>
      </c>
      <c r="ALH14">
        <v>470</v>
      </c>
      <c r="ALI14" s="2"/>
      <c r="ALJ14">
        <f t="shared" si="166"/>
        <v>37</v>
      </c>
      <c r="ALK14" t="s">
        <v>3560</v>
      </c>
      <c r="ALL14" t="s">
        <v>3561</v>
      </c>
      <c r="ALM14">
        <v>10.040899038314819</v>
      </c>
      <c r="ALN14">
        <v>383</v>
      </c>
      <c r="ALO14" s="5"/>
      <c r="ALP14">
        <f t="shared" si="167"/>
        <v>21</v>
      </c>
      <c r="ALQ14" t="s">
        <v>3562</v>
      </c>
      <c r="ALR14" t="s">
        <v>3285</v>
      </c>
      <c r="ALS14">
        <v>10.18905067443848</v>
      </c>
      <c r="ALT14">
        <v>361</v>
      </c>
      <c r="ALU14" s="2"/>
      <c r="ALV14">
        <f t="shared" si="168"/>
        <v>31</v>
      </c>
      <c r="ALW14" t="s">
        <v>3563</v>
      </c>
      <c r="ALX14" t="s">
        <v>3564</v>
      </c>
      <c r="ALY14">
        <v>22.445401430130001</v>
      </c>
      <c r="ALZ14">
        <v>451</v>
      </c>
      <c r="AMA14" s="5"/>
      <c r="AMB14">
        <f t="shared" si="169"/>
        <v>21</v>
      </c>
      <c r="AMC14" t="s">
        <v>3565</v>
      </c>
      <c r="AMD14" t="s">
        <v>3566</v>
      </c>
      <c r="AME14">
        <v>14.43088793754578</v>
      </c>
      <c r="AMF14">
        <v>344</v>
      </c>
      <c r="AMG14" s="2"/>
      <c r="AMH14">
        <f t="shared" si="170"/>
        <v>38</v>
      </c>
      <c r="AMI14" t="s">
        <v>3567</v>
      </c>
      <c r="AMJ14" t="s">
        <v>3568</v>
      </c>
      <c r="AMK14">
        <v>8.0880758762359619</v>
      </c>
      <c r="AML14">
        <v>391</v>
      </c>
      <c r="AMM14" s="5"/>
      <c r="AMN14">
        <f t="shared" si="171"/>
        <v>42</v>
      </c>
      <c r="AMO14" t="s">
        <v>3569</v>
      </c>
      <c r="AMP14" t="s">
        <v>3570</v>
      </c>
      <c r="AMQ14">
        <v>9.7638812065124512</v>
      </c>
      <c r="AMR14">
        <v>371</v>
      </c>
      <c r="AMS14" s="2"/>
    </row>
    <row r="15" spans="1:1033" x14ac:dyDescent="0.25">
      <c r="A15">
        <v>13</v>
      </c>
      <c r="B15">
        <f t="shared" si="0"/>
        <v>23</v>
      </c>
      <c r="C15" t="s">
        <v>1704</v>
      </c>
      <c r="D15" t="s">
        <v>3571</v>
      </c>
      <c r="E15">
        <v>5.184650182723999</v>
      </c>
      <c r="F15">
        <v>389</v>
      </c>
      <c r="G15" s="1"/>
      <c r="H15">
        <f t="shared" si="1"/>
        <v>10</v>
      </c>
      <c r="I15" t="s">
        <v>3572</v>
      </c>
      <c r="J15" t="s">
        <v>3573</v>
      </c>
      <c r="K15">
        <v>4.087618350982666</v>
      </c>
      <c r="L15">
        <v>371</v>
      </c>
      <c r="M15" s="2"/>
      <c r="N15">
        <f t="shared" si="2"/>
        <v>17</v>
      </c>
      <c r="O15" t="s">
        <v>669</v>
      </c>
      <c r="P15" t="s">
        <v>3574</v>
      </c>
      <c r="Q15">
        <v>9.8857088088989258</v>
      </c>
      <c r="R15">
        <v>337</v>
      </c>
      <c r="S15" s="1"/>
      <c r="T15">
        <f t="shared" si="3"/>
        <v>28</v>
      </c>
      <c r="U15" t="s">
        <v>3575</v>
      </c>
      <c r="V15" t="s">
        <v>3576</v>
      </c>
      <c r="W15">
        <v>6.2713587284088126</v>
      </c>
      <c r="X15">
        <v>401</v>
      </c>
      <c r="Y15" s="2"/>
      <c r="Z15">
        <f t="shared" si="4"/>
        <v>25</v>
      </c>
      <c r="AA15" t="s">
        <v>3577</v>
      </c>
      <c r="AB15" t="s">
        <v>3578</v>
      </c>
      <c r="AC15">
        <v>14.187801122665411</v>
      </c>
      <c r="AD15">
        <v>444</v>
      </c>
      <c r="AE15" s="1"/>
      <c r="AF15">
        <f t="shared" si="5"/>
        <v>12</v>
      </c>
      <c r="AG15" t="s">
        <v>1758</v>
      </c>
      <c r="AH15" t="s">
        <v>3579</v>
      </c>
      <c r="AI15">
        <v>4.3099801540374756</v>
      </c>
      <c r="AJ15">
        <v>375</v>
      </c>
      <c r="AK15" s="2"/>
      <c r="AL15">
        <f t="shared" si="6"/>
        <v>19</v>
      </c>
      <c r="AM15" t="s">
        <v>3346</v>
      </c>
      <c r="AN15" t="s">
        <v>3580</v>
      </c>
      <c r="AO15">
        <v>11.0328311920166</v>
      </c>
      <c r="AP15">
        <v>388</v>
      </c>
      <c r="AQ15" s="3"/>
      <c r="AR15">
        <f t="shared" si="7"/>
        <v>20</v>
      </c>
      <c r="AS15" t="s">
        <v>44</v>
      </c>
      <c r="AT15" t="s">
        <v>3581</v>
      </c>
      <c r="AU15">
        <v>5.0016605854034424</v>
      </c>
      <c r="AV15">
        <v>402</v>
      </c>
      <c r="AW15" s="2"/>
      <c r="AX15">
        <f t="shared" si="8"/>
        <v>22</v>
      </c>
      <c r="AY15" t="s">
        <v>3582</v>
      </c>
      <c r="AZ15" t="s">
        <v>3583</v>
      </c>
      <c r="BA15">
        <v>5.0696811676025391</v>
      </c>
      <c r="BB15">
        <v>421</v>
      </c>
      <c r="BC15" s="3"/>
      <c r="BD15">
        <f t="shared" si="9"/>
        <v>14</v>
      </c>
      <c r="BE15" t="s">
        <v>3071</v>
      </c>
      <c r="BF15" t="s">
        <v>3071</v>
      </c>
      <c r="BG15">
        <v>3.0283229351043701</v>
      </c>
      <c r="BH15">
        <v>521</v>
      </c>
      <c r="BI15" s="2"/>
      <c r="BJ15">
        <f t="shared" si="10"/>
        <v>24</v>
      </c>
      <c r="BK15" t="s">
        <v>1301</v>
      </c>
      <c r="BL15" t="s">
        <v>3584</v>
      </c>
      <c r="BM15">
        <v>16.551514387130741</v>
      </c>
      <c r="BN15">
        <v>506</v>
      </c>
      <c r="BO15" s="3"/>
      <c r="BP15">
        <f t="shared" si="11"/>
        <v>12</v>
      </c>
      <c r="BQ15" t="s">
        <v>3585</v>
      </c>
      <c r="BR15" t="s">
        <v>3586</v>
      </c>
      <c r="BS15">
        <v>5.0012867450714111</v>
      </c>
      <c r="BT15">
        <v>382</v>
      </c>
      <c r="BU15" s="2"/>
      <c r="BV15">
        <f t="shared" si="12"/>
        <v>22</v>
      </c>
      <c r="BW15" t="s">
        <v>902</v>
      </c>
      <c r="BX15" t="s">
        <v>3587</v>
      </c>
      <c r="BY15">
        <v>5.9740924835205078</v>
      </c>
      <c r="BZ15">
        <v>525</v>
      </c>
      <c r="CA15" s="3"/>
      <c r="CB15">
        <f t="shared" si="13"/>
        <v>22</v>
      </c>
      <c r="CC15" t="s">
        <v>3150</v>
      </c>
      <c r="CD15" t="s">
        <v>3588</v>
      </c>
      <c r="CE15">
        <v>5.1090483665466309</v>
      </c>
      <c r="CF15">
        <v>382</v>
      </c>
      <c r="CG15" s="2"/>
      <c r="CH15">
        <f t="shared" si="14"/>
        <v>27</v>
      </c>
      <c r="CI15" t="s">
        <v>3589</v>
      </c>
      <c r="CJ15" t="s">
        <v>3590</v>
      </c>
      <c r="CK15">
        <v>13.463762283325201</v>
      </c>
      <c r="CL15">
        <v>369</v>
      </c>
      <c r="CM15" s="3"/>
      <c r="CN15">
        <f t="shared" si="15"/>
        <v>26</v>
      </c>
      <c r="CO15" t="s">
        <v>3591</v>
      </c>
      <c r="CP15" t="s">
        <v>3592</v>
      </c>
      <c r="CQ15">
        <v>76.767300605773926</v>
      </c>
      <c r="CR15">
        <v>424</v>
      </c>
      <c r="CS15" s="2"/>
      <c r="CT15">
        <f t="shared" si="16"/>
        <v>20</v>
      </c>
      <c r="CU15" t="s">
        <v>3593</v>
      </c>
      <c r="CV15" t="s">
        <v>3594</v>
      </c>
      <c r="CW15">
        <v>4.6215808391571036</v>
      </c>
      <c r="CX15">
        <v>470</v>
      </c>
      <c r="CY15" s="3"/>
      <c r="CZ15">
        <f t="shared" si="17"/>
        <v>10</v>
      </c>
      <c r="DA15" t="s">
        <v>3331</v>
      </c>
      <c r="DB15" t="s">
        <v>3595</v>
      </c>
      <c r="DC15">
        <v>3.3576138019561772</v>
      </c>
      <c r="DD15">
        <v>369</v>
      </c>
      <c r="DE15" s="2"/>
      <c r="DF15">
        <f t="shared" si="18"/>
        <v>5</v>
      </c>
      <c r="DG15" t="s">
        <v>1652</v>
      </c>
      <c r="DH15" t="s">
        <v>3596</v>
      </c>
      <c r="DI15">
        <v>3.507003545761108</v>
      </c>
      <c r="DJ15">
        <v>226</v>
      </c>
      <c r="DK15" s="3"/>
      <c r="DL15">
        <f t="shared" si="19"/>
        <v>24</v>
      </c>
      <c r="DM15" t="s">
        <v>3597</v>
      </c>
      <c r="DN15" t="s">
        <v>3598</v>
      </c>
      <c r="DO15">
        <v>7.4725878238677979</v>
      </c>
      <c r="DP15">
        <v>306</v>
      </c>
      <c r="DQ15" s="2"/>
      <c r="DR15">
        <f t="shared" si="20"/>
        <v>22</v>
      </c>
      <c r="DS15" t="s">
        <v>3599</v>
      </c>
      <c r="DT15" t="s">
        <v>3600</v>
      </c>
      <c r="DU15">
        <v>16.409555912017819</v>
      </c>
      <c r="DV15">
        <v>500</v>
      </c>
      <c r="DW15" s="3"/>
      <c r="DX15">
        <f t="shared" si="21"/>
        <v>12</v>
      </c>
      <c r="DY15" t="s">
        <v>2110</v>
      </c>
      <c r="DZ15" t="s">
        <v>3601</v>
      </c>
      <c r="EA15">
        <v>7.7684664726257324</v>
      </c>
      <c r="EB15">
        <v>339</v>
      </c>
      <c r="EC15" s="2"/>
      <c r="ED15">
        <f t="shared" si="22"/>
        <v>54</v>
      </c>
      <c r="EE15" t="s">
        <v>3602</v>
      </c>
      <c r="EF15" t="s">
        <v>3603</v>
      </c>
      <c r="EG15">
        <v>9.5733225345611572</v>
      </c>
      <c r="EH15">
        <v>261</v>
      </c>
      <c r="EI15" s="3"/>
      <c r="EJ15">
        <f t="shared" si="23"/>
        <v>24</v>
      </c>
      <c r="EK15" t="s">
        <v>3604</v>
      </c>
      <c r="EL15" t="s">
        <v>3605</v>
      </c>
      <c r="EM15">
        <v>9.740565299987793</v>
      </c>
      <c r="EN15">
        <v>447</v>
      </c>
      <c r="EO15" s="2"/>
      <c r="EP15">
        <f t="shared" si="24"/>
        <v>32</v>
      </c>
      <c r="EQ15" t="s">
        <v>3606</v>
      </c>
      <c r="ER15" t="s">
        <v>3607</v>
      </c>
      <c r="ES15">
        <v>11.095880270004271</v>
      </c>
      <c r="ET15">
        <v>345</v>
      </c>
      <c r="EU15" s="3"/>
      <c r="EV15">
        <f t="shared" si="25"/>
        <v>35</v>
      </c>
      <c r="EW15" t="s">
        <v>3608</v>
      </c>
      <c r="EX15" t="s">
        <v>3609</v>
      </c>
      <c r="EY15">
        <v>8.2664780616760254</v>
      </c>
      <c r="EZ15">
        <v>284</v>
      </c>
      <c r="FA15" s="2"/>
      <c r="FB15">
        <f t="shared" si="26"/>
        <v>13</v>
      </c>
      <c r="FC15" t="s">
        <v>800</v>
      </c>
      <c r="FD15" t="s">
        <v>3610</v>
      </c>
      <c r="FE15">
        <v>6.4479124546051034</v>
      </c>
      <c r="FF15">
        <v>431</v>
      </c>
      <c r="FG15" s="3"/>
      <c r="FH15">
        <f t="shared" si="27"/>
        <v>0</v>
      </c>
      <c r="FJ15" t="s">
        <v>3611</v>
      </c>
      <c r="FK15">
        <v>2.9177703857421879</v>
      </c>
      <c r="FL15">
        <v>462</v>
      </c>
      <c r="FM15" s="2"/>
      <c r="FP15" t="s">
        <v>3612</v>
      </c>
      <c r="FR15">
        <v>458</v>
      </c>
      <c r="FX15">
        <v>502</v>
      </c>
      <c r="FZ15">
        <f t="shared" si="30"/>
        <v>12</v>
      </c>
      <c r="GA15" t="s">
        <v>3613</v>
      </c>
      <c r="GB15" t="s">
        <v>3614</v>
      </c>
      <c r="GC15">
        <v>3.8507893085479741</v>
      </c>
      <c r="GD15">
        <v>413</v>
      </c>
      <c r="GE15" s="3"/>
      <c r="GF15">
        <f t="shared" si="31"/>
        <v>8</v>
      </c>
      <c r="GG15" t="s">
        <v>3615</v>
      </c>
      <c r="GH15" t="s">
        <v>3616</v>
      </c>
      <c r="GI15">
        <v>3.2954697608947749</v>
      </c>
      <c r="GJ15">
        <v>387</v>
      </c>
      <c r="GK15" s="2"/>
      <c r="GL15">
        <f t="shared" si="32"/>
        <v>20</v>
      </c>
      <c r="GM15" t="s">
        <v>2707</v>
      </c>
      <c r="GN15" t="s">
        <v>3617</v>
      </c>
      <c r="GO15">
        <v>15.97581815719604</v>
      </c>
      <c r="GP15">
        <v>383</v>
      </c>
      <c r="GQ15" s="3"/>
      <c r="GR15">
        <f t="shared" si="33"/>
        <v>20</v>
      </c>
      <c r="GS15" t="s">
        <v>3618</v>
      </c>
      <c r="GT15" t="s">
        <v>3619</v>
      </c>
      <c r="GU15">
        <v>10.53045749664307</v>
      </c>
      <c r="GV15">
        <v>472</v>
      </c>
      <c r="GW15" s="2"/>
      <c r="GX15">
        <f t="shared" si="34"/>
        <v>13</v>
      </c>
      <c r="GY15" t="s">
        <v>1910</v>
      </c>
      <c r="GZ15" t="s">
        <v>3620</v>
      </c>
      <c r="HA15">
        <v>12.573885679245</v>
      </c>
      <c r="HB15">
        <v>373</v>
      </c>
      <c r="HC15" s="3"/>
      <c r="HD15">
        <f t="shared" si="35"/>
        <v>15</v>
      </c>
      <c r="HE15" t="s">
        <v>3621</v>
      </c>
      <c r="HF15" t="s">
        <v>3622</v>
      </c>
      <c r="HG15">
        <v>12.032702207565309</v>
      </c>
      <c r="HH15">
        <v>331</v>
      </c>
      <c r="HI15" s="2"/>
      <c r="HJ15">
        <f t="shared" si="36"/>
        <v>21</v>
      </c>
      <c r="HK15" t="s">
        <v>1322</v>
      </c>
      <c r="HL15" t="s">
        <v>3623</v>
      </c>
      <c r="HM15">
        <v>6.2806744575500488</v>
      </c>
      <c r="HN15">
        <v>404</v>
      </c>
      <c r="HO15" s="3"/>
      <c r="HP15">
        <f t="shared" si="37"/>
        <v>6</v>
      </c>
      <c r="HQ15" t="s">
        <v>1179</v>
      </c>
      <c r="HR15" t="s">
        <v>3624</v>
      </c>
      <c r="HS15">
        <v>3.4489495754241939</v>
      </c>
      <c r="HT15">
        <v>373</v>
      </c>
      <c r="HU15" s="2"/>
      <c r="HV15">
        <f t="shared" si="38"/>
        <v>20</v>
      </c>
      <c r="HW15" t="s">
        <v>3625</v>
      </c>
      <c r="HX15" t="s">
        <v>3626</v>
      </c>
      <c r="HY15">
        <v>8.7051482200622559</v>
      </c>
      <c r="HZ15">
        <v>418</v>
      </c>
      <c r="IA15" s="3"/>
      <c r="IB15">
        <f t="shared" si="39"/>
        <v>12</v>
      </c>
      <c r="IC15" t="s">
        <v>1136</v>
      </c>
      <c r="ID15" t="s">
        <v>3627</v>
      </c>
      <c r="IE15">
        <v>4.1523346900939941</v>
      </c>
      <c r="IF15">
        <v>435</v>
      </c>
      <c r="IG15" s="2"/>
      <c r="IH15">
        <f t="shared" si="40"/>
        <v>30</v>
      </c>
      <c r="II15" t="s">
        <v>2875</v>
      </c>
      <c r="IJ15" t="s">
        <v>3628</v>
      </c>
      <c r="IK15">
        <v>21.540680885314941</v>
      </c>
      <c r="IL15">
        <v>514</v>
      </c>
      <c r="IM15" s="3"/>
      <c r="IN15">
        <f t="shared" si="41"/>
        <v>16</v>
      </c>
      <c r="IO15" t="s">
        <v>1015</v>
      </c>
      <c r="IP15" t="s">
        <v>3629</v>
      </c>
      <c r="IQ15">
        <v>4.2416286468505859</v>
      </c>
      <c r="IR15">
        <v>395</v>
      </c>
      <c r="IS15" s="2"/>
      <c r="IT15">
        <f t="shared" si="42"/>
        <v>15</v>
      </c>
      <c r="IU15" t="s">
        <v>2898</v>
      </c>
      <c r="IV15" t="s">
        <v>3630</v>
      </c>
      <c r="IW15">
        <v>12.90034294128418</v>
      </c>
      <c r="IX15">
        <v>341</v>
      </c>
      <c r="IY15" s="3"/>
      <c r="IZ15">
        <f t="shared" si="43"/>
        <v>33</v>
      </c>
      <c r="JA15" t="s">
        <v>3631</v>
      </c>
      <c r="JB15" t="s">
        <v>3632</v>
      </c>
      <c r="JC15">
        <v>9.5329349040985107</v>
      </c>
      <c r="JD15">
        <v>387</v>
      </c>
      <c r="JE15" s="2"/>
      <c r="JF15">
        <f t="shared" si="44"/>
        <v>4</v>
      </c>
      <c r="JG15" t="s">
        <v>3633</v>
      </c>
      <c r="JH15" t="s">
        <v>3634</v>
      </c>
      <c r="JI15">
        <v>4.8794558048248291</v>
      </c>
      <c r="JJ15">
        <v>268</v>
      </c>
      <c r="JK15" s="3"/>
      <c r="JL15">
        <f t="shared" si="45"/>
        <v>0</v>
      </c>
      <c r="JN15" t="s">
        <v>3635</v>
      </c>
      <c r="JO15">
        <v>3.5972762107849121</v>
      </c>
      <c r="JP15">
        <v>277</v>
      </c>
      <c r="JQ15" s="2"/>
      <c r="JR15">
        <f t="shared" si="46"/>
        <v>9</v>
      </c>
      <c r="JS15" t="s">
        <v>349</v>
      </c>
      <c r="JT15" t="s">
        <v>3636</v>
      </c>
      <c r="JU15">
        <v>14.9200496673584</v>
      </c>
      <c r="JV15">
        <v>295</v>
      </c>
      <c r="JW15" s="3"/>
      <c r="JX15">
        <f t="shared" si="47"/>
        <v>10</v>
      </c>
      <c r="JY15" t="s">
        <v>2128</v>
      </c>
      <c r="JZ15" t="s">
        <v>3365</v>
      </c>
      <c r="KA15">
        <v>4.2845852375030518</v>
      </c>
      <c r="KB15">
        <v>378</v>
      </c>
      <c r="KC15" s="2"/>
      <c r="KD15">
        <f t="shared" si="48"/>
        <v>21</v>
      </c>
      <c r="KE15" t="s">
        <v>1229</v>
      </c>
      <c r="KF15" t="s">
        <v>3637</v>
      </c>
      <c r="KG15">
        <v>16.299804449081421</v>
      </c>
      <c r="KH15">
        <v>237</v>
      </c>
      <c r="KI15" s="3"/>
      <c r="KJ15">
        <f t="shared" si="49"/>
        <v>22</v>
      </c>
      <c r="KK15" t="s">
        <v>3638</v>
      </c>
      <c r="KL15" t="s">
        <v>3639</v>
      </c>
      <c r="KM15">
        <v>5.3387188911437988</v>
      </c>
      <c r="KN15">
        <v>430</v>
      </c>
      <c r="KO15" s="2"/>
      <c r="KP15">
        <f t="shared" si="50"/>
        <v>23</v>
      </c>
      <c r="KQ15" t="s">
        <v>2037</v>
      </c>
      <c r="KR15" t="s">
        <v>3640</v>
      </c>
      <c r="KS15">
        <v>7.6563124656677246</v>
      </c>
      <c r="KT15">
        <v>499</v>
      </c>
      <c r="KU15" s="3"/>
      <c r="KV15">
        <f t="shared" si="51"/>
        <v>0</v>
      </c>
      <c r="KX15" t="s">
        <v>3641</v>
      </c>
      <c r="KY15">
        <v>2.9652972221374512</v>
      </c>
      <c r="KZ15">
        <v>389</v>
      </c>
      <c r="LA15" s="2"/>
      <c r="LB15">
        <f t="shared" si="52"/>
        <v>17</v>
      </c>
      <c r="LC15" t="s">
        <v>1229</v>
      </c>
      <c r="LD15" t="s">
        <v>3642</v>
      </c>
      <c r="LE15">
        <v>6.227651834487915</v>
      </c>
      <c r="LF15">
        <v>393</v>
      </c>
      <c r="LG15" s="3"/>
      <c r="LH15">
        <f t="shared" si="53"/>
        <v>34</v>
      </c>
      <c r="LI15" t="s">
        <v>3643</v>
      </c>
      <c r="LJ15" t="s">
        <v>3644</v>
      </c>
      <c r="LK15">
        <v>13.98041033744812</v>
      </c>
      <c r="LL15">
        <v>466</v>
      </c>
      <c r="LM15" s="2"/>
      <c r="LN15">
        <f t="shared" si="54"/>
        <v>15</v>
      </c>
      <c r="LO15" t="s">
        <v>240</v>
      </c>
      <c r="LP15" t="s">
        <v>3645</v>
      </c>
      <c r="LQ15">
        <v>5.8318848609924316</v>
      </c>
      <c r="LR15">
        <v>431</v>
      </c>
      <c r="LS15" s="3"/>
      <c r="LT15">
        <f t="shared" si="55"/>
        <v>17</v>
      </c>
      <c r="LU15" t="s">
        <v>3646</v>
      </c>
      <c r="LV15" t="s">
        <v>3647</v>
      </c>
      <c r="LW15">
        <v>4.7789506912231454</v>
      </c>
      <c r="LX15">
        <v>427</v>
      </c>
      <c r="LY15" s="2"/>
      <c r="LZ15">
        <f t="shared" si="56"/>
        <v>18</v>
      </c>
      <c r="MA15" t="s">
        <v>3648</v>
      </c>
      <c r="MB15" t="s">
        <v>3648</v>
      </c>
      <c r="MC15">
        <v>3.919613361358643</v>
      </c>
      <c r="MD15">
        <v>437</v>
      </c>
      <c r="ME15" s="3"/>
      <c r="MH15" t="s">
        <v>3641</v>
      </c>
      <c r="MJ15">
        <v>473</v>
      </c>
      <c r="ML15">
        <f t="shared" si="58"/>
        <v>42</v>
      </c>
      <c r="MM15" t="s">
        <v>2493</v>
      </c>
      <c r="MN15" t="s">
        <v>3649</v>
      </c>
      <c r="MO15">
        <v>14.577873706817631</v>
      </c>
      <c r="MP15">
        <v>345</v>
      </c>
      <c r="MQ15" s="3"/>
      <c r="MR15">
        <f t="shared" si="59"/>
        <v>55</v>
      </c>
      <c r="MS15" t="s">
        <v>3650</v>
      </c>
      <c r="MT15" t="s">
        <v>3651</v>
      </c>
      <c r="MU15">
        <v>18.948456048965451</v>
      </c>
      <c r="MV15">
        <v>488</v>
      </c>
      <c r="MW15" s="2"/>
      <c r="MX15">
        <f t="shared" si="60"/>
        <v>34</v>
      </c>
      <c r="MY15" t="s">
        <v>3652</v>
      </c>
      <c r="MZ15" t="s">
        <v>3653</v>
      </c>
      <c r="NA15">
        <v>15.571759939193729</v>
      </c>
      <c r="NB15">
        <v>430</v>
      </c>
      <c r="NC15" s="3"/>
      <c r="ND15">
        <f t="shared" si="61"/>
        <v>24</v>
      </c>
      <c r="NE15" t="s">
        <v>3654</v>
      </c>
      <c r="NF15" t="s">
        <v>3655</v>
      </c>
      <c r="NG15">
        <v>6.9439454078674316</v>
      </c>
      <c r="NH15">
        <v>484</v>
      </c>
      <c r="NI15" s="2"/>
      <c r="NJ15">
        <f t="shared" si="62"/>
        <v>23</v>
      </c>
      <c r="NK15" t="s">
        <v>2744</v>
      </c>
      <c r="NL15" t="s">
        <v>3656</v>
      </c>
      <c r="NM15">
        <v>10.062986850738531</v>
      </c>
      <c r="NN15">
        <v>311</v>
      </c>
      <c r="NO15" s="3"/>
      <c r="NP15">
        <f t="shared" si="63"/>
        <v>24</v>
      </c>
      <c r="NQ15" t="s">
        <v>3657</v>
      </c>
      <c r="NR15" t="s">
        <v>3658</v>
      </c>
      <c r="NS15">
        <v>15.5241265296936</v>
      </c>
      <c r="NT15">
        <v>314</v>
      </c>
      <c r="NU15" s="2"/>
      <c r="NV15">
        <f t="shared" si="64"/>
        <v>38</v>
      </c>
      <c r="NW15" t="s">
        <v>133</v>
      </c>
      <c r="NX15" t="s">
        <v>3659</v>
      </c>
      <c r="NY15">
        <v>10.87446355819702</v>
      </c>
      <c r="NZ15">
        <v>323</v>
      </c>
      <c r="OA15" s="3"/>
      <c r="OB15">
        <f t="shared" si="65"/>
        <v>19</v>
      </c>
      <c r="OC15" t="s">
        <v>3660</v>
      </c>
      <c r="OD15" t="s">
        <v>3661</v>
      </c>
      <c r="OE15">
        <v>4.1400961875915527</v>
      </c>
      <c r="OF15">
        <v>442</v>
      </c>
      <c r="OG15" s="2"/>
      <c r="OH15">
        <f t="shared" si="66"/>
        <v>38</v>
      </c>
      <c r="OI15" t="s">
        <v>2703</v>
      </c>
      <c r="OJ15" t="s">
        <v>3662</v>
      </c>
      <c r="OK15">
        <v>8.4129652976989746</v>
      </c>
      <c r="OL15">
        <v>355</v>
      </c>
      <c r="OM15" s="3"/>
      <c r="ON15">
        <f t="shared" si="67"/>
        <v>31</v>
      </c>
      <c r="OO15" t="s">
        <v>3663</v>
      </c>
      <c r="OP15" t="s">
        <v>3664</v>
      </c>
      <c r="OQ15">
        <v>16.908290147781369</v>
      </c>
      <c r="OR15">
        <v>501</v>
      </c>
      <c r="OS15" s="2"/>
      <c r="OT15">
        <f t="shared" si="68"/>
        <v>29</v>
      </c>
      <c r="OU15" t="s">
        <v>458</v>
      </c>
      <c r="OV15" t="s">
        <v>3665</v>
      </c>
      <c r="OW15">
        <v>10.178605079650881</v>
      </c>
      <c r="OX15">
        <v>405</v>
      </c>
      <c r="OY15" s="3"/>
      <c r="OZ15">
        <f t="shared" si="69"/>
        <v>11</v>
      </c>
      <c r="PA15" t="s">
        <v>926</v>
      </c>
      <c r="PB15" t="s">
        <v>3666</v>
      </c>
      <c r="PC15">
        <v>4.4071426391601563</v>
      </c>
      <c r="PD15">
        <v>482</v>
      </c>
      <c r="PE15" s="2"/>
      <c r="PF15">
        <f t="shared" si="70"/>
        <v>20</v>
      </c>
      <c r="PG15" t="s">
        <v>1758</v>
      </c>
      <c r="PH15" t="s">
        <v>3667</v>
      </c>
      <c r="PI15">
        <v>3.5543143749237061</v>
      </c>
      <c r="PJ15">
        <v>378</v>
      </c>
      <c r="PK15" s="3"/>
      <c r="PL15">
        <f t="shared" si="71"/>
        <v>7</v>
      </c>
      <c r="PM15" t="s">
        <v>3</v>
      </c>
      <c r="PN15" t="s">
        <v>3668</v>
      </c>
      <c r="PO15">
        <v>3.5730311870574951</v>
      </c>
      <c r="PP15">
        <v>492</v>
      </c>
      <c r="PQ15" s="2"/>
      <c r="PR15">
        <f t="shared" si="72"/>
        <v>23</v>
      </c>
      <c r="PS15" t="s">
        <v>3341</v>
      </c>
      <c r="PT15" t="s">
        <v>3669</v>
      </c>
      <c r="PU15">
        <v>6.7640974521636963</v>
      </c>
      <c r="PV15">
        <v>365</v>
      </c>
      <c r="PW15" s="3"/>
      <c r="PX15">
        <f t="shared" si="73"/>
        <v>14</v>
      </c>
      <c r="PY15" t="s">
        <v>3670</v>
      </c>
      <c r="PZ15" t="s">
        <v>3671</v>
      </c>
      <c r="QA15">
        <v>3.5600070953369141</v>
      </c>
      <c r="QB15">
        <v>455</v>
      </c>
      <c r="QC15" s="2"/>
      <c r="QD15">
        <f t="shared" si="74"/>
        <v>19</v>
      </c>
      <c r="QE15" t="s">
        <v>3093</v>
      </c>
      <c r="QF15" t="s">
        <v>3672</v>
      </c>
      <c r="QG15">
        <v>57.87883448600769</v>
      </c>
      <c r="QH15">
        <v>305</v>
      </c>
      <c r="QI15" s="3"/>
      <c r="QJ15">
        <f t="shared" si="75"/>
        <v>26</v>
      </c>
      <c r="QK15" t="s">
        <v>600</v>
      </c>
      <c r="QL15" t="s">
        <v>3673</v>
      </c>
      <c r="QM15">
        <v>8.5881621837615967</v>
      </c>
      <c r="QN15">
        <v>420</v>
      </c>
      <c r="QO15" s="2"/>
      <c r="QP15">
        <f t="shared" si="76"/>
        <v>42</v>
      </c>
      <c r="QQ15" t="s">
        <v>3674</v>
      </c>
      <c r="QR15" t="s">
        <v>3675</v>
      </c>
      <c r="QS15">
        <v>17.580645322799679</v>
      </c>
      <c r="QT15">
        <v>263</v>
      </c>
      <c r="QU15" s="3"/>
      <c r="QV15">
        <f t="shared" si="77"/>
        <v>17</v>
      </c>
      <c r="QW15" t="s">
        <v>3676</v>
      </c>
      <c r="QX15" t="s">
        <v>3677</v>
      </c>
      <c r="QY15">
        <v>16.479260683059689</v>
      </c>
      <c r="QZ15">
        <v>284</v>
      </c>
      <c r="RA15" s="2"/>
      <c r="RB15">
        <f t="shared" si="78"/>
        <v>32</v>
      </c>
      <c r="RC15" t="s">
        <v>623</v>
      </c>
      <c r="RD15" t="s">
        <v>3678</v>
      </c>
      <c r="RE15">
        <v>15.08639788627625</v>
      </c>
      <c r="RF15">
        <v>349</v>
      </c>
      <c r="RG15" s="3"/>
      <c r="RH15">
        <f t="shared" si="79"/>
        <v>58</v>
      </c>
      <c r="RI15" t="s">
        <v>3679</v>
      </c>
      <c r="RJ15" t="s">
        <v>3680</v>
      </c>
      <c r="RK15">
        <v>262.92314767837519</v>
      </c>
      <c r="RL15">
        <v>363</v>
      </c>
      <c r="RM15" s="2"/>
      <c r="RN15">
        <f t="shared" si="80"/>
        <v>15</v>
      </c>
      <c r="RO15" t="s">
        <v>436</v>
      </c>
      <c r="RP15" t="s">
        <v>3681</v>
      </c>
      <c r="RQ15">
        <v>4.3439292907714844</v>
      </c>
      <c r="RR15">
        <v>349</v>
      </c>
      <c r="RS15" s="3"/>
      <c r="RT15">
        <f t="shared" si="81"/>
        <v>26</v>
      </c>
      <c r="RU15" t="s">
        <v>2619</v>
      </c>
      <c r="RV15" t="s">
        <v>3682</v>
      </c>
      <c r="RW15">
        <v>82.681776285171509</v>
      </c>
      <c r="RX15">
        <v>454</v>
      </c>
      <c r="RY15" s="2"/>
      <c r="RZ15">
        <f t="shared" si="82"/>
        <v>34</v>
      </c>
      <c r="SA15" t="s">
        <v>3683</v>
      </c>
      <c r="SB15" t="s">
        <v>3684</v>
      </c>
      <c r="SC15">
        <v>25.002601385116581</v>
      </c>
      <c r="SD15">
        <v>278</v>
      </c>
      <c r="SE15" s="3"/>
      <c r="SF15">
        <f t="shared" si="83"/>
        <v>21</v>
      </c>
      <c r="SG15" t="s">
        <v>3685</v>
      </c>
      <c r="SH15" t="s">
        <v>3686</v>
      </c>
      <c r="SI15">
        <v>10.641195297241209</v>
      </c>
      <c r="SJ15">
        <v>376</v>
      </c>
      <c r="SK15" s="2"/>
      <c r="SL15">
        <f t="shared" si="84"/>
        <v>11</v>
      </c>
      <c r="SM15" t="s">
        <v>3687</v>
      </c>
      <c r="SN15" t="s">
        <v>3688</v>
      </c>
      <c r="SO15">
        <v>3.500015497207642</v>
      </c>
      <c r="SP15">
        <v>356</v>
      </c>
      <c r="SQ15" s="3"/>
      <c r="SR15">
        <f t="shared" si="85"/>
        <v>16</v>
      </c>
      <c r="SS15" t="s">
        <v>567</v>
      </c>
      <c r="ST15" t="s">
        <v>3689</v>
      </c>
      <c r="SU15">
        <v>6.5992422103881836</v>
      </c>
      <c r="SV15">
        <v>385</v>
      </c>
      <c r="SW15" s="4"/>
      <c r="SX15">
        <f t="shared" si="86"/>
        <v>27</v>
      </c>
      <c r="SY15" t="s">
        <v>3690</v>
      </c>
      <c r="SZ15" t="s">
        <v>3691</v>
      </c>
      <c r="TA15">
        <v>21.7832658290863</v>
      </c>
      <c r="TB15">
        <v>450</v>
      </c>
      <c r="TC15" s="5"/>
      <c r="TD15">
        <f t="shared" si="87"/>
        <v>20</v>
      </c>
      <c r="TE15" t="s">
        <v>1626</v>
      </c>
      <c r="TF15" t="s">
        <v>3692</v>
      </c>
      <c r="TG15">
        <v>8.4683761596679688</v>
      </c>
      <c r="TH15">
        <v>347</v>
      </c>
      <c r="TI15" s="2"/>
      <c r="TJ15">
        <f t="shared" si="88"/>
        <v>44</v>
      </c>
      <c r="TK15" t="s">
        <v>3693</v>
      </c>
      <c r="TL15" t="s">
        <v>3694</v>
      </c>
      <c r="TM15">
        <v>17.369936227798458</v>
      </c>
      <c r="TN15">
        <v>483</v>
      </c>
      <c r="TO15" s="5"/>
      <c r="TP15">
        <f t="shared" si="89"/>
        <v>10</v>
      </c>
      <c r="TQ15" t="s">
        <v>987</v>
      </c>
      <c r="TR15" t="s">
        <v>3695</v>
      </c>
      <c r="TS15">
        <v>3.528362512588501</v>
      </c>
      <c r="TT15">
        <v>386</v>
      </c>
      <c r="TU15" s="2"/>
      <c r="TV15">
        <f t="shared" si="90"/>
        <v>19</v>
      </c>
      <c r="TW15" t="s">
        <v>3696</v>
      </c>
      <c r="TX15" t="s">
        <v>3697</v>
      </c>
      <c r="TY15">
        <v>7.437882661819458</v>
      </c>
      <c r="TZ15">
        <v>334</v>
      </c>
      <c r="UA15" s="5"/>
      <c r="UB15">
        <f t="shared" si="91"/>
        <v>33</v>
      </c>
      <c r="UC15" t="s">
        <v>3698</v>
      </c>
      <c r="UD15" t="s">
        <v>3699</v>
      </c>
      <c r="UE15">
        <v>11.394680976867679</v>
      </c>
      <c r="UF15">
        <v>411</v>
      </c>
      <c r="UG15" s="2"/>
      <c r="UH15">
        <f t="shared" si="92"/>
        <v>25</v>
      </c>
      <c r="UI15" t="s">
        <v>3700</v>
      </c>
      <c r="UJ15" t="s">
        <v>3701</v>
      </c>
      <c r="UK15">
        <v>12.46331882476807</v>
      </c>
      <c r="UL15">
        <v>421</v>
      </c>
      <c r="UM15" s="5"/>
      <c r="UN15">
        <f t="shared" si="93"/>
        <v>19</v>
      </c>
      <c r="UO15" t="s">
        <v>3702</v>
      </c>
      <c r="UP15" t="s">
        <v>3703</v>
      </c>
      <c r="UQ15">
        <v>4.9504044055938721</v>
      </c>
      <c r="UR15">
        <v>464</v>
      </c>
      <c r="US15" s="2"/>
      <c r="UT15">
        <f t="shared" si="94"/>
        <v>16</v>
      </c>
      <c r="UU15" t="s">
        <v>3704</v>
      </c>
      <c r="UV15" t="s">
        <v>3705</v>
      </c>
      <c r="UW15">
        <v>4.539609432220459</v>
      </c>
      <c r="UX15">
        <v>446</v>
      </c>
      <c r="UY15" s="5"/>
      <c r="UZ15">
        <f t="shared" si="95"/>
        <v>12</v>
      </c>
      <c r="VA15" t="s">
        <v>657</v>
      </c>
      <c r="VB15" t="s">
        <v>3706</v>
      </c>
      <c r="VC15">
        <v>4.0164635181427002</v>
      </c>
      <c r="VD15">
        <v>488</v>
      </c>
      <c r="VE15" s="2"/>
      <c r="VF15">
        <f t="shared" si="96"/>
        <v>24</v>
      </c>
      <c r="VG15" t="s">
        <v>3707</v>
      </c>
      <c r="VH15" t="s">
        <v>3708</v>
      </c>
      <c r="VI15">
        <v>20.433179140090939</v>
      </c>
      <c r="VJ15">
        <v>362</v>
      </c>
      <c r="VK15" s="5"/>
      <c r="VL15">
        <f t="shared" si="97"/>
        <v>91</v>
      </c>
      <c r="VM15" t="s">
        <v>3709</v>
      </c>
      <c r="VN15" t="s">
        <v>3710</v>
      </c>
      <c r="VO15">
        <v>193.2752077579498</v>
      </c>
      <c r="VP15">
        <v>446</v>
      </c>
      <c r="VQ15" s="2"/>
      <c r="VR15">
        <f t="shared" si="98"/>
        <v>18</v>
      </c>
      <c r="VS15" t="s">
        <v>20</v>
      </c>
      <c r="VT15" t="s">
        <v>3711</v>
      </c>
      <c r="VU15">
        <v>4.5617275238037109</v>
      </c>
      <c r="VV15">
        <v>358</v>
      </c>
      <c r="VW15" s="5"/>
      <c r="VX15">
        <f t="shared" si="99"/>
        <v>14</v>
      </c>
      <c r="VY15" t="s">
        <v>800</v>
      </c>
      <c r="VZ15" t="s">
        <v>3712</v>
      </c>
      <c r="WA15">
        <v>9.5087883472442627</v>
      </c>
      <c r="WB15">
        <v>387</v>
      </c>
      <c r="WC15" s="2"/>
      <c r="WD15">
        <f t="shared" si="100"/>
        <v>27</v>
      </c>
      <c r="WE15" t="s">
        <v>3713</v>
      </c>
      <c r="WF15" t="s">
        <v>3714</v>
      </c>
      <c r="WG15">
        <v>11.760145902633671</v>
      </c>
      <c r="WH15">
        <v>398</v>
      </c>
      <c r="WI15" s="5"/>
      <c r="WJ15">
        <f t="shared" si="101"/>
        <v>24</v>
      </c>
      <c r="WK15" t="s">
        <v>3715</v>
      </c>
      <c r="WL15" t="s">
        <v>3716</v>
      </c>
      <c r="WM15">
        <v>111.5508148670197</v>
      </c>
      <c r="WN15">
        <v>442</v>
      </c>
      <c r="WO15" s="2"/>
      <c r="WP15">
        <f t="shared" si="102"/>
        <v>84</v>
      </c>
      <c r="WQ15" t="s">
        <v>3717</v>
      </c>
      <c r="WR15" t="s">
        <v>3718</v>
      </c>
      <c r="WS15">
        <v>11.895638465881349</v>
      </c>
      <c r="WT15">
        <v>396</v>
      </c>
      <c r="WU15" s="5"/>
      <c r="WV15">
        <f t="shared" si="103"/>
        <v>8</v>
      </c>
      <c r="WW15" t="s">
        <v>647</v>
      </c>
      <c r="WX15" t="s">
        <v>3719</v>
      </c>
      <c r="WY15">
        <v>17.22163891792297</v>
      </c>
      <c r="WZ15">
        <v>333</v>
      </c>
      <c r="XA15" s="2"/>
      <c r="XB15">
        <f t="shared" si="104"/>
        <v>29</v>
      </c>
      <c r="XC15" t="s">
        <v>3720</v>
      </c>
      <c r="XD15" t="s">
        <v>3721</v>
      </c>
      <c r="XE15">
        <v>8.8124995231628418</v>
      </c>
      <c r="XF15">
        <v>429</v>
      </c>
      <c r="XG15" s="5"/>
      <c r="XH15">
        <f t="shared" si="105"/>
        <v>23</v>
      </c>
      <c r="XI15" t="s">
        <v>3150</v>
      </c>
      <c r="XJ15" t="s">
        <v>3722</v>
      </c>
      <c r="XK15">
        <v>8.2093634605407715</v>
      </c>
      <c r="XL15">
        <v>434</v>
      </c>
      <c r="XM15" s="2"/>
      <c r="XN15">
        <f t="shared" si="106"/>
        <v>19</v>
      </c>
      <c r="XO15" t="s">
        <v>44</v>
      </c>
      <c r="XP15" t="s">
        <v>3723</v>
      </c>
      <c r="XQ15">
        <v>12.584579467773439</v>
      </c>
      <c r="XR15">
        <v>359</v>
      </c>
      <c r="XS15" s="5"/>
      <c r="XT15">
        <f t="shared" si="107"/>
        <v>16</v>
      </c>
      <c r="XU15" t="s">
        <v>3724</v>
      </c>
      <c r="XV15" t="s">
        <v>3725</v>
      </c>
      <c r="XW15">
        <v>5.2703981399536133</v>
      </c>
      <c r="XX15">
        <v>637</v>
      </c>
      <c r="XY15" s="2"/>
      <c r="XZ15">
        <f t="shared" si="108"/>
        <v>39</v>
      </c>
      <c r="YA15" t="s">
        <v>3726</v>
      </c>
      <c r="YB15" t="s">
        <v>3727</v>
      </c>
      <c r="YC15">
        <v>293.96215415000921</v>
      </c>
      <c r="YD15">
        <v>359</v>
      </c>
      <c r="YE15" s="5"/>
      <c r="YF15">
        <f t="shared" si="109"/>
        <v>15</v>
      </c>
      <c r="YG15" t="s">
        <v>2110</v>
      </c>
      <c r="YH15" t="s">
        <v>3728</v>
      </c>
      <c r="YI15">
        <v>10.22837972640991</v>
      </c>
      <c r="YJ15">
        <v>286</v>
      </c>
      <c r="YK15" s="2"/>
      <c r="YL15">
        <f t="shared" si="110"/>
        <v>23</v>
      </c>
      <c r="YM15" t="s">
        <v>989</v>
      </c>
      <c r="YN15" t="s">
        <v>3729</v>
      </c>
      <c r="YO15">
        <v>4.1420717239379883</v>
      </c>
      <c r="YP15">
        <v>399</v>
      </c>
      <c r="YQ15" s="5"/>
      <c r="YR15">
        <f t="shared" si="111"/>
        <v>17</v>
      </c>
      <c r="YS15" t="s">
        <v>1640</v>
      </c>
      <c r="YT15" t="s">
        <v>3730</v>
      </c>
      <c r="YU15">
        <v>6.8934578895568848</v>
      </c>
      <c r="YV15">
        <v>490</v>
      </c>
      <c r="YW15" s="2"/>
      <c r="YX15">
        <f t="shared" si="112"/>
        <v>16</v>
      </c>
      <c r="YY15" t="s">
        <v>3341</v>
      </c>
      <c r="YZ15" t="s">
        <v>3731</v>
      </c>
      <c r="ZA15">
        <v>5.8347883224487296</v>
      </c>
      <c r="ZB15">
        <v>500</v>
      </c>
      <c r="ZC15" s="5"/>
      <c r="ZD15">
        <f t="shared" si="113"/>
        <v>0</v>
      </c>
      <c r="ZF15" t="s">
        <v>3641</v>
      </c>
      <c r="ZG15">
        <v>2.9684755802154541</v>
      </c>
      <c r="ZH15">
        <v>368</v>
      </c>
      <c r="ZI15" s="2"/>
      <c r="ZJ15">
        <f t="shared" si="114"/>
        <v>18</v>
      </c>
      <c r="ZK15" t="s">
        <v>3732</v>
      </c>
      <c r="ZL15" t="s">
        <v>3733</v>
      </c>
      <c r="ZM15">
        <v>9.8421313762664795</v>
      </c>
      <c r="ZN15">
        <v>473</v>
      </c>
      <c r="ZO15" s="5"/>
      <c r="ZP15">
        <f t="shared" si="115"/>
        <v>11</v>
      </c>
      <c r="ZQ15" t="s">
        <v>3734</v>
      </c>
      <c r="ZR15" t="s">
        <v>3735</v>
      </c>
      <c r="ZS15">
        <v>5.9354815483093262</v>
      </c>
      <c r="ZT15">
        <v>358</v>
      </c>
      <c r="ZU15" s="2"/>
      <c r="ZV15">
        <f t="shared" si="116"/>
        <v>22</v>
      </c>
      <c r="ZW15" t="s">
        <v>536</v>
      </c>
      <c r="ZX15" t="s">
        <v>3736</v>
      </c>
      <c r="ZY15">
        <v>5.1521282196044922</v>
      </c>
      <c r="ZZ15">
        <v>481</v>
      </c>
      <c r="AAA15" s="5"/>
      <c r="AAB15">
        <f t="shared" si="117"/>
        <v>27</v>
      </c>
      <c r="AAC15" t="s">
        <v>3737</v>
      </c>
      <c r="AAD15" t="s">
        <v>3738</v>
      </c>
      <c r="AAE15">
        <v>10.391021013259889</v>
      </c>
      <c r="AAF15">
        <v>470</v>
      </c>
      <c r="AAG15" s="2"/>
      <c r="AAH15">
        <f t="shared" si="118"/>
        <v>15</v>
      </c>
      <c r="AAI15" t="s">
        <v>1423</v>
      </c>
      <c r="AAJ15" t="s">
        <v>3739</v>
      </c>
      <c r="AAK15">
        <v>9.3715987205505371</v>
      </c>
      <c r="AAL15">
        <v>417</v>
      </c>
      <c r="AAM15" s="5"/>
      <c r="AAN15">
        <f t="shared" si="119"/>
        <v>13</v>
      </c>
      <c r="AAO15" t="s">
        <v>1229</v>
      </c>
      <c r="AAP15" t="s">
        <v>3740</v>
      </c>
      <c r="AAQ15">
        <v>21.33855056762695</v>
      </c>
      <c r="AAR15">
        <v>361</v>
      </c>
      <c r="AAS15" s="2"/>
      <c r="AAT15">
        <f t="shared" si="120"/>
        <v>18</v>
      </c>
      <c r="AAU15" t="s">
        <v>382</v>
      </c>
      <c r="AAV15" t="s">
        <v>3741</v>
      </c>
      <c r="AAW15">
        <v>8.1704947948455811</v>
      </c>
      <c r="AAX15">
        <v>452</v>
      </c>
      <c r="AAY15" s="5"/>
      <c r="AAZ15">
        <f t="shared" si="121"/>
        <v>7</v>
      </c>
      <c r="ABA15" t="s">
        <v>2821</v>
      </c>
      <c r="ABB15" t="s">
        <v>3742</v>
      </c>
      <c r="ABC15">
        <v>5.701383113861084</v>
      </c>
      <c r="ABD15">
        <v>240</v>
      </c>
      <c r="ABE15" s="2"/>
      <c r="ABF15">
        <f t="shared" si="122"/>
        <v>28</v>
      </c>
      <c r="ABG15" t="s">
        <v>1003</v>
      </c>
      <c r="ABH15" t="s">
        <v>3743</v>
      </c>
      <c r="ABI15">
        <v>10.445095062255859</v>
      </c>
      <c r="ABJ15">
        <v>514</v>
      </c>
      <c r="ABK15" s="5"/>
      <c r="ABL15">
        <f t="shared" si="123"/>
        <v>29</v>
      </c>
      <c r="ABM15" t="s">
        <v>3744</v>
      </c>
      <c r="ABN15" t="s">
        <v>3745</v>
      </c>
      <c r="ABO15">
        <v>8.1131172180175781</v>
      </c>
      <c r="ABP15">
        <v>342</v>
      </c>
      <c r="ABQ15" s="2"/>
      <c r="ABR15">
        <f t="shared" si="124"/>
        <v>20</v>
      </c>
      <c r="ABS15" t="s">
        <v>2194</v>
      </c>
      <c r="ABT15" t="s">
        <v>3746</v>
      </c>
      <c r="ABU15">
        <v>32.635330438613892</v>
      </c>
      <c r="ABV15">
        <v>370</v>
      </c>
      <c r="ABW15" s="5"/>
      <c r="ABX15">
        <f t="shared" si="125"/>
        <v>29</v>
      </c>
      <c r="ABY15" t="s">
        <v>3747</v>
      </c>
      <c r="ABZ15" t="s">
        <v>3748</v>
      </c>
      <c r="ACA15">
        <v>9.6011395454406738</v>
      </c>
      <c r="ACB15">
        <v>434</v>
      </c>
      <c r="ACC15" s="2"/>
      <c r="ACD15">
        <f t="shared" si="126"/>
        <v>25</v>
      </c>
      <c r="ACE15" t="s">
        <v>3585</v>
      </c>
      <c r="ACF15" t="s">
        <v>3749</v>
      </c>
      <c r="ACG15">
        <v>5.4078638553619376</v>
      </c>
      <c r="ACH15">
        <v>272</v>
      </c>
      <c r="ACI15" s="5"/>
      <c r="ACJ15">
        <f t="shared" si="127"/>
        <v>27</v>
      </c>
      <c r="ACK15" t="s">
        <v>3750</v>
      </c>
      <c r="ACL15" t="s">
        <v>3751</v>
      </c>
      <c r="ACM15">
        <v>13.516329765319821</v>
      </c>
      <c r="ACN15">
        <v>390</v>
      </c>
      <c r="ACO15" s="2"/>
      <c r="ACP15">
        <f t="shared" si="128"/>
        <v>27</v>
      </c>
      <c r="ACQ15" t="s">
        <v>3307</v>
      </c>
      <c r="ACR15" t="s">
        <v>3752</v>
      </c>
      <c r="ACS15">
        <v>6.4494447708129883</v>
      </c>
      <c r="ACT15">
        <v>273</v>
      </c>
      <c r="ACU15" s="5"/>
      <c r="ACV15">
        <f t="shared" si="129"/>
        <v>42</v>
      </c>
      <c r="ACW15" t="s">
        <v>3753</v>
      </c>
      <c r="ACX15" t="s">
        <v>3754</v>
      </c>
      <c r="ACY15">
        <v>13.594523429870611</v>
      </c>
      <c r="ACZ15">
        <v>293</v>
      </c>
      <c r="ADA15" s="2"/>
      <c r="ADB15">
        <f t="shared" si="130"/>
        <v>48</v>
      </c>
      <c r="ADC15" t="s">
        <v>3755</v>
      </c>
      <c r="ADD15" t="s">
        <v>3756</v>
      </c>
      <c r="ADE15">
        <v>20.966582536697391</v>
      </c>
      <c r="ADF15">
        <v>438</v>
      </c>
      <c r="ADG15" s="5"/>
      <c r="ADH15">
        <f t="shared" si="131"/>
        <v>25</v>
      </c>
      <c r="ADI15" t="s">
        <v>1179</v>
      </c>
      <c r="ADJ15" t="s">
        <v>3757</v>
      </c>
      <c r="ADK15">
        <v>21.989128589630131</v>
      </c>
      <c r="ADL15">
        <v>430</v>
      </c>
      <c r="ADM15" s="2"/>
      <c r="ADP15" t="s">
        <v>3758</v>
      </c>
      <c r="ADR15">
        <v>367</v>
      </c>
      <c r="ADX15">
        <v>494</v>
      </c>
      <c r="ADZ15">
        <f t="shared" si="134"/>
        <v>11</v>
      </c>
      <c r="AEA15" t="s">
        <v>877</v>
      </c>
      <c r="AEB15" t="s">
        <v>3759</v>
      </c>
      <c r="AEC15">
        <v>5.8756194114685059</v>
      </c>
      <c r="AED15">
        <v>446</v>
      </c>
      <c r="AEE15" s="5"/>
      <c r="AEF15">
        <f t="shared" si="135"/>
        <v>8</v>
      </c>
      <c r="AEG15" t="s">
        <v>3331</v>
      </c>
      <c r="AEH15" t="s">
        <v>3760</v>
      </c>
      <c r="AEI15">
        <v>3.9306340217590332</v>
      </c>
      <c r="AEJ15">
        <v>444</v>
      </c>
      <c r="AEK15" s="2"/>
      <c r="AEL15">
        <f t="shared" si="136"/>
        <v>17</v>
      </c>
      <c r="AEM15" t="s">
        <v>2707</v>
      </c>
      <c r="AEN15" t="s">
        <v>3761</v>
      </c>
      <c r="AEO15">
        <v>5.3969805240631104</v>
      </c>
      <c r="AEP15">
        <v>421</v>
      </c>
      <c r="AEQ15" s="5"/>
      <c r="AER15">
        <f t="shared" si="137"/>
        <v>4</v>
      </c>
      <c r="AES15" t="s">
        <v>20</v>
      </c>
      <c r="AET15" t="s">
        <v>3762</v>
      </c>
      <c r="AEU15">
        <v>3.186660528182983</v>
      </c>
      <c r="AEV15">
        <v>396</v>
      </c>
      <c r="AEW15" s="2"/>
      <c r="AEX15">
        <f t="shared" si="138"/>
        <v>17</v>
      </c>
      <c r="AEY15" t="s">
        <v>3487</v>
      </c>
      <c r="AEZ15" t="s">
        <v>3763</v>
      </c>
      <c r="AFA15">
        <v>6.0149176120758057</v>
      </c>
      <c r="AFB15">
        <v>415</v>
      </c>
      <c r="AFC15" s="5"/>
      <c r="AFD15">
        <f t="shared" si="139"/>
        <v>15</v>
      </c>
      <c r="AFE15" t="s">
        <v>3764</v>
      </c>
      <c r="AFF15" t="s">
        <v>3765</v>
      </c>
      <c r="AFG15">
        <v>9.9554362297058105</v>
      </c>
      <c r="AFH15">
        <v>342</v>
      </c>
      <c r="AFI15" s="2"/>
      <c r="AFJ15">
        <f t="shared" si="140"/>
        <v>36</v>
      </c>
      <c r="AFK15" t="s">
        <v>3766</v>
      </c>
      <c r="AFL15" t="s">
        <v>3767</v>
      </c>
      <c r="AFM15">
        <v>16.670189142227169</v>
      </c>
      <c r="AFN15">
        <v>462</v>
      </c>
      <c r="AFO15" s="5"/>
      <c r="AFP15">
        <f t="shared" si="141"/>
        <v>39</v>
      </c>
      <c r="AFQ15" t="s">
        <v>3768</v>
      </c>
      <c r="AFR15" t="s">
        <v>3769</v>
      </c>
      <c r="AFS15">
        <v>34.448039531707757</v>
      </c>
      <c r="AFT15">
        <v>357</v>
      </c>
      <c r="AFU15" s="2"/>
      <c r="AFV15">
        <f t="shared" si="142"/>
        <v>38</v>
      </c>
      <c r="AFW15" t="s">
        <v>3770</v>
      </c>
      <c r="AFX15" t="s">
        <v>3771</v>
      </c>
      <c r="AFY15">
        <v>7.191774845123291</v>
      </c>
      <c r="AFZ15">
        <v>371</v>
      </c>
      <c r="AGA15" s="5"/>
      <c r="AGB15">
        <f t="shared" si="143"/>
        <v>34</v>
      </c>
      <c r="AGC15" t="s">
        <v>3772</v>
      </c>
      <c r="AGD15" t="s">
        <v>3773</v>
      </c>
      <c r="AGE15">
        <v>15.59662294387817</v>
      </c>
      <c r="AGF15">
        <v>366</v>
      </c>
      <c r="AGG15" s="2"/>
      <c r="AGH15">
        <f t="shared" si="144"/>
        <v>28</v>
      </c>
      <c r="AGI15" t="s">
        <v>3774</v>
      </c>
      <c r="AGJ15" t="s">
        <v>3775</v>
      </c>
      <c r="AGK15">
        <v>12.36816930770874</v>
      </c>
      <c r="AGL15">
        <v>520</v>
      </c>
      <c r="AGM15" s="5"/>
      <c r="AGN15">
        <f t="shared" si="145"/>
        <v>16</v>
      </c>
      <c r="AGO15" t="s">
        <v>3776</v>
      </c>
      <c r="AGP15" t="s">
        <v>3777</v>
      </c>
      <c r="AGQ15">
        <v>5.0957541465759277</v>
      </c>
      <c r="AGR15">
        <v>419</v>
      </c>
      <c r="AGS15" s="2"/>
      <c r="AGT15">
        <f t="shared" si="146"/>
        <v>27</v>
      </c>
      <c r="AGU15" t="s">
        <v>3341</v>
      </c>
      <c r="AGV15" t="s">
        <v>3778</v>
      </c>
      <c r="AGW15">
        <v>15.160202503204349</v>
      </c>
      <c r="AGX15">
        <v>399</v>
      </c>
      <c r="AGY15" s="5"/>
      <c r="AGZ15">
        <f t="shared" si="147"/>
        <v>15</v>
      </c>
      <c r="AHA15" t="s">
        <v>3779</v>
      </c>
      <c r="AHB15" t="s">
        <v>3780</v>
      </c>
      <c r="AHC15">
        <v>4.9272329807281494</v>
      </c>
      <c r="AHD15">
        <v>492</v>
      </c>
      <c r="AHE15" s="2"/>
      <c r="AHF15">
        <f t="shared" si="148"/>
        <v>20</v>
      </c>
      <c r="AHG15" t="s">
        <v>382</v>
      </c>
      <c r="AHH15" t="s">
        <v>3781</v>
      </c>
      <c r="AHI15">
        <v>7.7616841793060303</v>
      </c>
      <c r="AHJ15">
        <v>389</v>
      </c>
      <c r="AHK15" s="5"/>
      <c r="AHL15">
        <f t="shared" si="149"/>
        <v>32</v>
      </c>
      <c r="AHM15" t="s">
        <v>1358</v>
      </c>
      <c r="AHN15" t="s">
        <v>3782</v>
      </c>
      <c r="AHO15">
        <v>8.0319168567657471</v>
      </c>
      <c r="AHP15">
        <v>348</v>
      </c>
      <c r="AHQ15" s="2"/>
      <c r="AHR15">
        <f t="shared" si="150"/>
        <v>22</v>
      </c>
      <c r="AHS15" t="s">
        <v>3783</v>
      </c>
      <c r="AHT15" t="s">
        <v>3784</v>
      </c>
      <c r="AHU15">
        <v>10.82564640045166</v>
      </c>
      <c r="AHV15">
        <v>440</v>
      </c>
      <c r="AHW15" s="5"/>
      <c r="AHX15">
        <f t="shared" si="151"/>
        <v>50</v>
      </c>
      <c r="AHY15" t="s">
        <v>3785</v>
      </c>
      <c r="AHZ15" t="s">
        <v>3786</v>
      </c>
      <c r="AIA15">
        <v>102.38727211952209</v>
      </c>
      <c r="AIB15">
        <v>298</v>
      </c>
      <c r="AIC15" s="2"/>
      <c r="AID15">
        <f t="shared" si="152"/>
        <v>19</v>
      </c>
      <c r="AIE15" t="s">
        <v>3787</v>
      </c>
      <c r="AIF15" t="s">
        <v>3788</v>
      </c>
      <c r="AIG15">
        <v>16.59685134887695</v>
      </c>
      <c r="AIH15">
        <v>364</v>
      </c>
      <c r="AII15" s="5"/>
      <c r="AIJ15">
        <f t="shared" si="153"/>
        <v>54</v>
      </c>
      <c r="AIK15" t="s">
        <v>3789</v>
      </c>
      <c r="AIL15" t="s">
        <v>3790</v>
      </c>
      <c r="AIM15">
        <v>54.919460296630859</v>
      </c>
      <c r="AIN15">
        <v>353</v>
      </c>
      <c r="AIO15" s="2"/>
      <c r="AIP15">
        <f t="shared" si="154"/>
        <v>44</v>
      </c>
      <c r="AIQ15" t="s">
        <v>3791</v>
      </c>
      <c r="AIR15" t="s">
        <v>3792</v>
      </c>
      <c r="AIS15">
        <v>26.448143720626831</v>
      </c>
      <c r="AIT15">
        <v>388</v>
      </c>
      <c r="AIU15" s="5"/>
      <c r="AIV15">
        <f t="shared" si="155"/>
        <v>10</v>
      </c>
      <c r="AIW15" t="s">
        <v>3793</v>
      </c>
      <c r="AIX15" t="s">
        <v>3794</v>
      </c>
      <c r="AIY15">
        <v>3.4538033008575439</v>
      </c>
      <c r="AIZ15">
        <v>447</v>
      </c>
      <c r="AJA15" s="2"/>
      <c r="AJB15">
        <f t="shared" si="156"/>
        <v>10</v>
      </c>
      <c r="AJC15" t="s">
        <v>3795</v>
      </c>
      <c r="AJD15" t="s">
        <v>3796</v>
      </c>
      <c r="AJE15">
        <v>3.8653311729431148</v>
      </c>
      <c r="AJF15">
        <v>575</v>
      </c>
      <c r="AJG15" s="5"/>
      <c r="AJH15">
        <f t="shared" si="157"/>
        <v>7</v>
      </c>
      <c r="AJI15" t="s">
        <v>1638</v>
      </c>
      <c r="AJJ15" t="s">
        <v>3797</v>
      </c>
      <c r="AJK15">
        <v>3.476824283599854</v>
      </c>
      <c r="AJL15">
        <v>394</v>
      </c>
      <c r="AJM15" s="2"/>
      <c r="AJN15">
        <f t="shared" si="158"/>
        <v>14</v>
      </c>
      <c r="AJO15" t="s">
        <v>3798</v>
      </c>
      <c r="AJP15" t="s">
        <v>3799</v>
      </c>
      <c r="AJQ15">
        <v>6.2052288055419922</v>
      </c>
      <c r="AJR15">
        <v>457</v>
      </c>
      <c r="AJS15" s="5"/>
      <c r="AJT15">
        <f t="shared" si="159"/>
        <v>9</v>
      </c>
      <c r="AJU15" t="s">
        <v>800</v>
      </c>
      <c r="AJV15" t="s">
        <v>3800</v>
      </c>
      <c r="AJW15">
        <v>3.7560009956359859</v>
      </c>
      <c r="AJX15">
        <v>442</v>
      </c>
      <c r="AJY15" s="2"/>
      <c r="AJZ15">
        <f t="shared" si="160"/>
        <v>25</v>
      </c>
      <c r="AKA15" t="s">
        <v>201</v>
      </c>
      <c r="AKB15" t="s">
        <v>3801</v>
      </c>
      <c r="AKC15">
        <v>11.611268520355219</v>
      </c>
      <c r="AKD15">
        <v>333</v>
      </c>
      <c r="AKE15" s="5"/>
      <c r="AKF15">
        <f t="shared" si="161"/>
        <v>8</v>
      </c>
      <c r="AKG15" t="s">
        <v>1136</v>
      </c>
      <c r="AKH15" t="s">
        <v>3802</v>
      </c>
      <c r="AKI15">
        <v>13.754441499710079</v>
      </c>
      <c r="AKJ15">
        <v>376</v>
      </c>
      <c r="AKK15" s="2"/>
      <c r="AKL15">
        <f t="shared" si="162"/>
        <v>18</v>
      </c>
      <c r="AKM15" t="s">
        <v>2468</v>
      </c>
      <c r="AKN15" t="s">
        <v>3803</v>
      </c>
      <c r="AKO15">
        <v>4.6936321258544922</v>
      </c>
      <c r="AKP15">
        <v>356</v>
      </c>
      <c r="AKQ15" s="5"/>
      <c r="AKR15">
        <f t="shared" si="163"/>
        <v>7</v>
      </c>
      <c r="AKS15" t="s">
        <v>1891</v>
      </c>
      <c r="AKT15" t="s">
        <v>3804</v>
      </c>
      <c r="AKU15">
        <v>14.85147929191589</v>
      </c>
      <c r="AKV15">
        <v>422</v>
      </c>
      <c r="AKW15" s="2"/>
      <c r="AKX15">
        <f t="shared" si="164"/>
        <v>17</v>
      </c>
      <c r="AKY15" t="s">
        <v>3770</v>
      </c>
      <c r="AKZ15" t="s">
        <v>3805</v>
      </c>
      <c r="ALA15">
        <v>3.9405002593994141</v>
      </c>
      <c r="ALB15">
        <v>520</v>
      </c>
      <c r="ALC15" s="5"/>
      <c r="ALD15">
        <f t="shared" si="165"/>
        <v>10</v>
      </c>
      <c r="ALE15" t="s">
        <v>3633</v>
      </c>
      <c r="ALF15" t="s">
        <v>3806</v>
      </c>
      <c r="ALG15">
        <v>4.0547642707824707</v>
      </c>
      <c r="ALH15">
        <v>480</v>
      </c>
      <c r="ALI15" s="2"/>
      <c r="ALJ15">
        <f t="shared" si="166"/>
        <v>37</v>
      </c>
      <c r="ALK15" t="s">
        <v>3807</v>
      </c>
      <c r="ALL15" t="s">
        <v>3808</v>
      </c>
      <c r="ALM15">
        <v>19.057256937026981</v>
      </c>
      <c r="ALN15">
        <v>420</v>
      </c>
      <c r="ALO15" s="5"/>
      <c r="ALP15">
        <f t="shared" si="167"/>
        <v>13</v>
      </c>
      <c r="ALQ15" t="s">
        <v>3809</v>
      </c>
      <c r="ALR15" t="s">
        <v>3810</v>
      </c>
      <c r="ALS15">
        <v>5.8205780982971191</v>
      </c>
      <c r="ALT15">
        <v>374</v>
      </c>
      <c r="ALU15" s="2"/>
      <c r="ALV15">
        <f t="shared" si="168"/>
        <v>22</v>
      </c>
      <c r="ALW15" t="s">
        <v>926</v>
      </c>
      <c r="ALX15" t="s">
        <v>3811</v>
      </c>
      <c r="ALY15">
        <v>5.928053617477417</v>
      </c>
      <c r="ALZ15">
        <v>473</v>
      </c>
      <c r="AMA15" s="5"/>
      <c r="AMB15">
        <f t="shared" si="169"/>
        <v>30</v>
      </c>
      <c r="AMC15" t="s">
        <v>3812</v>
      </c>
      <c r="AMD15" t="s">
        <v>3813</v>
      </c>
      <c r="AME15">
        <v>11.83515644073486</v>
      </c>
      <c r="AMF15">
        <v>374</v>
      </c>
      <c r="AMG15" s="2"/>
      <c r="AMH15">
        <f t="shared" si="170"/>
        <v>35</v>
      </c>
      <c r="AMI15" t="s">
        <v>3814</v>
      </c>
      <c r="AMJ15" t="s">
        <v>3815</v>
      </c>
      <c r="AMK15">
        <v>12.379971027374269</v>
      </c>
      <c r="AML15">
        <v>426</v>
      </c>
      <c r="AMM15" s="5"/>
      <c r="AMN15">
        <f t="shared" si="171"/>
        <v>24</v>
      </c>
      <c r="AMO15" t="s">
        <v>3039</v>
      </c>
      <c r="AMP15" t="s">
        <v>3816</v>
      </c>
      <c r="AMQ15">
        <v>6.1729972362518311</v>
      </c>
      <c r="AMR15">
        <v>395</v>
      </c>
      <c r="AMS15" s="2"/>
    </row>
    <row r="16" spans="1:1033" x14ac:dyDescent="0.25">
      <c r="A16">
        <v>14</v>
      </c>
      <c r="B16">
        <f t="shared" si="0"/>
        <v>57</v>
      </c>
      <c r="C16" t="s">
        <v>3817</v>
      </c>
      <c r="D16" t="s">
        <v>3818</v>
      </c>
      <c r="E16">
        <v>11.858479261398321</v>
      </c>
      <c r="F16">
        <v>446</v>
      </c>
      <c r="G16" s="1"/>
      <c r="H16">
        <f t="shared" si="1"/>
        <v>17</v>
      </c>
      <c r="I16" t="s">
        <v>3819</v>
      </c>
      <c r="J16" t="s">
        <v>3820</v>
      </c>
      <c r="K16">
        <v>9.8841366767883301</v>
      </c>
      <c r="L16">
        <v>388</v>
      </c>
      <c r="M16" s="2"/>
      <c r="N16">
        <f t="shared" si="2"/>
        <v>18</v>
      </c>
      <c r="O16" t="s">
        <v>1980</v>
      </c>
      <c r="P16" t="s">
        <v>3821</v>
      </c>
      <c r="Q16">
        <v>16.55784273147583</v>
      </c>
      <c r="R16">
        <v>355</v>
      </c>
      <c r="S16" s="1"/>
      <c r="T16">
        <f t="shared" si="3"/>
        <v>21</v>
      </c>
      <c r="U16" t="s">
        <v>102</v>
      </c>
      <c r="V16" t="s">
        <v>3822</v>
      </c>
      <c r="W16">
        <v>7.14689040184021</v>
      </c>
      <c r="X16">
        <v>422</v>
      </c>
      <c r="Y16" s="2"/>
      <c r="Z16">
        <f t="shared" si="4"/>
        <v>40</v>
      </c>
      <c r="AA16" t="s">
        <v>3823</v>
      </c>
      <c r="AB16" t="s">
        <v>3824</v>
      </c>
      <c r="AC16">
        <v>20.090100765228271</v>
      </c>
      <c r="AD16">
        <v>484</v>
      </c>
      <c r="AE16" s="1"/>
      <c r="AF16">
        <f t="shared" si="5"/>
        <v>18</v>
      </c>
      <c r="AG16" t="s">
        <v>3093</v>
      </c>
      <c r="AH16" t="s">
        <v>3825</v>
      </c>
      <c r="AI16">
        <v>5.0717177391052246</v>
      </c>
      <c r="AJ16">
        <v>393</v>
      </c>
      <c r="AK16" s="2"/>
      <c r="AL16">
        <f t="shared" si="6"/>
        <v>24</v>
      </c>
      <c r="AM16" t="s">
        <v>3826</v>
      </c>
      <c r="AN16" t="s">
        <v>3827</v>
      </c>
      <c r="AO16">
        <v>12.473128318786619</v>
      </c>
      <c r="AP16">
        <v>412</v>
      </c>
      <c r="AQ16" s="3"/>
      <c r="AR16">
        <f t="shared" si="7"/>
        <v>13</v>
      </c>
      <c r="AS16" t="s">
        <v>803</v>
      </c>
      <c r="AT16" t="s">
        <v>3828</v>
      </c>
      <c r="AU16">
        <v>4.300102710723877</v>
      </c>
      <c r="AV16">
        <v>415</v>
      </c>
      <c r="AW16" s="2"/>
      <c r="AZ16" t="s">
        <v>3829</v>
      </c>
      <c r="BB16">
        <v>418</v>
      </c>
      <c r="BH16">
        <v>524</v>
      </c>
      <c r="BJ16">
        <f t="shared" si="10"/>
        <v>7</v>
      </c>
      <c r="BK16" t="s">
        <v>800</v>
      </c>
      <c r="BL16" t="s">
        <v>3830</v>
      </c>
      <c r="BM16">
        <v>2.796955823898315</v>
      </c>
      <c r="BN16">
        <v>513</v>
      </c>
      <c r="BO16" s="3"/>
      <c r="BP16">
        <f t="shared" si="11"/>
        <v>11</v>
      </c>
      <c r="BQ16" t="s">
        <v>3831</v>
      </c>
      <c r="BR16" t="s">
        <v>3832</v>
      </c>
      <c r="BS16">
        <v>4.9121253490447998</v>
      </c>
      <c r="BT16">
        <v>393</v>
      </c>
      <c r="BU16" s="2"/>
      <c r="BV16">
        <f t="shared" si="12"/>
        <v>12</v>
      </c>
      <c r="BW16" t="s">
        <v>3</v>
      </c>
      <c r="BX16" t="s">
        <v>3833</v>
      </c>
      <c r="BY16">
        <v>3.920246839523315</v>
      </c>
      <c r="BZ16">
        <v>537</v>
      </c>
      <c r="CA16" s="3"/>
      <c r="CB16">
        <f t="shared" si="13"/>
        <v>17</v>
      </c>
      <c r="CC16" t="s">
        <v>3834</v>
      </c>
      <c r="CD16" t="s">
        <v>3835</v>
      </c>
      <c r="CE16">
        <v>3.9953322410583501</v>
      </c>
      <c r="CF16">
        <v>399</v>
      </c>
      <c r="CG16" s="2"/>
      <c r="CH16">
        <f t="shared" si="14"/>
        <v>22</v>
      </c>
      <c r="CI16" t="s">
        <v>2456</v>
      </c>
      <c r="CJ16" t="s">
        <v>3836</v>
      </c>
      <c r="CK16">
        <v>26.399503946304321</v>
      </c>
      <c r="CL16">
        <v>391</v>
      </c>
      <c r="CM16" s="3"/>
      <c r="CN16">
        <f t="shared" si="15"/>
        <v>28</v>
      </c>
      <c r="CO16" t="s">
        <v>230</v>
      </c>
      <c r="CP16" t="s">
        <v>3837</v>
      </c>
      <c r="CQ16">
        <v>8.2064001560211182</v>
      </c>
      <c r="CR16">
        <v>452</v>
      </c>
      <c r="CS16" s="2"/>
      <c r="CT16">
        <f t="shared" si="16"/>
        <v>9</v>
      </c>
      <c r="CU16" t="s">
        <v>3734</v>
      </c>
      <c r="CV16" t="s">
        <v>3838</v>
      </c>
      <c r="CW16">
        <v>3.3220877647399898</v>
      </c>
      <c r="CX16">
        <v>479</v>
      </c>
      <c r="CY16" s="3"/>
      <c r="CZ16">
        <f t="shared" si="17"/>
        <v>0</v>
      </c>
      <c r="DB16" t="s">
        <v>3839</v>
      </c>
      <c r="DC16">
        <v>2.6043200492858891</v>
      </c>
      <c r="DD16">
        <v>369</v>
      </c>
      <c r="DE16" s="2"/>
      <c r="DF16">
        <f t="shared" si="18"/>
        <v>32</v>
      </c>
      <c r="DG16" t="s">
        <v>3840</v>
      </c>
      <c r="DH16" t="s">
        <v>3841</v>
      </c>
      <c r="DI16">
        <v>9.7514317035675049</v>
      </c>
      <c r="DJ16">
        <v>258</v>
      </c>
      <c r="DK16" s="3"/>
      <c r="DL16">
        <f t="shared" si="19"/>
        <v>30</v>
      </c>
      <c r="DM16" t="s">
        <v>2591</v>
      </c>
      <c r="DN16" t="s">
        <v>3842</v>
      </c>
      <c r="DO16">
        <v>7.5418810844421387</v>
      </c>
      <c r="DP16">
        <v>336</v>
      </c>
      <c r="DQ16" s="2"/>
      <c r="DR16">
        <f t="shared" si="20"/>
        <v>30</v>
      </c>
      <c r="DS16" t="s">
        <v>3591</v>
      </c>
      <c r="DT16" t="s">
        <v>3843</v>
      </c>
      <c r="DU16">
        <v>10.014204502105709</v>
      </c>
      <c r="DV16">
        <v>530</v>
      </c>
      <c r="DW16" s="3"/>
      <c r="DX16">
        <f t="shared" si="21"/>
        <v>9</v>
      </c>
      <c r="DY16" t="s">
        <v>3844</v>
      </c>
      <c r="DZ16" t="s">
        <v>3845</v>
      </c>
      <c r="EA16">
        <v>4.4874386787414551</v>
      </c>
      <c r="EB16">
        <v>348</v>
      </c>
      <c r="EC16" s="2"/>
      <c r="ED16">
        <f t="shared" si="22"/>
        <v>26</v>
      </c>
      <c r="EE16" t="s">
        <v>133</v>
      </c>
      <c r="EF16" t="s">
        <v>3846</v>
      </c>
      <c r="EG16">
        <v>16.643725156784061</v>
      </c>
      <c r="EH16">
        <v>287</v>
      </c>
      <c r="EI16" s="3"/>
      <c r="EJ16">
        <f t="shared" si="23"/>
        <v>51</v>
      </c>
      <c r="EK16" t="s">
        <v>3847</v>
      </c>
      <c r="EL16" t="s">
        <v>3848</v>
      </c>
      <c r="EM16">
        <v>9.9421658515930176</v>
      </c>
      <c r="EN16">
        <v>498</v>
      </c>
      <c r="EO16" s="2"/>
      <c r="EP16">
        <f t="shared" si="24"/>
        <v>32</v>
      </c>
      <c r="EQ16" t="s">
        <v>961</v>
      </c>
      <c r="ER16" t="s">
        <v>3849</v>
      </c>
      <c r="ES16">
        <v>15.865417242050169</v>
      </c>
      <c r="ET16">
        <v>377</v>
      </c>
      <c r="EU16" s="3"/>
      <c r="EV16">
        <f t="shared" si="25"/>
        <v>22</v>
      </c>
      <c r="EW16" t="s">
        <v>3346</v>
      </c>
      <c r="EX16" t="s">
        <v>3850</v>
      </c>
      <c r="EY16">
        <v>17.540005207061771</v>
      </c>
      <c r="EZ16">
        <v>306</v>
      </c>
      <c r="FA16" s="2"/>
      <c r="FB16">
        <f t="shared" si="26"/>
        <v>10</v>
      </c>
      <c r="FC16" t="s">
        <v>2734</v>
      </c>
      <c r="FD16" t="s">
        <v>3851</v>
      </c>
      <c r="FE16">
        <v>4.7185149192810059</v>
      </c>
      <c r="FF16">
        <v>441</v>
      </c>
      <c r="FG16" s="3"/>
      <c r="FH16">
        <f t="shared" si="27"/>
        <v>0</v>
      </c>
      <c r="FJ16" t="s">
        <v>3611</v>
      </c>
      <c r="FK16">
        <v>3.3017818927764888</v>
      </c>
      <c r="FL16">
        <v>462</v>
      </c>
      <c r="FM16" s="2"/>
      <c r="FR16">
        <v>458</v>
      </c>
      <c r="FX16">
        <v>502</v>
      </c>
      <c r="FZ16">
        <f t="shared" si="30"/>
        <v>11</v>
      </c>
      <c r="GA16" t="s">
        <v>1136</v>
      </c>
      <c r="GB16" t="s">
        <v>3852</v>
      </c>
      <c r="GC16">
        <v>3.8476495742797852</v>
      </c>
      <c r="GD16">
        <v>424</v>
      </c>
      <c r="GE16" s="3"/>
      <c r="GF16">
        <f t="shared" si="31"/>
        <v>6</v>
      </c>
      <c r="GG16" t="s">
        <v>3</v>
      </c>
      <c r="GH16" t="s">
        <v>3762</v>
      </c>
      <c r="GI16">
        <v>3.2209444046020508</v>
      </c>
      <c r="GJ16">
        <v>393</v>
      </c>
      <c r="GK16" s="2"/>
      <c r="GL16">
        <f t="shared" si="32"/>
        <v>14</v>
      </c>
      <c r="GM16" t="s">
        <v>322</v>
      </c>
      <c r="GN16" t="s">
        <v>3853</v>
      </c>
      <c r="GO16">
        <v>19.43716192245483</v>
      </c>
      <c r="GP16">
        <v>397</v>
      </c>
      <c r="GQ16" s="3"/>
      <c r="GR16">
        <f t="shared" si="33"/>
        <v>19</v>
      </c>
      <c r="GS16" t="s">
        <v>3366</v>
      </c>
      <c r="GT16" t="s">
        <v>3854</v>
      </c>
      <c r="GU16">
        <v>6.6206657886505127</v>
      </c>
      <c r="GV16">
        <v>491</v>
      </c>
      <c r="GW16" s="2"/>
      <c r="GX16">
        <f t="shared" si="34"/>
        <v>44</v>
      </c>
      <c r="GY16" t="s">
        <v>3855</v>
      </c>
      <c r="GZ16" t="s">
        <v>3856</v>
      </c>
      <c r="HA16">
        <v>22.443992137908939</v>
      </c>
      <c r="HB16">
        <v>417</v>
      </c>
      <c r="HC16" s="3"/>
      <c r="HD16">
        <f t="shared" si="35"/>
        <v>21</v>
      </c>
      <c r="HE16" t="s">
        <v>3857</v>
      </c>
      <c r="HF16" t="s">
        <v>3858</v>
      </c>
      <c r="HG16">
        <v>11.47306799888611</v>
      </c>
      <c r="HH16">
        <v>352</v>
      </c>
      <c r="HI16" s="2"/>
      <c r="HJ16">
        <f t="shared" si="36"/>
        <v>26</v>
      </c>
      <c r="HK16" t="s">
        <v>3361</v>
      </c>
      <c r="HL16" t="s">
        <v>3361</v>
      </c>
      <c r="HM16">
        <v>2.9684517383575439</v>
      </c>
      <c r="HN16">
        <v>430</v>
      </c>
      <c r="HO16" s="3"/>
      <c r="HR16" t="s">
        <v>3859</v>
      </c>
      <c r="HT16">
        <v>358</v>
      </c>
      <c r="HV16">
        <f t="shared" si="38"/>
        <v>17</v>
      </c>
      <c r="HW16" t="s">
        <v>3055</v>
      </c>
      <c r="HX16" t="s">
        <v>3860</v>
      </c>
      <c r="HY16">
        <v>3.491137027740479</v>
      </c>
      <c r="HZ16">
        <v>435</v>
      </c>
      <c r="IA16" s="3"/>
      <c r="IB16">
        <f t="shared" si="39"/>
        <v>10</v>
      </c>
      <c r="IC16" t="s">
        <v>3311</v>
      </c>
      <c r="ID16" t="s">
        <v>3861</v>
      </c>
      <c r="IE16">
        <v>3.796577930450439</v>
      </c>
      <c r="IF16">
        <v>445</v>
      </c>
      <c r="IG16" s="2"/>
      <c r="IH16">
        <f t="shared" si="40"/>
        <v>19</v>
      </c>
      <c r="II16" t="s">
        <v>2993</v>
      </c>
      <c r="IJ16" t="s">
        <v>3862</v>
      </c>
      <c r="IK16">
        <v>4.567594051361084</v>
      </c>
      <c r="IL16">
        <v>533</v>
      </c>
      <c r="IM16" s="3"/>
      <c r="IN16">
        <f t="shared" si="41"/>
        <v>0</v>
      </c>
      <c r="IP16" t="s">
        <v>3859</v>
      </c>
      <c r="IQ16">
        <v>2.9031410217285161</v>
      </c>
      <c r="IR16">
        <v>395</v>
      </c>
      <c r="IS16" s="2"/>
      <c r="IT16">
        <f t="shared" si="42"/>
        <v>17</v>
      </c>
      <c r="IU16" t="s">
        <v>3863</v>
      </c>
      <c r="IV16" t="s">
        <v>3864</v>
      </c>
      <c r="IW16">
        <v>7.0982708930969238</v>
      </c>
      <c r="IX16">
        <v>358</v>
      </c>
      <c r="IY16" s="3"/>
      <c r="IZ16">
        <f t="shared" si="43"/>
        <v>25</v>
      </c>
      <c r="JA16" t="s">
        <v>543</v>
      </c>
      <c r="JB16" t="s">
        <v>3865</v>
      </c>
      <c r="JC16">
        <v>6.3933207988739014</v>
      </c>
      <c r="JD16">
        <v>412</v>
      </c>
      <c r="JE16" s="2"/>
      <c r="JF16">
        <f t="shared" si="44"/>
        <v>18</v>
      </c>
      <c r="JG16" t="s">
        <v>382</v>
      </c>
      <c r="JH16" t="s">
        <v>3866</v>
      </c>
      <c r="JI16">
        <v>4.4935369491577148</v>
      </c>
      <c r="JJ16">
        <v>286</v>
      </c>
      <c r="JK16" s="3"/>
      <c r="JL16">
        <f t="shared" si="45"/>
        <v>0</v>
      </c>
      <c r="JN16" t="s">
        <v>3635</v>
      </c>
      <c r="JO16">
        <v>3.5900487899780269</v>
      </c>
      <c r="JP16">
        <v>277</v>
      </c>
      <c r="JQ16" s="2"/>
      <c r="JR16">
        <f t="shared" si="46"/>
        <v>14</v>
      </c>
      <c r="JS16" t="s">
        <v>1295</v>
      </c>
      <c r="JT16" t="s">
        <v>3867</v>
      </c>
      <c r="JU16">
        <v>21.36684942245483</v>
      </c>
      <c r="JV16">
        <v>309</v>
      </c>
      <c r="JW16" s="3"/>
      <c r="JX16">
        <f t="shared" si="47"/>
        <v>11</v>
      </c>
      <c r="JY16" t="s">
        <v>2805</v>
      </c>
      <c r="JZ16" t="s">
        <v>3868</v>
      </c>
      <c r="KA16">
        <v>6.0431623458862296</v>
      </c>
      <c r="KB16">
        <v>389</v>
      </c>
      <c r="KC16" s="2"/>
      <c r="KD16">
        <f t="shared" si="48"/>
        <v>22</v>
      </c>
      <c r="KE16" t="s">
        <v>3869</v>
      </c>
      <c r="KF16" t="s">
        <v>3870</v>
      </c>
      <c r="KG16">
        <v>19.347010850906369</v>
      </c>
      <c r="KH16">
        <v>259</v>
      </c>
      <c r="KI16" s="3"/>
      <c r="KJ16">
        <f t="shared" si="49"/>
        <v>33</v>
      </c>
      <c r="KK16" t="s">
        <v>3871</v>
      </c>
      <c r="KL16" t="s">
        <v>3872</v>
      </c>
      <c r="KM16">
        <v>12.566071271896361</v>
      </c>
      <c r="KN16">
        <v>463</v>
      </c>
      <c r="KO16" s="2"/>
      <c r="KP16">
        <f t="shared" si="50"/>
        <v>22</v>
      </c>
      <c r="KQ16" t="s">
        <v>1364</v>
      </c>
      <c r="KR16" t="s">
        <v>1320</v>
      </c>
      <c r="KS16">
        <v>3.0515279769897461</v>
      </c>
      <c r="KT16">
        <v>521</v>
      </c>
      <c r="KU16" s="3"/>
      <c r="KX16" t="s">
        <v>3641</v>
      </c>
      <c r="KZ16">
        <v>379</v>
      </c>
      <c r="LB16">
        <f t="shared" si="52"/>
        <v>25</v>
      </c>
      <c r="LC16" t="s">
        <v>3873</v>
      </c>
      <c r="LD16" t="s">
        <v>3874</v>
      </c>
      <c r="LE16">
        <v>6.9895532131195068</v>
      </c>
      <c r="LF16">
        <v>418</v>
      </c>
      <c r="LG16" s="3"/>
      <c r="LH16">
        <f t="shared" si="53"/>
        <v>30</v>
      </c>
      <c r="LI16" t="s">
        <v>3875</v>
      </c>
      <c r="LJ16" t="s">
        <v>3876</v>
      </c>
      <c r="LK16">
        <v>85.763967514038086</v>
      </c>
      <c r="LL16">
        <v>496</v>
      </c>
      <c r="LM16" s="2"/>
      <c r="LN16">
        <f t="shared" si="54"/>
        <v>13</v>
      </c>
      <c r="LO16" t="s">
        <v>3877</v>
      </c>
      <c r="LP16" t="s">
        <v>3878</v>
      </c>
      <c r="LQ16">
        <v>4.0342781543731689</v>
      </c>
      <c r="LR16">
        <v>444</v>
      </c>
      <c r="LS16" s="3"/>
      <c r="LT16">
        <f t="shared" si="55"/>
        <v>13</v>
      </c>
      <c r="LU16" t="s">
        <v>3</v>
      </c>
      <c r="LV16" t="s">
        <v>3879</v>
      </c>
      <c r="LW16">
        <v>3.2811543941497798</v>
      </c>
      <c r="LX16">
        <v>440</v>
      </c>
      <c r="LY16" s="2"/>
      <c r="MD16">
        <v>437</v>
      </c>
      <c r="MJ16">
        <v>473</v>
      </c>
      <c r="ML16">
        <f t="shared" si="58"/>
        <v>30</v>
      </c>
      <c r="MM16" t="s">
        <v>3219</v>
      </c>
      <c r="MN16" t="s">
        <v>3880</v>
      </c>
      <c r="MO16">
        <v>5.7793354988098136</v>
      </c>
      <c r="MP16">
        <v>375</v>
      </c>
      <c r="MQ16" s="3"/>
      <c r="MT16" t="s">
        <v>3372</v>
      </c>
      <c r="MV16">
        <v>477</v>
      </c>
      <c r="MX16">
        <f t="shared" si="60"/>
        <v>20</v>
      </c>
      <c r="MY16" t="s">
        <v>3881</v>
      </c>
      <c r="MZ16" t="s">
        <v>3882</v>
      </c>
      <c r="NA16">
        <v>5.1511187553405762</v>
      </c>
      <c r="NB16">
        <v>450</v>
      </c>
      <c r="NC16" s="3"/>
      <c r="ND16">
        <f t="shared" si="61"/>
        <v>11</v>
      </c>
      <c r="NE16" t="s">
        <v>3373</v>
      </c>
      <c r="NF16" t="s">
        <v>3883</v>
      </c>
      <c r="NG16">
        <v>2.6796009540557861</v>
      </c>
      <c r="NH16">
        <v>495</v>
      </c>
      <c r="NI16" s="2"/>
      <c r="NJ16">
        <f t="shared" si="62"/>
        <v>16</v>
      </c>
      <c r="NK16" t="s">
        <v>3341</v>
      </c>
      <c r="NL16" t="s">
        <v>3884</v>
      </c>
      <c r="NM16">
        <v>11.93423771858215</v>
      </c>
      <c r="NN16">
        <v>327</v>
      </c>
      <c r="NO16" s="3"/>
      <c r="NP16">
        <f t="shared" si="63"/>
        <v>18</v>
      </c>
      <c r="NQ16" t="s">
        <v>3885</v>
      </c>
      <c r="NR16" t="s">
        <v>3886</v>
      </c>
      <c r="NS16">
        <v>13.6328661441803</v>
      </c>
      <c r="NT16">
        <v>332</v>
      </c>
      <c r="NU16" s="2"/>
      <c r="NV16">
        <f t="shared" si="64"/>
        <v>26</v>
      </c>
      <c r="NW16" t="s">
        <v>3346</v>
      </c>
      <c r="NX16" t="s">
        <v>3887</v>
      </c>
      <c r="NY16">
        <v>4.0384759902954102</v>
      </c>
      <c r="NZ16">
        <v>349</v>
      </c>
      <c r="OA16" s="3"/>
      <c r="OB16">
        <f t="shared" si="65"/>
        <v>21</v>
      </c>
      <c r="OC16" t="s">
        <v>3</v>
      </c>
      <c r="OD16" t="s">
        <v>3762</v>
      </c>
      <c r="OE16">
        <v>3.088376522064209</v>
      </c>
      <c r="OF16">
        <v>463</v>
      </c>
      <c r="OG16" s="2"/>
      <c r="OH16">
        <f t="shared" si="66"/>
        <v>25</v>
      </c>
      <c r="OI16" t="s">
        <v>1721</v>
      </c>
      <c r="OJ16" t="s">
        <v>3888</v>
      </c>
      <c r="OK16">
        <v>4.0573966503143311</v>
      </c>
      <c r="OL16">
        <v>380</v>
      </c>
      <c r="OM16" s="3"/>
      <c r="ON16">
        <f t="shared" si="67"/>
        <v>12</v>
      </c>
      <c r="OO16" t="s">
        <v>3889</v>
      </c>
      <c r="OP16" t="s">
        <v>3890</v>
      </c>
      <c r="OQ16">
        <v>3.573302030563354</v>
      </c>
      <c r="OR16">
        <v>513</v>
      </c>
      <c r="OS16" s="2"/>
      <c r="OT16">
        <f t="shared" si="68"/>
        <v>14</v>
      </c>
      <c r="OU16" t="s">
        <v>1937</v>
      </c>
      <c r="OV16" t="s">
        <v>3891</v>
      </c>
      <c r="OW16">
        <v>4.4162216186523438</v>
      </c>
      <c r="OX16">
        <v>419</v>
      </c>
      <c r="OY16" s="3"/>
      <c r="OZ16">
        <f t="shared" si="69"/>
        <v>6</v>
      </c>
      <c r="PA16" t="s">
        <v>3</v>
      </c>
      <c r="PB16" t="s">
        <v>3892</v>
      </c>
      <c r="PC16">
        <v>2.8410453796386719</v>
      </c>
      <c r="PD16">
        <v>488</v>
      </c>
      <c r="PE16" s="2"/>
      <c r="PF16">
        <f t="shared" si="70"/>
        <v>17</v>
      </c>
      <c r="PG16" t="s">
        <v>3646</v>
      </c>
      <c r="PH16" t="s">
        <v>803</v>
      </c>
      <c r="PI16">
        <v>2.647483348846436</v>
      </c>
      <c r="PJ16">
        <v>395</v>
      </c>
      <c r="PK16" s="3"/>
      <c r="PN16" t="s">
        <v>3893</v>
      </c>
      <c r="PP16">
        <v>489</v>
      </c>
      <c r="PR16">
        <f t="shared" si="72"/>
        <v>6</v>
      </c>
      <c r="PS16" t="s">
        <v>3</v>
      </c>
      <c r="PT16" t="s">
        <v>3894</v>
      </c>
      <c r="PU16">
        <v>3.5233514308929439</v>
      </c>
      <c r="PV16">
        <v>371</v>
      </c>
      <c r="PW16" s="3"/>
      <c r="PX16">
        <f t="shared" si="73"/>
        <v>12</v>
      </c>
      <c r="PY16" t="s">
        <v>3585</v>
      </c>
      <c r="PZ16" t="s">
        <v>3895</v>
      </c>
      <c r="QA16">
        <v>3.02486252784729</v>
      </c>
      <c r="QB16">
        <v>467</v>
      </c>
      <c r="QC16" s="2"/>
      <c r="QD16">
        <f t="shared" si="74"/>
        <v>38</v>
      </c>
      <c r="QE16" t="s">
        <v>3896</v>
      </c>
      <c r="QF16" t="s">
        <v>3897</v>
      </c>
      <c r="QG16">
        <v>113.03600430488591</v>
      </c>
      <c r="QH16">
        <v>343</v>
      </c>
      <c r="QI16" s="3"/>
      <c r="QJ16">
        <f t="shared" si="75"/>
        <v>14</v>
      </c>
      <c r="QK16" t="s">
        <v>3898</v>
      </c>
      <c r="QL16" t="s">
        <v>3899</v>
      </c>
      <c r="QM16">
        <v>7.2950878143310547</v>
      </c>
      <c r="QN16">
        <v>434</v>
      </c>
      <c r="QO16" s="2"/>
      <c r="QP16">
        <f t="shared" si="76"/>
        <v>48</v>
      </c>
      <c r="QQ16" t="s">
        <v>34</v>
      </c>
      <c r="QR16" t="s">
        <v>3900</v>
      </c>
      <c r="QS16">
        <v>18.39954853057861</v>
      </c>
      <c r="QT16">
        <v>311</v>
      </c>
      <c r="QU16" s="3"/>
      <c r="QV16">
        <f t="shared" si="77"/>
        <v>31</v>
      </c>
      <c r="QW16" t="s">
        <v>3901</v>
      </c>
      <c r="QX16" t="s">
        <v>3902</v>
      </c>
      <c r="QY16">
        <v>125.2333288192749</v>
      </c>
      <c r="QZ16">
        <v>315</v>
      </c>
      <c r="RA16" s="2"/>
      <c r="RB16">
        <f t="shared" si="78"/>
        <v>57</v>
      </c>
      <c r="RC16" t="s">
        <v>3903</v>
      </c>
      <c r="RD16" t="s">
        <v>3904</v>
      </c>
      <c r="RE16">
        <v>14.6039707660675</v>
      </c>
      <c r="RF16">
        <v>406</v>
      </c>
      <c r="RG16" s="3"/>
      <c r="RH16">
        <f t="shared" si="79"/>
        <v>42</v>
      </c>
      <c r="RI16" t="s">
        <v>3905</v>
      </c>
      <c r="RJ16" t="s">
        <v>3906</v>
      </c>
      <c r="RK16">
        <v>214.2651438713074</v>
      </c>
      <c r="RL16">
        <v>405</v>
      </c>
      <c r="RM16" s="2"/>
      <c r="RN16">
        <f t="shared" si="80"/>
        <v>13</v>
      </c>
      <c r="RO16" t="s">
        <v>349</v>
      </c>
      <c r="RP16" t="s">
        <v>3907</v>
      </c>
      <c r="RQ16">
        <v>4.0904521942138672</v>
      </c>
      <c r="RR16">
        <v>362</v>
      </c>
      <c r="RS16" s="3"/>
      <c r="RT16">
        <f t="shared" si="81"/>
        <v>15</v>
      </c>
      <c r="RU16" t="s">
        <v>3908</v>
      </c>
      <c r="RV16" t="s">
        <v>3909</v>
      </c>
      <c r="RW16">
        <v>23.275732278823849</v>
      </c>
      <c r="RX16">
        <v>469</v>
      </c>
      <c r="RY16" s="2"/>
      <c r="RZ16">
        <f t="shared" si="82"/>
        <v>15</v>
      </c>
      <c r="SA16" t="s">
        <v>3910</v>
      </c>
      <c r="SB16" t="s">
        <v>3911</v>
      </c>
      <c r="SC16">
        <v>10.377702236175541</v>
      </c>
      <c r="SD16">
        <v>293</v>
      </c>
      <c r="SE16" s="3"/>
      <c r="SF16">
        <f t="shared" si="83"/>
        <v>30</v>
      </c>
      <c r="SG16" t="s">
        <v>3912</v>
      </c>
      <c r="SH16" t="s">
        <v>3913</v>
      </c>
      <c r="SI16">
        <v>16.461090803146359</v>
      </c>
      <c r="SJ16">
        <v>406</v>
      </c>
      <c r="SK16" s="2"/>
      <c r="SL16">
        <f t="shared" si="84"/>
        <v>7</v>
      </c>
      <c r="SM16" t="s">
        <v>3914</v>
      </c>
      <c r="SN16" t="s">
        <v>3915</v>
      </c>
      <c r="SO16">
        <v>5.1913716793060303</v>
      </c>
      <c r="SP16">
        <v>363</v>
      </c>
      <c r="SQ16" s="3"/>
      <c r="SR16">
        <f t="shared" si="85"/>
        <v>33</v>
      </c>
      <c r="SS16" t="s">
        <v>3197</v>
      </c>
      <c r="ST16" t="s">
        <v>3916</v>
      </c>
      <c r="SU16">
        <v>15.14470410346985</v>
      </c>
      <c r="SV16">
        <v>418</v>
      </c>
      <c r="SW16" s="4"/>
      <c r="SX16">
        <f t="shared" si="86"/>
        <v>12</v>
      </c>
      <c r="SY16" t="s">
        <v>3917</v>
      </c>
      <c r="SZ16" t="s">
        <v>3918</v>
      </c>
      <c r="TA16">
        <v>5.5499575138092041</v>
      </c>
      <c r="TB16">
        <v>462</v>
      </c>
      <c r="TC16" s="5"/>
      <c r="TD16">
        <f t="shared" si="87"/>
        <v>8</v>
      </c>
      <c r="TE16" t="s">
        <v>916</v>
      </c>
      <c r="TF16" t="s">
        <v>3919</v>
      </c>
      <c r="TG16">
        <v>4.2044572830200204</v>
      </c>
      <c r="TH16">
        <v>355</v>
      </c>
      <c r="TI16" s="2"/>
      <c r="TJ16">
        <f t="shared" si="88"/>
        <v>8</v>
      </c>
      <c r="TK16" t="s">
        <v>3920</v>
      </c>
      <c r="TL16" t="s">
        <v>3921</v>
      </c>
      <c r="TM16">
        <v>4.2266924381256104</v>
      </c>
      <c r="TN16">
        <v>491</v>
      </c>
      <c r="TO16" s="5"/>
      <c r="TP16">
        <f t="shared" si="89"/>
        <v>6</v>
      </c>
      <c r="TQ16" t="s">
        <v>3</v>
      </c>
      <c r="TR16" t="s">
        <v>3892</v>
      </c>
      <c r="TS16">
        <v>3.3999087810516362</v>
      </c>
      <c r="TT16">
        <v>392</v>
      </c>
      <c r="TU16" s="2"/>
      <c r="TV16">
        <f t="shared" si="90"/>
        <v>43</v>
      </c>
      <c r="TW16" t="s">
        <v>3922</v>
      </c>
      <c r="TX16" t="s">
        <v>3923</v>
      </c>
      <c r="TY16">
        <v>20.20639801025391</v>
      </c>
      <c r="TZ16">
        <v>377</v>
      </c>
      <c r="UA16" s="5"/>
      <c r="UB16">
        <f t="shared" si="91"/>
        <v>38</v>
      </c>
      <c r="UC16" t="s">
        <v>3924</v>
      </c>
      <c r="UD16" t="s">
        <v>3925</v>
      </c>
      <c r="UE16">
        <v>16.350668668746948</v>
      </c>
      <c r="UF16">
        <v>449</v>
      </c>
      <c r="UG16" s="2"/>
      <c r="UH16">
        <f t="shared" si="92"/>
        <v>14</v>
      </c>
      <c r="UI16" t="s">
        <v>800</v>
      </c>
      <c r="UJ16" t="s">
        <v>3926</v>
      </c>
      <c r="UK16">
        <v>4.4208629131317139</v>
      </c>
      <c r="UL16">
        <v>435</v>
      </c>
      <c r="UM16" s="5"/>
      <c r="UN16">
        <f t="shared" si="93"/>
        <v>7</v>
      </c>
      <c r="UO16" t="s">
        <v>3</v>
      </c>
      <c r="UP16" t="s">
        <v>3927</v>
      </c>
      <c r="UQ16">
        <v>3.3203656673431401</v>
      </c>
      <c r="UR16">
        <v>471</v>
      </c>
      <c r="US16" s="2"/>
      <c r="UT16">
        <f t="shared" si="94"/>
        <v>12</v>
      </c>
      <c r="UU16" t="s">
        <v>3373</v>
      </c>
      <c r="UV16" t="s">
        <v>3928</v>
      </c>
      <c r="UW16">
        <v>4.0993599891662598</v>
      </c>
      <c r="UX16">
        <v>458</v>
      </c>
      <c r="UY16" s="5"/>
      <c r="UZ16">
        <f t="shared" si="95"/>
        <v>7</v>
      </c>
      <c r="VA16" t="s">
        <v>2463</v>
      </c>
      <c r="VB16" t="s">
        <v>3929</v>
      </c>
      <c r="VC16">
        <v>3.5468134880065918</v>
      </c>
      <c r="VD16">
        <v>495</v>
      </c>
      <c r="VE16" s="2"/>
      <c r="VF16">
        <f t="shared" si="96"/>
        <v>20</v>
      </c>
      <c r="VG16" t="s">
        <v>2799</v>
      </c>
      <c r="VH16" t="s">
        <v>3930</v>
      </c>
      <c r="VI16">
        <v>19.377648591995239</v>
      </c>
      <c r="VJ16">
        <v>382</v>
      </c>
      <c r="VK16" s="5"/>
      <c r="VL16">
        <f t="shared" si="97"/>
        <v>8</v>
      </c>
      <c r="VM16" t="s">
        <v>3648</v>
      </c>
      <c r="VN16" t="s">
        <v>1530</v>
      </c>
      <c r="VO16">
        <v>2.5184588432312012</v>
      </c>
      <c r="VP16">
        <v>454</v>
      </c>
      <c r="VQ16" s="2"/>
      <c r="VR16">
        <f t="shared" si="98"/>
        <v>20</v>
      </c>
      <c r="VS16" t="s">
        <v>3567</v>
      </c>
      <c r="VT16" t="s">
        <v>3931</v>
      </c>
      <c r="VU16">
        <v>4.5608484745025626</v>
      </c>
      <c r="VV16">
        <v>378</v>
      </c>
      <c r="VW16" s="5"/>
      <c r="VX16">
        <f t="shared" si="99"/>
        <v>49</v>
      </c>
      <c r="VY16" t="s">
        <v>3932</v>
      </c>
      <c r="VZ16" t="s">
        <v>3933</v>
      </c>
      <c r="WA16">
        <v>9.7483127117156982</v>
      </c>
      <c r="WB16">
        <v>436</v>
      </c>
      <c r="WC16" s="2"/>
      <c r="WD16">
        <f t="shared" si="100"/>
        <v>23</v>
      </c>
      <c r="WE16" t="s">
        <v>3934</v>
      </c>
      <c r="WF16" t="s">
        <v>3935</v>
      </c>
      <c r="WG16">
        <v>5.1165065765380859</v>
      </c>
      <c r="WH16">
        <v>421</v>
      </c>
      <c r="WI16" s="5"/>
      <c r="WJ16">
        <f t="shared" si="101"/>
        <v>17</v>
      </c>
      <c r="WK16" t="s">
        <v>3936</v>
      </c>
      <c r="WL16" t="s">
        <v>3937</v>
      </c>
      <c r="WM16">
        <v>16.571313619613651</v>
      </c>
      <c r="WN16">
        <v>459</v>
      </c>
      <c r="WO16" s="2"/>
      <c r="WP16">
        <f t="shared" si="102"/>
        <v>27</v>
      </c>
      <c r="WQ16" t="s">
        <v>3938</v>
      </c>
      <c r="WR16" t="s">
        <v>3939</v>
      </c>
      <c r="WS16">
        <v>21.908628940582279</v>
      </c>
      <c r="WT16">
        <v>423</v>
      </c>
      <c r="WU16" s="5"/>
      <c r="WV16">
        <f t="shared" si="103"/>
        <v>5</v>
      </c>
      <c r="WW16" t="s">
        <v>1652</v>
      </c>
      <c r="WX16" t="s">
        <v>3940</v>
      </c>
      <c r="WY16">
        <v>29.203392267227169</v>
      </c>
      <c r="WZ16">
        <v>338</v>
      </c>
      <c r="XA16" s="2"/>
      <c r="XB16">
        <f t="shared" si="104"/>
        <v>16</v>
      </c>
      <c r="XC16" t="s">
        <v>1604</v>
      </c>
      <c r="XD16" t="s">
        <v>3941</v>
      </c>
      <c r="XE16">
        <v>5.786707878112793</v>
      </c>
      <c r="XF16">
        <v>445</v>
      </c>
      <c r="XG16" s="5"/>
      <c r="XH16">
        <f t="shared" si="105"/>
        <v>18</v>
      </c>
      <c r="XI16" t="s">
        <v>567</v>
      </c>
      <c r="XJ16" t="s">
        <v>3942</v>
      </c>
      <c r="XK16">
        <v>5.3062233924865723</v>
      </c>
      <c r="XL16">
        <v>452</v>
      </c>
      <c r="XM16" s="2"/>
      <c r="XN16">
        <f t="shared" si="106"/>
        <v>13</v>
      </c>
      <c r="XO16" t="s">
        <v>3445</v>
      </c>
      <c r="XP16" t="s">
        <v>3943</v>
      </c>
      <c r="XQ16">
        <v>3.8862061500549321</v>
      </c>
      <c r="XR16">
        <v>372</v>
      </c>
      <c r="XS16" s="5"/>
      <c r="XT16">
        <f t="shared" si="107"/>
        <v>5</v>
      </c>
      <c r="XU16" t="s">
        <v>1995</v>
      </c>
      <c r="XV16" t="s">
        <v>3</v>
      </c>
      <c r="XW16">
        <v>3.2249724864959721</v>
      </c>
      <c r="XX16">
        <v>642</v>
      </c>
      <c r="XY16" s="2"/>
      <c r="XZ16">
        <f t="shared" si="108"/>
        <v>45</v>
      </c>
      <c r="YA16" t="s">
        <v>575</v>
      </c>
      <c r="YB16" t="s">
        <v>3944</v>
      </c>
      <c r="YC16">
        <v>195.8300271034241</v>
      </c>
      <c r="YD16">
        <v>404</v>
      </c>
      <c r="YE16" s="5"/>
      <c r="YF16">
        <f t="shared" si="109"/>
        <v>21</v>
      </c>
      <c r="YG16" t="s">
        <v>1011</v>
      </c>
      <c r="YH16" t="s">
        <v>3945</v>
      </c>
      <c r="YI16">
        <v>14.008674621582029</v>
      </c>
      <c r="YJ16">
        <v>307</v>
      </c>
      <c r="YK16" s="2"/>
      <c r="YL16">
        <f t="shared" si="110"/>
        <v>13</v>
      </c>
      <c r="YM16" t="s">
        <v>322</v>
      </c>
      <c r="YN16" t="s">
        <v>3946</v>
      </c>
      <c r="YO16">
        <v>3.455047607421875</v>
      </c>
      <c r="YP16">
        <v>412</v>
      </c>
      <c r="YQ16" s="5"/>
      <c r="YR16">
        <f t="shared" si="111"/>
        <v>11</v>
      </c>
      <c r="YS16" t="s">
        <v>2062</v>
      </c>
      <c r="YT16" t="s">
        <v>3947</v>
      </c>
      <c r="YU16">
        <v>3.6912467479705811</v>
      </c>
      <c r="YV16">
        <v>501</v>
      </c>
      <c r="YW16" s="2"/>
      <c r="YX16">
        <f t="shared" si="112"/>
        <v>22</v>
      </c>
      <c r="YY16" t="s">
        <v>1569</v>
      </c>
      <c r="YZ16" t="s">
        <v>3948</v>
      </c>
      <c r="ZA16">
        <v>3.8156387805938721</v>
      </c>
      <c r="ZB16">
        <v>522</v>
      </c>
      <c r="ZC16" s="5"/>
      <c r="ZF16" t="s">
        <v>3641</v>
      </c>
      <c r="ZH16">
        <v>358</v>
      </c>
      <c r="ZJ16">
        <f t="shared" si="114"/>
        <v>7</v>
      </c>
      <c r="ZK16" t="s">
        <v>655</v>
      </c>
      <c r="ZL16" t="s">
        <v>3949</v>
      </c>
      <c r="ZM16">
        <v>3.6847519874572749</v>
      </c>
      <c r="ZN16">
        <v>480</v>
      </c>
      <c r="ZO16" s="5"/>
      <c r="ZP16">
        <f t="shared" si="115"/>
        <v>11</v>
      </c>
      <c r="ZQ16" t="s">
        <v>3950</v>
      </c>
      <c r="ZR16" t="s">
        <v>3951</v>
      </c>
      <c r="ZS16">
        <v>5.0778687000274658</v>
      </c>
      <c r="ZT16">
        <v>369</v>
      </c>
      <c r="ZU16" s="2"/>
      <c r="ZV16">
        <f t="shared" si="116"/>
        <v>27</v>
      </c>
      <c r="ZW16" t="s">
        <v>3952</v>
      </c>
      <c r="ZX16" t="s">
        <v>3953</v>
      </c>
      <c r="ZY16">
        <v>13.41171979904175</v>
      </c>
      <c r="ZZ16">
        <v>508</v>
      </c>
      <c r="AAA16" s="5"/>
      <c r="AAB16">
        <f t="shared" si="117"/>
        <v>21</v>
      </c>
      <c r="AAC16" t="s">
        <v>3954</v>
      </c>
      <c r="AAD16" t="s">
        <v>3955</v>
      </c>
      <c r="AAE16">
        <v>3.9621093273162842</v>
      </c>
      <c r="AAF16">
        <v>491</v>
      </c>
      <c r="AAG16" s="2"/>
      <c r="AAH16">
        <f t="shared" si="118"/>
        <v>11</v>
      </c>
      <c r="AAI16" t="s">
        <v>926</v>
      </c>
      <c r="AAJ16" t="s">
        <v>3956</v>
      </c>
      <c r="AAK16">
        <v>6.0771198272705078</v>
      </c>
      <c r="AAL16">
        <v>428</v>
      </c>
      <c r="AAM16" s="5"/>
      <c r="AAN16">
        <f t="shared" si="119"/>
        <v>23</v>
      </c>
      <c r="AAO16" t="s">
        <v>3957</v>
      </c>
      <c r="AAP16" t="s">
        <v>3958</v>
      </c>
      <c r="AAQ16">
        <v>13.859077930450439</v>
      </c>
      <c r="AAR16">
        <v>384</v>
      </c>
      <c r="AAS16" s="2"/>
      <c r="AAT16">
        <f t="shared" si="120"/>
        <v>30</v>
      </c>
      <c r="AAU16" t="s">
        <v>3959</v>
      </c>
      <c r="AAV16" t="s">
        <v>3960</v>
      </c>
      <c r="AAW16">
        <v>64.975518941879272</v>
      </c>
      <c r="AAX16">
        <v>482</v>
      </c>
      <c r="AAY16" s="5"/>
      <c r="AAZ16">
        <f t="shared" si="121"/>
        <v>28</v>
      </c>
      <c r="ABA16" t="s">
        <v>3961</v>
      </c>
      <c r="ABB16" t="s">
        <v>3962</v>
      </c>
      <c r="ABC16">
        <v>5.2565851211547852</v>
      </c>
      <c r="ABD16">
        <v>268</v>
      </c>
      <c r="ABE16" s="2"/>
      <c r="ABF16">
        <f t="shared" si="122"/>
        <v>34</v>
      </c>
      <c r="ABG16" t="s">
        <v>2252</v>
      </c>
      <c r="ABH16" t="s">
        <v>3963</v>
      </c>
      <c r="ABI16">
        <v>6.3488168716430664</v>
      </c>
      <c r="ABJ16">
        <v>548</v>
      </c>
      <c r="ABK16" s="5"/>
      <c r="ABL16">
        <f t="shared" si="123"/>
        <v>22</v>
      </c>
      <c r="ABM16" t="s">
        <v>2329</v>
      </c>
      <c r="ABN16" t="s">
        <v>3964</v>
      </c>
      <c r="ABO16">
        <v>5.0840673446655273</v>
      </c>
      <c r="ABP16">
        <v>364</v>
      </c>
      <c r="ABQ16" s="2"/>
      <c r="ABR16">
        <f t="shared" si="124"/>
        <v>19</v>
      </c>
      <c r="ABS16" t="s">
        <v>3965</v>
      </c>
      <c r="ABT16" t="s">
        <v>3966</v>
      </c>
      <c r="ABU16">
        <v>22.093117713928219</v>
      </c>
      <c r="ABV16">
        <v>389</v>
      </c>
      <c r="ABW16" s="5"/>
      <c r="ABX16">
        <f t="shared" si="125"/>
        <v>14</v>
      </c>
      <c r="ABY16" t="s">
        <v>3967</v>
      </c>
      <c r="ABZ16" t="s">
        <v>3968</v>
      </c>
      <c r="ACA16">
        <v>3.9869260787963872</v>
      </c>
      <c r="ACB16">
        <v>448</v>
      </c>
      <c r="ACC16" s="2"/>
      <c r="ACD16">
        <f t="shared" si="126"/>
        <v>16</v>
      </c>
      <c r="ACE16" t="s">
        <v>3969</v>
      </c>
      <c r="ACF16" t="s">
        <v>3970</v>
      </c>
      <c r="ACG16">
        <v>7.8707516193389893</v>
      </c>
      <c r="ACH16">
        <v>288</v>
      </c>
      <c r="ACI16" s="5"/>
      <c r="ACJ16">
        <f t="shared" si="127"/>
        <v>24</v>
      </c>
      <c r="ACK16" t="s">
        <v>3971</v>
      </c>
      <c r="ACL16" t="s">
        <v>3972</v>
      </c>
      <c r="ACM16">
        <v>110.6898629665375</v>
      </c>
      <c r="ACN16">
        <v>414</v>
      </c>
      <c r="ACO16" s="2"/>
      <c r="ACP16">
        <f t="shared" si="128"/>
        <v>27</v>
      </c>
      <c r="ACQ16" t="s">
        <v>932</v>
      </c>
      <c r="ACR16" t="s">
        <v>3973</v>
      </c>
      <c r="ACS16">
        <v>9.1119551658630371</v>
      </c>
      <c r="ACT16">
        <v>300</v>
      </c>
      <c r="ACU16" s="5"/>
      <c r="ACV16">
        <f t="shared" si="129"/>
        <v>27</v>
      </c>
      <c r="ACW16" t="s">
        <v>3974</v>
      </c>
      <c r="ACX16" t="s">
        <v>3975</v>
      </c>
      <c r="ACY16">
        <v>18.068037748336788</v>
      </c>
      <c r="ACZ16">
        <v>320</v>
      </c>
      <c r="ADA16" s="2"/>
      <c r="ADB16">
        <f t="shared" si="130"/>
        <v>10</v>
      </c>
      <c r="ADC16" t="s">
        <v>3633</v>
      </c>
      <c r="ADD16" t="s">
        <v>3976</v>
      </c>
      <c r="ADE16">
        <v>3.695478200912476</v>
      </c>
      <c r="ADF16">
        <v>448</v>
      </c>
      <c r="ADG16" s="5"/>
      <c r="ADH16">
        <f t="shared" si="131"/>
        <v>16</v>
      </c>
      <c r="ADI16" t="s">
        <v>3977</v>
      </c>
      <c r="ADJ16" t="s">
        <v>3978</v>
      </c>
      <c r="ADK16">
        <v>11.14808940887451</v>
      </c>
      <c r="ADL16">
        <v>446</v>
      </c>
      <c r="ADM16" s="2"/>
      <c r="ADR16">
        <v>367</v>
      </c>
      <c r="ADX16">
        <v>494</v>
      </c>
      <c r="ADZ16">
        <f t="shared" si="134"/>
        <v>15</v>
      </c>
      <c r="AEA16" t="s">
        <v>2651</v>
      </c>
      <c r="AEB16" t="s">
        <v>2651</v>
      </c>
      <c r="AEC16">
        <v>3.438634872436523</v>
      </c>
      <c r="AED16">
        <v>461</v>
      </c>
      <c r="AEE16" s="5"/>
      <c r="AEH16" t="s">
        <v>3979</v>
      </c>
      <c r="AEJ16">
        <v>439</v>
      </c>
      <c r="AEL16">
        <f t="shared" si="136"/>
        <v>10</v>
      </c>
      <c r="AEM16" t="s">
        <v>3980</v>
      </c>
      <c r="AEN16" t="s">
        <v>3981</v>
      </c>
      <c r="AEO16">
        <v>3.6512992382049561</v>
      </c>
      <c r="AEP16">
        <v>431</v>
      </c>
      <c r="AEQ16" s="5"/>
      <c r="AER16">
        <f t="shared" si="137"/>
        <v>2</v>
      </c>
      <c r="AES16" t="s">
        <v>3346</v>
      </c>
      <c r="AET16" t="s">
        <v>3892</v>
      </c>
      <c r="AEU16">
        <v>3.1453285217285161</v>
      </c>
      <c r="AEV16">
        <v>398</v>
      </c>
      <c r="AEW16" s="2"/>
      <c r="AEX16">
        <f t="shared" si="138"/>
        <v>18</v>
      </c>
      <c r="AEY16" t="s">
        <v>3982</v>
      </c>
      <c r="AEZ16" t="s">
        <v>3983</v>
      </c>
      <c r="AFA16">
        <v>11.840962171554571</v>
      </c>
      <c r="AFB16">
        <v>433</v>
      </c>
      <c r="AFC16" s="5"/>
      <c r="AFD16">
        <f t="shared" si="139"/>
        <v>35</v>
      </c>
      <c r="AFE16" t="s">
        <v>3984</v>
      </c>
      <c r="AFF16" t="s">
        <v>3985</v>
      </c>
      <c r="AFG16">
        <v>153.47908353805539</v>
      </c>
      <c r="AFH16">
        <v>377</v>
      </c>
      <c r="AFI16" s="2"/>
      <c r="AFJ16">
        <f t="shared" si="140"/>
        <v>34</v>
      </c>
      <c r="AFK16" t="s">
        <v>3986</v>
      </c>
      <c r="AFL16" t="s">
        <v>3987</v>
      </c>
      <c r="AFM16">
        <v>19.646383285522461</v>
      </c>
      <c r="AFN16">
        <v>496</v>
      </c>
      <c r="AFO16" s="5"/>
      <c r="AFP16">
        <f t="shared" si="141"/>
        <v>32</v>
      </c>
      <c r="AFQ16" t="s">
        <v>856</v>
      </c>
      <c r="AFR16" t="s">
        <v>3988</v>
      </c>
      <c r="AFS16">
        <v>6.4357223510742188</v>
      </c>
      <c r="AFT16">
        <v>389</v>
      </c>
      <c r="AFU16" s="2"/>
      <c r="AFV16">
        <f t="shared" si="142"/>
        <v>20</v>
      </c>
      <c r="AFW16" t="s">
        <v>78</v>
      </c>
      <c r="AFX16" t="s">
        <v>3989</v>
      </c>
      <c r="AFY16">
        <v>9.554210901260376</v>
      </c>
      <c r="AFZ16">
        <v>391</v>
      </c>
      <c r="AGA16" s="5"/>
      <c r="AGB16">
        <f t="shared" si="143"/>
        <v>22</v>
      </c>
      <c r="AGC16" t="s">
        <v>3990</v>
      </c>
      <c r="AGD16" t="s">
        <v>3991</v>
      </c>
      <c r="AGE16">
        <v>7.0443165302276611</v>
      </c>
      <c r="AGF16">
        <v>388</v>
      </c>
      <c r="AGG16" s="2"/>
      <c r="AGH16">
        <f t="shared" si="144"/>
        <v>19</v>
      </c>
      <c r="AGI16" t="s">
        <v>800</v>
      </c>
      <c r="AGJ16" t="s">
        <v>3992</v>
      </c>
      <c r="AGK16">
        <v>4.8598322868347168</v>
      </c>
      <c r="AGL16">
        <v>539</v>
      </c>
      <c r="AGM16" s="5"/>
      <c r="AGN16">
        <f t="shared" si="145"/>
        <v>7</v>
      </c>
      <c r="AGO16" t="s">
        <v>3</v>
      </c>
      <c r="AGP16" t="s">
        <v>3892</v>
      </c>
      <c r="AGQ16">
        <v>3.4840705394744869</v>
      </c>
      <c r="AGR16">
        <v>426</v>
      </c>
      <c r="AGS16" s="2"/>
      <c r="AGT16">
        <f t="shared" si="146"/>
        <v>15</v>
      </c>
      <c r="AGU16" t="s">
        <v>1079</v>
      </c>
      <c r="AGV16" t="s">
        <v>3993</v>
      </c>
      <c r="AGW16">
        <v>5.4560203552246094</v>
      </c>
      <c r="AGX16">
        <v>414</v>
      </c>
      <c r="AGY16" s="5"/>
      <c r="AGZ16">
        <f t="shared" si="147"/>
        <v>13</v>
      </c>
      <c r="AHA16" t="s">
        <v>1530</v>
      </c>
      <c r="AHB16" t="s">
        <v>3994</v>
      </c>
      <c r="AHC16">
        <v>3.8744852542877202</v>
      </c>
      <c r="AHD16">
        <v>505</v>
      </c>
      <c r="AHE16" s="2"/>
      <c r="AHF16">
        <f t="shared" si="148"/>
        <v>18</v>
      </c>
      <c r="AHG16" t="s">
        <v>1015</v>
      </c>
      <c r="AHH16" t="s">
        <v>3995</v>
      </c>
      <c r="AHI16">
        <v>7.5626590251922607</v>
      </c>
      <c r="AHJ16">
        <v>407</v>
      </c>
      <c r="AHK16" s="5"/>
      <c r="AHL16">
        <f t="shared" si="149"/>
        <v>18</v>
      </c>
      <c r="AHM16" t="s">
        <v>3535</v>
      </c>
      <c r="AHN16" t="s">
        <v>3996</v>
      </c>
      <c r="AHO16">
        <v>8.8435416221618652</v>
      </c>
      <c r="AHP16">
        <v>366</v>
      </c>
      <c r="AHQ16" s="2"/>
      <c r="AHR16">
        <f t="shared" si="150"/>
        <v>25</v>
      </c>
      <c r="AHS16" t="s">
        <v>3997</v>
      </c>
      <c r="AHT16" t="s">
        <v>3998</v>
      </c>
      <c r="AHU16">
        <v>35.096101045608521</v>
      </c>
      <c r="AHV16">
        <v>465</v>
      </c>
      <c r="AHW16" s="5"/>
      <c r="AHX16">
        <f t="shared" si="151"/>
        <v>13</v>
      </c>
      <c r="AHY16" t="s">
        <v>3341</v>
      </c>
      <c r="AHZ16" t="s">
        <v>3999</v>
      </c>
      <c r="AIA16">
        <v>10.112684488296511</v>
      </c>
      <c r="AIB16">
        <v>311</v>
      </c>
      <c r="AIC16" s="2"/>
      <c r="AID16">
        <f t="shared" si="152"/>
        <v>34</v>
      </c>
      <c r="AIE16" t="s">
        <v>4000</v>
      </c>
      <c r="AIF16" t="s">
        <v>4001</v>
      </c>
      <c r="AIG16">
        <v>18.482456684112549</v>
      </c>
      <c r="AIH16">
        <v>398</v>
      </c>
      <c r="AII16" s="5"/>
      <c r="AIJ16">
        <f t="shared" si="153"/>
        <v>24</v>
      </c>
      <c r="AIK16" t="s">
        <v>667</v>
      </c>
      <c r="AIL16" t="s">
        <v>4002</v>
      </c>
      <c r="AIM16">
        <v>17.19814848899841</v>
      </c>
      <c r="AIN16">
        <v>377</v>
      </c>
      <c r="AIO16" s="2"/>
      <c r="AIP16">
        <f t="shared" si="154"/>
        <v>0</v>
      </c>
      <c r="AIR16" t="s">
        <v>3641</v>
      </c>
      <c r="AIS16">
        <v>3.0526905059814449</v>
      </c>
      <c r="AIT16">
        <v>388</v>
      </c>
      <c r="AIU16" s="5"/>
      <c r="AIV16">
        <f t="shared" si="155"/>
        <v>0</v>
      </c>
      <c r="AIX16" t="s">
        <v>657</v>
      </c>
      <c r="AIY16">
        <v>3.0241601467132568</v>
      </c>
      <c r="AIZ16">
        <v>447</v>
      </c>
      <c r="AJA16" s="2"/>
      <c r="AJB16">
        <f t="shared" si="156"/>
        <v>10</v>
      </c>
      <c r="AJC16" t="s">
        <v>3715</v>
      </c>
      <c r="AJD16" t="s">
        <v>4003</v>
      </c>
      <c r="AJE16">
        <v>3.376696109771729</v>
      </c>
      <c r="AJF16">
        <v>585</v>
      </c>
      <c r="AJG16" s="5"/>
      <c r="AJH16">
        <f t="shared" si="157"/>
        <v>3</v>
      </c>
      <c r="AJI16" t="s">
        <v>2707</v>
      </c>
      <c r="AJJ16" t="s">
        <v>987</v>
      </c>
      <c r="AJK16">
        <v>3.16709303855896</v>
      </c>
      <c r="AJL16">
        <v>397</v>
      </c>
      <c r="AJM16" s="2"/>
      <c r="AJN16">
        <f t="shared" si="158"/>
        <v>13</v>
      </c>
      <c r="AJO16" t="s">
        <v>4004</v>
      </c>
      <c r="AJP16" t="s">
        <v>4005</v>
      </c>
      <c r="AJQ16">
        <v>3.644891500473022</v>
      </c>
      <c r="AJR16">
        <v>470</v>
      </c>
      <c r="AJS16" s="5"/>
      <c r="AJT16">
        <f t="shared" si="159"/>
        <v>9</v>
      </c>
      <c r="AJU16" t="s">
        <v>4006</v>
      </c>
      <c r="AJV16" t="s">
        <v>4007</v>
      </c>
      <c r="AJW16">
        <v>3.5595772266387939</v>
      </c>
      <c r="AJX16">
        <v>451</v>
      </c>
      <c r="AJY16" s="2"/>
      <c r="AJZ16">
        <f t="shared" si="160"/>
        <v>28</v>
      </c>
      <c r="AKA16" t="s">
        <v>4008</v>
      </c>
      <c r="AKB16" t="s">
        <v>4009</v>
      </c>
      <c r="AKC16">
        <v>11.075136184692379</v>
      </c>
      <c r="AKD16">
        <v>361</v>
      </c>
      <c r="AKE16" s="5"/>
      <c r="AKF16">
        <f t="shared" si="161"/>
        <v>4</v>
      </c>
      <c r="AKG16" t="s">
        <v>1758</v>
      </c>
      <c r="AKH16" t="s">
        <v>4010</v>
      </c>
      <c r="AKI16">
        <v>14.91543173789978</v>
      </c>
      <c r="AKJ16">
        <v>380</v>
      </c>
      <c r="AKK16" s="2"/>
      <c r="AKL16">
        <f t="shared" si="162"/>
        <v>24</v>
      </c>
      <c r="AKM16" t="s">
        <v>20</v>
      </c>
      <c r="AKN16" t="s">
        <v>4011</v>
      </c>
      <c r="AKO16">
        <v>4.6500716209411621</v>
      </c>
      <c r="AKP16">
        <v>380</v>
      </c>
      <c r="AKQ16" s="5"/>
      <c r="AKR16">
        <f t="shared" si="163"/>
        <v>26</v>
      </c>
      <c r="AKS16" t="s">
        <v>4012</v>
      </c>
      <c r="AKT16" t="s">
        <v>4013</v>
      </c>
      <c r="AKU16">
        <v>10.95541644096375</v>
      </c>
      <c r="AKV16">
        <v>448</v>
      </c>
      <c r="AKW16" s="2"/>
      <c r="AKX16">
        <f t="shared" si="164"/>
        <v>9</v>
      </c>
      <c r="AKY16" t="s">
        <v>322</v>
      </c>
      <c r="AKZ16" t="s">
        <v>4014</v>
      </c>
      <c r="ALA16">
        <v>3.2299704551696782</v>
      </c>
      <c r="ALB16">
        <v>529</v>
      </c>
      <c r="ALC16" s="5"/>
      <c r="ALD16">
        <f t="shared" si="165"/>
        <v>10</v>
      </c>
      <c r="ALE16" t="s">
        <v>4015</v>
      </c>
      <c r="ALF16" t="s">
        <v>4016</v>
      </c>
      <c r="ALG16">
        <v>3.6815094947814941</v>
      </c>
      <c r="ALH16">
        <v>490</v>
      </c>
      <c r="ALI16" s="2"/>
      <c r="ALJ16">
        <f t="shared" si="166"/>
        <v>36</v>
      </c>
      <c r="ALK16" t="s">
        <v>4017</v>
      </c>
      <c r="ALL16" t="s">
        <v>4018</v>
      </c>
      <c r="ALM16">
        <v>9.1697790622711182</v>
      </c>
      <c r="ALN16">
        <v>456</v>
      </c>
      <c r="ALO16" s="5"/>
      <c r="ALP16">
        <f t="shared" si="167"/>
        <v>16</v>
      </c>
      <c r="ALQ16" t="s">
        <v>1819</v>
      </c>
      <c r="ALR16" t="s">
        <v>4019</v>
      </c>
      <c r="ALS16">
        <v>9.1747269630432129</v>
      </c>
      <c r="ALT16">
        <v>390</v>
      </c>
      <c r="ALU16" s="2"/>
      <c r="ALV16">
        <f t="shared" si="168"/>
        <v>19</v>
      </c>
      <c r="ALW16" t="s">
        <v>1549</v>
      </c>
      <c r="ALX16" t="s">
        <v>4020</v>
      </c>
      <c r="ALY16">
        <v>4.9142348766326904</v>
      </c>
      <c r="ALZ16">
        <v>492</v>
      </c>
      <c r="AMA16" s="5"/>
      <c r="AMB16">
        <f t="shared" si="169"/>
        <v>24</v>
      </c>
      <c r="AMC16" t="s">
        <v>4021</v>
      </c>
      <c r="AMD16" t="s">
        <v>4022</v>
      </c>
      <c r="AME16">
        <v>5.5196404457092294</v>
      </c>
      <c r="AMF16">
        <v>398</v>
      </c>
      <c r="AMG16" s="2"/>
      <c r="AMH16">
        <f t="shared" si="170"/>
        <v>9</v>
      </c>
      <c r="AMI16" t="s">
        <v>3</v>
      </c>
      <c r="AMJ16" t="s">
        <v>3372</v>
      </c>
      <c r="AMK16">
        <v>3.2103672027587891</v>
      </c>
      <c r="AML16">
        <v>435</v>
      </c>
      <c r="AMM16" s="5"/>
      <c r="AMN16">
        <f t="shared" si="171"/>
        <v>22</v>
      </c>
      <c r="AMO16" t="s">
        <v>2647</v>
      </c>
      <c r="AMP16" t="s">
        <v>4023</v>
      </c>
      <c r="AMQ16">
        <v>4.9082105159759521</v>
      </c>
      <c r="AMR16">
        <v>417</v>
      </c>
      <c r="AMS16" s="2"/>
    </row>
    <row r="17" spans="1:1033" x14ac:dyDescent="0.25">
      <c r="A17">
        <v>15</v>
      </c>
      <c r="B17">
        <f t="shared" si="0"/>
        <v>14</v>
      </c>
      <c r="C17" t="s">
        <v>4024</v>
      </c>
      <c r="D17" t="s">
        <v>4025</v>
      </c>
      <c r="E17">
        <v>12.308471918106081</v>
      </c>
      <c r="F17">
        <v>460</v>
      </c>
      <c r="G17" s="1"/>
      <c r="H17">
        <f t="shared" si="1"/>
        <v>17</v>
      </c>
      <c r="I17" t="s">
        <v>4026</v>
      </c>
      <c r="J17" t="s">
        <v>4027</v>
      </c>
      <c r="K17">
        <v>7.706364631652832</v>
      </c>
      <c r="L17">
        <v>405</v>
      </c>
      <c r="M17" s="2"/>
      <c r="N17">
        <f t="shared" si="2"/>
        <v>2</v>
      </c>
      <c r="O17" t="s">
        <v>2993</v>
      </c>
      <c r="P17" t="s">
        <v>4028</v>
      </c>
      <c r="Q17">
        <v>5.1911330223083496</v>
      </c>
      <c r="R17">
        <v>357</v>
      </c>
      <c r="S17" s="1"/>
      <c r="T17">
        <f t="shared" si="3"/>
        <v>2</v>
      </c>
      <c r="U17" t="s">
        <v>3346</v>
      </c>
      <c r="V17" t="s">
        <v>4029</v>
      </c>
      <c r="W17">
        <v>3.1537988185882568</v>
      </c>
      <c r="X17">
        <v>424</v>
      </c>
      <c r="Y17" s="2"/>
      <c r="Z17">
        <f t="shared" si="4"/>
        <v>22</v>
      </c>
      <c r="AA17" t="s">
        <v>4030</v>
      </c>
      <c r="AB17" t="s">
        <v>4031</v>
      </c>
      <c r="AC17">
        <v>5.7455768585205078</v>
      </c>
      <c r="AD17">
        <v>506</v>
      </c>
      <c r="AE17" s="1"/>
      <c r="AF17">
        <f t="shared" si="5"/>
        <v>11</v>
      </c>
      <c r="AG17" t="s">
        <v>4032</v>
      </c>
      <c r="AH17" t="s">
        <v>4033</v>
      </c>
      <c r="AI17">
        <v>3.6131060123443599</v>
      </c>
      <c r="AJ17">
        <v>404</v>
      </c>
      <c r="AK17" s="2"/>
      <c r="AL17">
        <f t="shared" si="6"/>
        <v>17</v>
      </c>
      <c r="AM17" t="s">
        <v>1466</v>
      </c>
      <c r="AN17" t="s">
        <v>4034</v>
      </c>
      <c r="AO17">
        <v>4.5901901721954346</v>
      </c>
      <c r="AP17">
        <v>429</v>
      </c>
      <c r="AQ17" s="3"/>
      <c r="AR17">
        <f t="shared" si="7"/>
        <v>12</v>
      </c>
      <c r="AS17" t="s">
        <v>3917</v>
      </c>
      <c r="AT17" t="s">
        <v>4035</v>
      </c>
      <c r="AU17">
        <v>3.8671643733978271</v>
      </c>
      <c r="AV17">
        <v>427</v>
      </c>
      <c r="AW17" s="2"/>
      <c r="BB17">
        <v>418</v>
      </c>
      <c r="BH17">
        <v>524</v>
      </c>
      <c r="BJ17">
        <f t="shared" si="10"/>
        <v>0</v>
      </c>
      <c r="BL17" t="s">
        <v>3641</v>
      </c>
      <c r="BM17">
        <v>3.0245742797851558</v>
      </c>
      <c r="BN17">
        <v>513</v>
      </c>
      <c r="BO17" s="3"/>
      <c r="BP17">
        <f t="shared" si="11"/>
        <v>8</v>
      </c>
      <c r="BQ17" t="s">
        <v>1819</v>
      </c>
      <c r="BR17" t="s">
        <v>4036</v>
      </c>
      <c r="BS17">
        <v>3.9157998561859131</v>
      </c>
      <c r="BT17">
        <v>401</v>
      </c>
      <c r="BU17" s="2"/>
      <c r="BV17">
        <f t="shared" si="12"/>
        <v>0</v>
      </c>
      <c r="BX17" t="s">
        <v>4037</v>
      </c>
      <c r="BY17">
        <v>3.4199025630950932</v>
      </c>
      <c r="BZ17">
        <v>537</v>
      </c>
      <c r="CA17" s="3"/>
      <c r="CB17">
        <f t="shared" si="13"/>
        <v>6</v>
      </c>
      <c r="CC17" t="s">
        <v>1179</v>
      </c>
      <c r="CD17" t="s">
        <v>3892</v>
      </c>
      <c r="CE17">
        <v>3.208525419235229</v>
      </c>
      <c r="CF17">
        <v>405</v>
      </c>
      <c r="CG17" s="2"/>
      <c r="CH17">
        <f t="shared" si="14"/>
        <v>30</v>
      </c>
      <c r="CI17" t="s">
        <v>4038</v>
      </c>
      <c r="CJ17" t="s">
        <v>4039</v>
      </c>
      <c r="CK17">
        <v>7.9465916156768799</v>
      </c>
      <c r="CL17">
        <v>421</v>
      </c>
      <c r="CM17" s="3"/>
      <c r="CN17">
        <f t="shared" si="15"/>
        <v>4</v>
      </c>
      <c r="CO17" t="s">
        <v>3346</v>
      </c>
      <c r="CP17" t="s">
        <v>3762</v>
      </c>
      <c r="CQ17">
        <v>3.0706467628478999</v>
      </c>
      <c r="CR17">
        <v>456</v>
      </c>
      <c r="CS17" s="2"/>
      <c r="CT17">
        <f t="shared" si="16"/>
        <v>17</v>
      </c>
      <c r="CU17" t="s">
        <v>987</v>
      </c>
      <c r="CV17" t="s">
        <v>987</v>
      </c>
      <c r="CW17">
        <v>3.0817124843597412</v>
      </c>
      <c r="CX17">
        <v>496</v>
      </c>
      <c r="CY17" s="3"/>
      <c r="DB17" t="s">
        <v>3839</v>
      </c>
      <c r="DD17">
        <v>356</v>
      </c>
      <c r="DF17">
        <f t="shared" si="18"/>
        <v>13</v>
      </c>
      <c r="DG17" t="s">
        <v>3405</v>
      </c>
      <c r="DH17" t="s">
        <v>4040</v>
      </c>
      <c r="DI17">
        <v>8.0537655353546143</v>
      </c>
      <c r="DJ17">
        <v>271</v>
      </c>
      <c r="DK17" s="3"/>
      <c r="DL17">
        <f t="shared" si="19"/>
        <v>19</v>
      </c>
      <c r="DM17" t="s">
        <v>4041</v>
      </c>
      <c r="DN17" t="s">
        <v>4042</v>
      </c>
      <c r="DO17">
        <v>7.3183212280273438</v>
      </c>
      <c r="DP17">
        <v>355</v>
      </c>
      <c r="DQ17" s="2"/>
      <c r="DR17">
        <f t="shared" si="20"/>
        <v>9</v>
      </c>
      <c r="DS17" t="s">
        <v>3309</v>
      </c>
      <c r="DT17" t="s">
        <v>3893</v>
      </c>
      <c r="DU17">
        <v>3.625372171401978</v>
      </c>
      <c r="DV17">
        <v>539</v>
      </c>
      <c r="DW17" s="3"/>
      <c r="DX17">
        <f t="shared" si="21"/>
        <v>7</v>
      </c>
      <c r="DY17" t="s">
        <v>3734</v>
      </c>
      <c r="DZ17" t="s">
        <v>4043</v>
      </c>
      <c r="EA17">
        <v>3.7722301483154301</v>
      </c>
      <c r="EB17">
        <v>355</v>
      </c>
      <c r="EC17" s="2"/>
      <c r="ED17">
        <f t="shared" si="22"/>
        <v>14</v>
      </c>
      <c r="EE17" t="s">
        <v>2738</v>
      </c>
      <c r="EF17" t="s">
        <v>4044</v>
      </c>
      <c r="EG17">
        <v>5.8228449821472168</v>
      </c>
      <c r="EH17">
        <v>301</v>
      </c>
      <c r="EI17" s="3"/>
      <c r="EJ17">
        <f t="shared" si="23"/>
        <v>0</v>
      </c>
      <c r="EL17" t="s">
        <v>3946</v>
      </c>
      <c r="EM17">
        <v>2.75066065788269</v>
      </c>
      <c r="EN17">
        <v>498</v>
      </c>
      <c r="EO17" s="2"/>
      <c r="EP17">
        <f t="shared" si="24"/>
        <v>27</v>
      </c>
      <c r="EQ17" t="s">
        <v>4045</v>
      </c>
      <c r="ER17" t="s">
        <v>4046</v>
      </c>
      <c r="ES17">
        <v>6.1910171508789063</v>
      </c>
      <c r="ET17">
        <v>404</v>
      </c>
      <c r="EU17" s="3"/>
      <c r="EV17">
        <f t="shared" si="25"/>
        <v>8</v>
      </c>
      <c r="EW17" t="s">
        <v>835</v>
      </c>
      <c r="EX17" t="s">
        <v>4047</v>
      </c>
      <c r="EY17">
        <v>6.3273758888244629</v>
      </c>
      <c r="EZ17">
        <v>314</v>
      </c>
      <c r="FA17" s="2"/>
      <c r="FB17">
        <f t="shared" si="26"/>
        <v>23</v>
      </c>
      <c r="FC17" t="s">
        <v>3648</v>
      </c>
      <c r="FD17" t="s">
        <v>3648</v>
      </c>
      <c r="FE17">
        <v>4.0876109600067139</v>
      </c>
      <c r="FF17">
        <v>464</v>
      </c>
      <c r="FG17" s="3"/>
      <c r="FJ17" t="s">
        <v>3611</v>
      </c>
      <c r="FL17">
        <v>449</v>
      </c>
      <c r="FR17">
        <v>458</v>
      </c>
      <c r="FX17">
        <v>502</v>
      </c>
      <c r="FZ17">
        <f t="shared" si="30"/>
        <v>5</v>
      </c>
      <c r="GA17" t="s">
        <v>3</v>
      </c>
      <c r="GB17" t="s">
        <v>4048</v>
      </c>
      <c r="GC17">
        <v>3.1378705501556401</v>
      </c>
      <c r="GD17">
        <v>429</v>
      </c>
      <c r="GE17" s="3"/>
      <c r="GF17">
        <f t="shared" si="31"/>
        <v>4</v>
      </c>
      <c r="GG17" t="s">
        <v>2817</v>
      </c>
      <c r="GH17" t="s">
        <v>3892</v>
      </c>
      <c r="GI17">
        <v>3.1698582172393799</v>
      </c>
      <c r="GJ17">
        <v>397</v>
      </c>
      <c r="GK17" s="2"/>
      <c r="GL17">
        <f t="shared" si="32"/>
        <v>21</v>
      </c>
      <c r="GM17" t="s">
        <v>4049</v>
      </c>
      <c r="GN17" t="s">
        <v>4050</v>
      </c>
      <c r="GO17">
        <v>27.297683715820309</v>
      </c>
      <c r="GP17">
        <v>418</v>
      </c>
      <c r="GQ17" s="3"/>
      <c r="GR17">
        <f t="shared" si="33"/>
        <v>17</v>
      </c>
      <c r="GS17" t="s">
        <v>4051</v>
      </c>
      <c r="GT17" t="s">
        <v>4052</v>
      </c>
      <c r="GU17">
        <v>5.7873263359069824</v>
      </c>
      <c r="GV17">
        <v>508</v>
      </c>
      <c r="GW17" s="2"/>
      <c r="GX17">
        <f t="shared" si="34"/>
        <v>100</v>
      </c>
      <c r="GY17" t="s">
        <v>4053</v>
      </c>
      <c r="GZ17" t="s">
        <v>4054</v>
      </c>
      <c r="HA17">
        <v>113.8058860301971</v>
      </c>
      <c r="HB17">
        <v>517</v>
      </c>
      <c r="HC17" s="3"/>
      <c r="HF17" t="s">
        <v>4055</v>
      </c>
      <c r="HH17">
        <v>349</v>
      </c>
      <c r="HN17">
        <v>430</v>
      </c>
      <c r="HT17">
        <v>358</v>
      </c>
      <c r="HV17">
        <f t="shared" si="38"/>
        <v>6</v>
      </c>
      <c r="HW17" t="s">
        <v>3055</v>
      </c>
      <c r="HX17" t="s">
        <v>4056</v>
      </c>
      <c r="HY17">
        <v>3.0169093608856201</v>
      </c>
      <c r="HZ17">
        <v>441</v>
      </c>
      <c r="IA17" s="3"/>
      <c r="IB17">
        <f t="shared" si="39"/>
        <v>7</v>
      </c>
      <c r="IC17" t="s">
        <v>3</v>
      </c>
      <c r="ID17" t="s">
        <v>4057</v>
      </c>
      <c r="IE17">
        <v>3.4465456008911128</v>
      </c>
      <c r="IF17">
        <v>452</v>
      </c>
      <c r="IG17" s="2"/>
      <c r="IH17">
        <f t="shared" si="40"/>
        <v>22</v>
      </c>
      <c r="II17" t="s">
        <v>4058</v>
      </c>
      <c r="IJ17" t="s">
        <v>800</v>
      </c>
      <c r="IK17">
        <v>2.9977011680603032</v>
      </c>
      <c r="IL17">
        <v>555</v>
      </c>
      <c r="IM17" s="3"/>
      <c r="IP17" t="s">
        <v>3859</v>
      </c>
      <c r="IR17">
        <v>380</v>
      </c>
      <c r="IT17">
        <f t="shared" si="42"/>
        <v>13</v>
      </c>
      <c r="IU17" t="s">
        <v>3311</v>
      </c>
      <c r="IV17" t="s">
        <v>4059</v>
      </c>
      <c r="IW17">
        <v>4.258277416229248</v>
      </c>
      <c r="IX17">
        <v>371</v>
      </c>
      <c r="IY17" s="3"/>
      <c r="IZ17">
        <f t="shared" si="43"/>
        <v>11</v>
      </c>
      <c r="JA17" t="s">
        <v>4060</v>
      </c>
      <c r="JB17" t="s">
        <v>4061</v>
      </c>
      <c r="JC17">
        <v>3.8178753852844238</v>
      </c>
      <c r="JD17">
        <v>423</v>
      </c>
      <c r="JE17" s="2"/>
      <c r="JF17">
        <f t="shared" si="44"/>
        <v>12</v>
      </c>
      <c r="JG17" t="s">
        <v>4062</v>
      </c>
      <c r="JH17" t="s">
        <v>4063</v>
      </c>
      <c r="JI17">
        <v>5.5101828575134277</v>
      </c>
      <c r="JJ17">
        <v>298</v>
      </c>
      <c r="JK17" s="3"/>
      <c r="JL17">
        <f t="shared" si="45"/>
        <v>7</v>
      </c>
      <c r="JM17" t="s">
        <v>961</v>
      </c>
      <c r="JN17" t="s">
        <v>3635</v>
      </c>
      <c r="JO17">
        <v>3.369733333587646</v>
      </c>
      <c r="JP17">
        <v>284</v>
      </c>
      <c r="JQ17" s="2"/>
      <c r="JR17">
        <f t="shared" si="46"/>
        <v>24</v>
      </c>
      <c r="JS17" t="s">
        <v>4064</v>
      </c>
      <c r="JT17" t="s">
        <v>4065</v>
      </c>
      <c r="JU17">
        <v>31.057718276977539</v>
      </c>
      <c r="JV17">
        <v>333</v>
      </c>
      <c r="JW17" s="3"/>
      <c r="JX17">
        <f t="shared" si="47"/>
        <v>14</v>
      </c>
      <c r="JY17" t="s">
        <v>2707</v>
      </c>
      <c r="JZ17" t="s">
        <v>4066</v>
      </c>
      <c r="KA17">
        <v>4.9804039001464844</v>
      </c>
      <c r="KB17">
        <v>403</v>
      </c>
      <c r="KC17" s="2"/>
      <c r="KD17">
        <f t="shared" si="48"/>
        <v>26</v>
      </c>
      <c r="KE17" t="s">
        <v>2703</v>
      </c>
      <c r="KF17" t="s">
        <v>4067</v>
      </c>
      <c r="KG17">
        <v>10.155754089355471</v>
      </c>
      <c r="KH17">
        <v>285</v>
      </c>
      <c r="KI17" s="3"/>
      <c r="KJ17">
        <f t="shared" si="49"/>
        <v>20</v>
      </c>
      <c r="KK17" t="s">
        <v>4068</v>
      </c>
      <c r="KL17" t="s">
        <v>4069</v>
      </c>
      <c r="KM17">
        <v>13.086456537246701</v>
      </c>
      <c r="KN17">
        <v>483</v>
      </c>
      <c r="KO17" s="2"/>
      <c r="KT17">
        <v>521</v>
      </c>
      <c r="KZ17">
        <v>379</v>
      </c>
      <c r="LB17">
        <f t="shared" si="52"/>
        <v>5</v>
      </c>
      <c r="LC17" t="s">
        <v>3</v>
      </c>
      <c r="LD17" t="s">
        <v>4070</v>
      </c>
      <c r="LE17">
        <v>2.8852386474609379</v>
      </c>
      <c r="LF17">
        <v>423</v>
      </c>
      <c r="LG17" s="3"/>
      <c r="LH17">
        <f t="shared" si="53"/>
        <v>9</v>
      </c>
      <c r="LI17" t="s">
        <v>1644</v>
      </c>
      <c r="LJ17" t="s">
        <v>4071</v>
      </c>
      <c r="LK17">
        <v>22.115896463394169</v>
      </c>
      <c r="LL17">
        <v>505</v>
      </c>
      <c r="LM17" s="2"/>
      <c r="LN17">
        <f t="shared" si="54"/>
        <v>11</v>
      </c>
      <c r="LO17" t="s">
        <v>2246</v>
      </c>
      <c r="LP17" t="s">
        <v>4072</v>
      </c>
      <c r="LQ17">
        <v>3.497814416885376</v>
      </c>
      <c r="LR17">
        <v>455</v>
      </c>
      <c r="LS17" s="3"/>
      <c r="LT17">
        <f t="shared" si="55"/>
        <v>6</v>
      </c>
      <c r="LU17" t="s">
        <v>3</v>
      </c>
      <c r="LV17" t="s">
        <v>4073</v>
      </c>
      <c r="LW17">
        <v>2.8450608253478999</v>
      </c>
      <c r="LX17">
        <v>446</v>
      </c>
      <c r="LY17" s="2"/>
      <c r="MD17">
        <v>437</v>
      </c>
      <c r="MJ17">
        <v>473</v>
      </c>
      <c r="MP17">
        <v>375</v>
      </c>
      <c r="MV17">
        <v>477</v>
      </c>
      <c r="MX17">
        <f t="shared" si="60"/>
        <v>5</v>
      </c>
      <c r="MY17" t="s">
        <v>916</v>
      </c>
      <c r="MZ17" t="s">
        <v>4074</v>
      </c>
      <c r="NA17">
        <v>3.0602211952209468</v>
      </c>
      <c r="NB17">
        <v>455</v>
      </c>
      <c r="NC17" s="3"/>
      <c r="ND17">
        <f t="shared" si="61"/>
        <v>11</v>
      </c>
      <c r="NE17" t="s">
        <v>1423</v>
      </c>
      <c r="NF17" t="s">
        <v>3373</v>
      </c>
      <c r="NG17">
        <v>2.5610883235931401</v>
      </c>
      <c r="NH17">
        <v>506</v>
      </c>
      <c r="NI17" s="2"/>
      <c r="NJ17">
        <f t="shared" si="62"/>
        <v>23</v>
      </c>
      <c r="NK17" t="s">
        <v>4075</v>
      </c>
      <c r="NL17" t="s">
        <v>4076</v>
      </c>
      <c r="NM17">
        <v>12.99671387672424</v>
      </c>
      <c r="NN17">
        <v>350</v>
      </c>
      <c r="NO17" s="3"/>
      <c r="NP17">
        <f t="shared" si="63"/>
        <v>26</v>
      </c>
      <c r="NQ17" t="s">
        <v>3407</v>
      </c>
      <c r="NR17" t="s">
        <v>4077</v>
      </c>
      <c r="NS17">
        <v>44.491781234741211</v>
      </c>
      <c r="NT17">
        <v>358</v>
      </c>
      <c r="NU17" s="2"/>
      <c r="NV17">
        <f t="shared" si="64"/>
        <v>4</v>
      </c>
      <c r="NW17" t="s">
        <v>3346</v>
      </c>
      <c r="NX17" t="s">
        <v>4078</v>
      </c>
      <c r="NY17">
        <v>3.2930541038513179</v>
      </c>
      <c r="NZ17">
        <v>353</v>
      </c>
      <c r="OA17" s="3"/>
      <c r="OB17">
        <f t="shared" si="65"/>
        <v>2</v>
      </c>
      <c r="OC17" t="s">
        <v>3</v>
      </c>
      <c r="OD17" t="s">
        <v>3892</v>
      </c>
      <c r="OE17">
        <v>3.017342329025269</v>
      </c>
      <c r="OF17">
        <v>465</v>
      </c>
      <c r="OG17" s="2"/>
      <c r="OJ17" t="s">
        <v>3947</v>
      </c>
      <c r="OL17">
        <v>378</v>
      </c>
      <c r="OR17">
        <v>515</v>
      </c>
      <c r="OT17">
        <f t="shared" si="68"/>
        <v>11</v>
      </c>
      <c r="OU17" t="s">
        <v>4079</v>
      </c>
      <c r="OV17" t="s">
        <v>4080</v>
      </c>
      <c r="OW17">
        <v>4.15439772605896</v>
      </c>
      <c r="OX17">
        <v>430</v>
      </c>
      <c r="OY17" s="3"/>
      <c r="OZ17">
        <f t="shared" si="69"/>
        <v>6</v>
      </c>
      <c r="PA17" t="s">
        <v>3</v>
      </c>
      <c r="PB17" t="s">
        <v>3</v>
      </c>
      <c r="PC17">
        <v>3.015393972396851</v>
      </c>
      <c r="PD17">
        <v>494</v>
      </c>
      <c r="PE17" s="2"/>
      <c r="PJ17">
        <v>395</v>
      </c>
      <c r="PP17">
        <v>489</v>
      </c>
      <c r="PR17">
        <f t="shared" si="72"/>
        <v>4</v>
      </c>
      <c r="PS17" t="s">
        <v>1136</v>
      </c>
      <c r="PT17" t="s">
        <v>4081</v>
      </c>
      <c r="PU17">
        <v>3.424598217010498</v>
      </c>
      <c r="PV17">
        <v>375</v>
      </c>
      <c r="PW17" s="3"/>
      <c r="PX17">
        <f t="shared" si="73"/>
        <v>0</v>
      </c>
      <c r="PZ17" t="s">
        <v>4082</v>
      </c>
      <c r="QA17">
        <v>3.3957500457763672</v>
      </c>
      <c r="QB17">
        <v>467</v>
      </c>
      <c r="QC17" s="2"/>
      <c r="QD17">
        <f t="shared" si="74"/>
        <v>12</v>
      </c>
      <c r="QE17" t="s">
        <v>3</v>
      </c>
      <c r="QF17" t="s">
        <v>3892</v>
      </c>
      <c r="QG17">
        <v>3.3256938457489009</v>
      </c>
      <c r="QH17">
        <v>355</v>
      </c>
      <c r="QI17" s="3"/>
      <c r="QJ17">
        <f t="shared" si="75"/>
        <v>17</v>
      </c>
      <c r="QK17" t="s">
        <v>1229</v>
      </c>
      <c r="QL17" t="s">
        <v>4083</v>
      </c>
      <c r="QM17">
        <v>3.8643121719360352</v>
      </c>
      <c r="QN17">
        <v>451</v>
      </c>
      <c r="QO17" s="2"/>
      <c r="QP17">
        <f t="shared" si="76"/>
        <v>30</v>
      </c>
      <c r="QQ17" t="s">
        <v>1130</v>
      </c>
      <c r="QR17" t="s">
        <v>4084</v>
      </c>
      <c r="QS17">
        <v>9.6906881332397461</v>
      </c>
      <c r="QT17">
        <v>341</v>
      </c>
      <c r="QU17" s="3"/>
      <c r="QV17">
        <f t="shared" si="77"/>
        <v>19</v>
      </c>
      <c r="QW17" t="s">
        <v>4085</v>
      </c>
      <c r="QX17" t="s">
        <v>4086</v>
      </c>
      <c r="QY17">
        <v>17.788366556167599</v>
      </c>
      <c r="QZ17">
        <v>334</v>
      </c>
      <c r="RA17" s="2"/>
      <c r="RB17">
        <f t="shared" si="78"/>
        <v>30</v>
      </c>
      <c r="RC17" t="s">
        <v>4087</v>
      </c>
      <c r="RD17" t="s">
        <v>4088</v>
      </c>
      <c r="RE17">
        <v>21.66451263427734</v>
      </c>
      <c r="RF17">
        <v>436</v>
      </c>
      <c r="RG17" s="3"/>
      <c r="RH17">
        <f t="shared" si="79"/>
        <v>11</v>
      </c>
      <c r="RI17" t="s">
        <v>4089</v>
      </c>
      <c r="RJ17" t="s">
        <v>4090</v>
      </c>
      <c r="RK17">
        <v>4.2642414569854736</v>
      </c>
      <c r="RL17">
        <v>416</v>
      </c>
      <c r="RM17" s="2"/>
      <c r="RN17">
        <f t="shared" si="80"/>
        <v>9</v>
      </c>
      <c r="RO17" t="s">
        <v>264</v>
      </c>
      <c r="RP17" t="s">
        <v>4091</v>
      </c>
      <c r="RQ17">
        <v>3.793023824691772</v>
      </c>
      <c r="RR17">
        <v>371</v>
      </c>
      <c r="RS17" s="3"/>
      <c r="RT17">
        <f t="shared" si="81"/>
        <v>7</v>
      </c>
      <c r="RU17" t="s">
        <v>3</v>
      </c>
      <c r="RV17" t="s">
        <v>4092</v>
      </c>
      <c r="RW17">
        <v>3.6499931812286381</v>
      </c>
      <c r="RX17">
        <v>476</v>
      </c>
      <c r="RY17" s="2"/>
      <c r="RZ17">
        <f t="shared" si="82"/>
        <v>8</v>
      </c>
      <c r="SA17" t="s">
        <v>4093</v>
      </c>
      <c r="SB17" t="s">
        <v>4094</v>
      </c>
      <c r="SC17">
        <v>86.925980567932129</v>
      </c>
      <c r="SD17">
        <v>301</v>
      </c>
      <c r="SE17" s="3"/>
      <c r="SF17">
        <f t="shared" si="83"/>
        <v>33</v>
      </c>
      <c r="SG17" t="s">
        <v>4095</v>
      </c>
      <c r="SH17" t="s">
        <v>4096</v>
      </c>
      <c r="SI17">
        <v>11.89001727104187</v>
      </c>
      <c r="SJ17">
        <v>439</v>
      </c>
      <c r="SK17" s="2"/>
      <c r="SL17">
        <f t="shared" si="84"/>
        <v>7</v>
      </c>
      <c r="SM17" t="s">
        <v>4097</v>
      </c>
      <c r="SN17" t="s">
        <v>4098</v>
      </c>
      <c r="SO17">
        <v>3.6388876438140869</v>
      </c>
      <c r="SP17">
        <v>370</v>
      </c>
      <c r="SQ17" s="3"/>
      <c r="SR17">
        <f t="shared" si="85"/>
        <v>19</v>
      </c>
      <c r="SS17" t="s">
        <v>2280</v>
      </c>
      <c r="ST17" t="s">
        <v>2280</v>
      </c>
      <c r="SU17">
        <v>3.2296855449676509</v>
      </c>
      <c r="SV17">
        <v>437</v>
      </c>
      <c r="SW17" s="4"/>
      <c r="SX17">
        <f t="shared" si="86"/>
        <v>15</v>
      </c>
      <c r="SY17" t="s">
        <v>3648</v>
      </c>
      <c r="SZ17" t="s">
        <v>3648</v>
      </c>
      <c r="TA17">
        <v>3.858234167098999</v>
      </c>
      <c r="TB17">
        <v>477</v>
      </c>
      <c r="TC17" s="5"/>
      <c r="TF17" t="s">
        <v>4099</v>
      </c>
      <c r="TH17">
        <v>349</v>
      </c>
      <c r="TJ17">
        <f t="shared" si="88"/>
        <v>0</v>
      </c>
      <c r="TL17" t="s">
        <v>3892</v>
      </c>
      <c r="TM17">
        <v>3.1970880031585689</v>
      </c>
      <c r="TN17">
        <v>491</v>
      </c>
      <c r="TO17" s="5"/>
      <c r="TP17">
        <f t="shared" si="89"/>
        <v>0</v>
      </c>
      <c r="TR17" t="s">
        <v>3</v>
      </c>
      <c r="TS17">
        <v>3.3242053985595699</v>
      </c>
      <c r="TT17">
        <v>392</v>
      </c>
      <c r="TU17" s="2"/>
      <c r="TV17">
        <f t="shared" si="90"/>
        <v>7</v>
      </c>
      <c r="TW17" t="s">
        <v>1758</v>
      </c>
      <c r="TX17" t="s">
        <v>4100</v>
      </c>
      <c r="TY17">
        <v>3.098772525787354</v>
      </c>
      <c r="TZ17">
        <v>384</v>
      </c>
      <c r="UA17" s="5"/>
      <c r="UB17">
        <f t="shared" si="91"/>
        <v>31</v>
      </c>
      <c r="UC17" t="s">
        <v>10</v>
      </c>
      <c r="UD17" t="s">
        <v>4101</v>
      </c>
      <c r="UE17">
        <v>5.6255409717559806</v>
      </c>
      <c r="UF17">
        <v>480</v>
      </c>
      <c r="UG17" s="2"/>
      <c r="UH17">
        <f t="shared" si="92"/>
        <v>13</v>
      </c>
      <c r="UI17" t="s">
        <v>328</v>
      </c>
      <c r="UJ17" t="s">
        <v>4102</v>
      </c>
      <c r="UK17">
        <v>3.8141098022460942</v>
      </c>
      <c r="UL17">
        <v>448</v>
      </c>
      <c r="UM17" s="5"/>
      <c r="UP17" t="s">
        <v>4103</v>
      </c>
      <c r="UR17">
        <v>466</v>
      </c>
      <c r="UT17">
        <f t="shared" si="94"/>
        <v>5</v>
      </c>
      <c r="UU17" t="s">
        <v>1891</v>
      </c>
      <c r="UV17" t="s">
        <v>4104</v>
      </c>
      <c r="UW17">
        <v>3.3858978748321529</v>
      </c>
      <c r="UX17">
        <v>463</v>
      </c>
      <c r="UY17" s="5"/>
      <c r="UZ17">
        <f t="shared" si="95"/>
        <v>6</v>
      </c>
      <c r="VA17" t="s">
        <v>1136</v>
      </c>
      <c r="VB17" t="s">
        <v>1136</v>
      </c>
      <c r="VC17">
        <v>3.4170339107513432</v>
      </c>
      <c r="VD17">
        <v>501</v>
      </c>
      <c r="VE17" s="2"/>
      <c r="VH17" t="s">
        <v>4105</v>
      </c>
      <c r="VJ17">
        <v>370</v>
      </c>
      <c r="VP17">
        <v>466</v>
      </c>
      <c r="VR17">
        <f t="shared" si="98"/>
        <v>25</v>
      </c>
      <c r="VS17" t="s">
        <v>4106</v>
      </c>
      <c r="VT17" t="s">
        <v>4107</v>
      </c>
      <c r="VU17">
        <v>9.4061367511749268</v>
      </c>
      <c r="VV17">
        <v>403</v>
      </c>
      <c r="VW17" s="5"/>
      <c r="VX17">
        <f t="shared" si="99"/>
        <v>22</v>
      </c>
      <c r="VY17" t="s">
        <v>1395</v>
      </c>
      <c r="VZ17" t="s">
        <v>4108</v>
      </c>
      <c r="WA17">
        <v>4.6223978996276864</v>
      </c>
      <c r="WB17">
        <v>458</v>
      </c>
      <c r="WC17" s="2"/>
      <c r="WD17">
        <f t="shared" si="100"/>
        <v>10</v>
      </c>
      <c r="WE17" t="s">
        <v>4004</v>
      </c>
      <c r="WF17" t="s">
        <v>4109</v>
      </c>
      <c r="WG17">
        <v>3.472172737121582</v>
      </c>
      <c r="WH17">
        <v>431</v>
      </c>
      <c r="WI17" s="5"/>
      <c r="WJ17">
        <f t="shared" si="101"/>
        <v>0</v>
      </c>
      <c r="WL17" t="s">
        <v>3445</v>
      </c>
      <c r="WM17">
        <v>3.19197678565979</v>
      </c>
      <c r="WN17">
        <v>459</v>
      </c>
      <c r="WO17" s="2"/>
      <c r="WP17">
        <f t="shared" si="102"/>
        <v>70</v>
      </c>
      <c r="WQ17" t="s">
        <v>4110</v>
      </c>
      <c r="WR17" t="s">
        <v>4111</v>
      </c>
      <c r="WS17">
        <v>16.418476819992069</v>
      </c>
      <c r="WT17">
        <v>493</v>
      </c>
      <c r="WU17" s="5"/>
      <c r="WV17">
        <f t="shared" si="103"/>
        <v>32</v>
      </c>
      <c r="WW17" t="s">
        <v>4112</v>
      </c>
      <c r="WX17" t="s">
        <v>3940</v>
      </c>
      <c r="WY17">
        <v>24.837851285934448</v>
      </c>
      <c r="WZ17">
        <v>370</v>
      </c>
      <c r="XA17" s="2"/>
      <c r="XB17">
        <f t="shared" si="104"/>
        <v>10</v>
      </c>
      <c r="XC17" t="s">
        <v>264</v>
      </c>
      <c r="XD17" t="s">
        <v>4113</v>
      </c>
      <c r="XE17">
        <v>3.275363445281982</v>
      </c>
      <c r="XF17">
        <v>455</v>
      </c>
      <c r="XG17" s="5"/>
      <c r="XH17">
        <f t="shared" si="105"/>
        <v>4</v>
      </c>
      <c r="XI17" t="s">
        <v>3</v>
      </c>
      <c r="XJ17" t="s">
        <v>4070</v>
      </c>
      <c r="XK17">
        <v>3.2407433986663818</v>
      </c>
      <c r="XL17">
        <v>456</v>
      </c>
      <c r="XM17" s="2"/>
      <c r="XP17" t="s">
        <v>4114</v>
      </c>
      <c r="XR17">
        <v>368</v>
      </c>
      <c r="XX17">
        <v>646</v>
      </c>
      <c r="XZ17">
        <f t="shared" si="108"/>
        <v>36</v>
      </c>
      <c r="YA17" t="s">
        <v>4115</v>
      </c>
      <c r="YB17" t="s">
        <v>4116</v>
      </c>
      <c r="YC17">
        <v>20.00212121009827</v>
      </c>
      <c r="YD17">
        <v>440</v>
      </c>
      <c r="YE17" s="5"/>
      <c r="YF17">
        <f t="shared" si="109"/>
        <v>30</v>
      </c>
      <c r="YG17" t="s">
        <v>2310</v>
      </c>
      <c r="YH17" t="s">
        <v>4117</v>
      </c>
      <c r="YI17">
        <v>12.78517651557922</v>
      </c>
      <c r="YJ17">
        <v>337</v>
      </c>
      <c r="YK17" s="2"/>
      <c r="YN17" t="s">
        <v>3445</v>
      </c>
      <c r="YP17">
        <v>408</v>
      </c>
      <c r="YV17">
        <v>505</v>
      </c>
      <c r="ZB17">
        <v>522</v>
      </c>
      <c r="ZH17">
        <v>358</v>
      </c>
      <c r="ZJ17">
        <f t="shared" si="114"/>
        <v>6</v>
      </c>
      <c r="ZK17" t="s">
        <v>3</v>
      </c>
      <c r="ZL17" t="s">
        <v>3372</v>
      </c>
      <c r="ZM17">
        <v>3.3208386898040771</v>
      </c>
      <c r="ZN17">
        <v>486</v>
      </c>
      <c r="ZO17" s="5"/>
      <c r="ZP17">
        <f t="shared" si="115"/>
        <v>8</v>
      </c>
      <c r="ZQ17" t="s">
        <v>4118</v>
      </c>
      <c r="ZR17" t="s">
        <v>4119</v>
      </c>
      <c r="ZS17">
        <v>4.5035202503204346</v>
      </c>
      <c r="ZT17">
        <v>377</v>
      </c>
      <c r="ZU17" s="2"/>
      <c r="ZV17">
        <f t="shared" si="116"/>
        <v>5</v>
      </c>
      <c r="ZW17" t="s">
        <v>3</v>
      </c>
      <c r="ZX17" t="s">
        <v>3892</v>
      </c>
      <c r="ZY17">
        <v>3.2499866485595699</v>
      </c>
      <c r="ZZ17">
        <v>513</v>
      </c>
      <c r="AAA17" s="5"/>
      <c r="AAB17">
        <f t="shared" si="117"/>
        <v>10</v>
      </c>
      <c r="AAC17" t="s">
        <v>800</v>
      </c>
      <c r="AAD17" t="s">
        <v>800</v>
      </c>
      <c r="AAE17">
        <v>3.1862659454345699</v>
      </c>
      <c r="AAF17">
        <v>501</v>
      </c>
      <c r="AAG17" s="2"/>
      <c r="AAH17">
        <f t="shared" si="118"/>
        <v>12</v>
      </c>
      <c r="AAI17" t="s">
        <v>1111</v>
      </c>
      <c r="AAJ17" t="s">
        <v>4120</v>
      </c>
      <c r="AAK17">
        <v>6.2092902660369873</v>
      </c>
      <c r="AAL17">
        <v>440</v>
      </c>
      <c r="AAM17" s="5"/>
      <c r="AAN17">
        <f t="shared" si="119"/>
        <v>11</v>
      </c>
      <c r="AAO17" t="s">
        <v>4121</v>
      </c>
      <c r="AAP17" t="s">
        <v>4122</v>
      </c>
      <c r="AAQ17">
        <v>3.4551849365234379</v>
      </c>
      <c r="AAR17">
        <v>395</v>
      </c>
      <c r="AAS17" s="2"/>
      <c r="AAT17">
        <f t="shared" si="120"/>
        <v>30</v>
      </c>
      <c r="AAU17" t="s">
        <v>4123</v>
      </c>
      <c r="AAV17" t="s">
        <v>4124</v>
      </c>
      <c r="AAW17">
        <v>10.05337309837341</v>
      </c>
      <c r="AAX17">
        <v>512</v>
      </c>
      <c r="AAY17" s="5"/>
      <c r="AAZ17">
        <f t="shared" si="121"/>
        <v>15</v>
      </c>
      <c r="ABA17" t="s">
        <v>657</v>
      </c>
      <c r="ABB17" t="s">
        <v>4125</v>
      </c>
      <c r="ABC17">
        <v>4.3779480457305908</v>
      </c>
      <c r="ABD17">
        <v>283</v>
      </c>
      <c r="ABE17" s="2"/>
      <c r="ABF17">
        <f t="shared" si="122"/>
        <v>18</v>
      </c>
      <c r="ABG17" t="s">
        <v>10</v>
      </c>
      <c r="ABH17" t="s">
        <v>4126</v>
      </c>
      <c r="ABI17">
        <v>4.0997962951660156</v>
      </c>
      <c r="ABJ17">
        <v>566</v>
      </c>
      <c r="ABK17" s="5"/>
      <c r="ABL17">
        <f t="shared" si="123"/>
        <v>10</v>
      </c>
      <c r="ABM17" t="s">
        <v>551</v>
      </c>
      <c r="ABN17" t="s">
        <v>4127</v>
      </c>
      <c r="ABO17">
        <v>3.5026311874389648</v>
      </c>
      <c r="ABP17">
        <v>374</v>
      </c>
      <c r="ABQ17" s="2"/>
      <c r="ABR17">
        <f t="shared" si="124"/>
        <v>25</v>
      </c>
      <c r="ABS17" t="s">
        <v>4128</v>
      </c>
      <c r="ABT17" t="s">
        <v>2993</v>
      </c>
      <c r="ABU17">
        <v>3.6020140647888179</v>
      </c>
      <c r="ABV17">
        <v>414</v>
      </c>
      <c r="ABW17" s="5"/>
      <c r="ABZ17" t="s">
        <v>4129</v>
      </c>
      <c r="ACB17">
        <v>436</v>
      </c>
      <c r="ACD17">
        <f t="shared" si="126"/>
        <v>55</v>
      </c>
      <c r="ACE17" t="s">
        <v>4130</v>
      </c>
      <c r="ACF17" t="s">
        <v>4131</v>
      </c>
      <c r="ACG17">
        <v>13.195769548416139</v>
      </c>
      <c r="ACH17">
        <v>343</v>
      </c>
      <c r="ACI17" s="5"/>
      <c r="ACJ17">
        <f t="shared" si="127"/>
        <v>50</v>
      </c>
      <c r="ACK17" t="s">
        <v>4132</v>
      </c>
      <c r="ACL17" t="s">
        <v>4133</v>
      </c>
      <c r="ACM17">
        <v>30.542901039123539</v>
      </c>
      <c r="ACN17">
        <v>464</v>
      </c>
      <c r="ACO17" s="2"/>
      <c r="ACP17">
        <f t="shared" si="128"/>
        <v>20</v>
      </c>
      <c r="ACQ17" t="s">
        <v>4134</v>
      </c>
      <c r="ACR17" t="s">
        <v>4135</v>
      </c>
      <c r="ACS17">
        <v>8.8083009719848633</v>
      </c>
      <c r="ACT17">
        <v>320</v>
      </c>
      <c r="ACU17" s="5"/>
      <c r="ACV17">
        <f t="shared" si="129"/>
        <v>79</v>
      </c>
      <c r="ACW17" t="s">
        <v>4136</v>
      </c>
      <c r="ACX17" t="s">
        <v>4137</v>
      </c>
      <c r="ACY17">
        <v>31.28816556930542</v>
      </c>
      <c r="ACZ17">
        <v>399</v>
      </c>
      <c r="ADA17" s="2"/>
      <c r="ADB17">
        <f t="shared" si="130"/>
        <v>11</v>
      </c>
      <c r="ADC17" t="s">
        <v>2821</v>
      </c>
      <c r="ADD17" t="s">
        <v>3445</v>
      </c>
      <c r="ADE17">
        <v>3.0943574905395508</v>
      </c>
      <c r="ADF17">
        <v>459</v>
      </c>
      <c r="ADG17" s="5"/>
      <c r="ADJ17" t="s">
        <v>4138</v>
      </c>
      <c r="ADL17">
        <v>442</v>
      </c>
      <c r="ADR17">
        <v>367</v>
      </c>
      <c r="ADX17">
        <v>494</v>
      </c>
      <c r="AED17">
        <v>461</v>
      </c>
      <c r="AEJ17">
        <v>439</v>
      </c>
      <c r="AEL17">
        <f t="shared" si="136"/>
        <v>9</v>
      </c>
      <c r="AEM17" t="s">
        <v>1530</v>
      </c>
      <c r="AEN17" t="s">
        <v>4139</v>
      </c>
      <c r="AEO17">
        <v>3.8745725154876709</v>
      </c>
      <c r="AEP17">
        <v>440</v>
      </c>
      <c r="AEQ17" s="5"/>
      <c r="AER17">
        <f t="shared" si="137"/>
        <v>0</v>
      </c>
      <c r="AET17" t="s">
        <v>3</v>
      </c>
      <c r="AEU17">
        <v>3.1357958316802979</v>
      </c>
      <c r="AEV17">
        <v>398</v>
      </c>
      <c r="AEW17" s="2"/>
      <c r="AEX17">
        <f t="shared" si="138"/>
        <v>24</v>
      </c>
      <c r="AEY17" t="s">
        <v>4140</v>
      </c>
      <c r="AEZ17" t="s">
        <v>4141</v>
      </c>
      <c r="AFA17">
        <v>7.1604230403900146</v>
      </c>
      <c r="AFB17">
        <v>457</v>
      </c>
      <c r="AFC17" s="5"/>
      <c r="AFD17">
        <f t="shared" si="139"/>
        <v>6</v>
      </c>
      <c r="AFE17" t="s">
        <v>800</v>
      </c>
      <c r="AFF17" t="s">
        <v>4142</v>
      </c>
      <c r="AFG17">
        <v>3.5847666263580318</v>
      </c>
      <c r="AFH17">
        <v>383</v>
      </c>
      <c r="AFI17" s="2"/>
      <c r="AFJ17">
        <f t="shared" si="140"/>
        <v>17</v>
      </c>
      <c r="AFK17" t="s">
        <v>2619</v>
      </c>
      <c r="AFL17" t="s">
        <v>4143</v>
      </c>
      <c r="AFM17">
        <v>3.9394855499267578</v>
      </c>
      <c r="AFN17">
        <v>513</v>
      </c>
      <c r="AFO17" s="5"/>
      <c r="AFP17">
        <f t="shared" si="141"/>
        <v>18</v>
      </c>
      <c r="AFQ17" t="s">
        <v>3633</v>
      </c>
      <c r="AFR17" t="s">
        <v>4144</v>
      </c>
      <c r="AFS17">
        <v>5.6238131523132324</v>
      </c>
      <c r="AFT17">
        <v>407</v>
      </c>
      <c r="AFU17" s="2"/>
      <c r="AFV17">
        <f t="shared" si="142"/>
        <v>24</v>
      </c>
      <c r="AFW17" t="s">
        <v>4145</v>
      </c>
      <c r="AFX17" t="s">
        <v>4146</v>
      </c>
      <c r="AFY17">
        <v>6.8047752380371094</v>
      </c>
      <c r="AFZ17">
        <v>415</v>
      </c>
      <c r="AGA17" s="5"/>
      <c r="AGB17">
        <f t="shared" si="143"/>
        <v>10</v>
      </c>
      <c r="AGC17" t="s">
        <v>800</v>
      </c>
      <c r="AGD17" t="s">
        <v>4147</v>
      </c>
      <c r="AGE17">
        <v>3.4658575057983398</v>
      </c>
      <c r="AGF17">
        <v>398</v>
      </c>
      <c r="AGG17" s="2"/>
      <c r="AGH17">
        <f t="shared" si="144"/>
        <v>20</v>
      </c>
      <c r="AGI17" t="s">
        <v>567</v>
      </c>
      <c r="AGJ17" t="s">
        <v>4148</v>
      </c>
      <c r="AGK17">
        <v>4.5346858501434326</v>
      </c>
      <c r="AGL17">
        <v>559</v>
      </c>
      <c r="AGM17" s="5"/>
      <c r="AGP17" t="s">
        <v>3</v>
      </c>
      <c r="AGR17">
        <v>425</v>
      </c>
      <c r="AGT17">
        <f t="shared" si="146"/>
        <v>7</v>
      </c>
      <c r="AGU17" t="s">
        <v>1136</v>
      </c>
      <c r="AGV17" t="s">
        <v>4149</v>
      </c>
      <c r="AGW17">
        <v>3.6987817287445068</v>
      </c>
      <c r="AGX17">
        <v>421</v>
      </c>
      <c r="AGY17" s="5"/>
      <c r="AGZ17">
        <f t="shared" si="147"/>
        <v>9</v>
      </c>
      <c r="AHA17" t="s">
        <v>932</v>
      </c>
      <c r="AHB17" t="s">
        <v>800</v>
      </c>
      <c r="AHC17">
        <v>3.2769439220428471</v>
      </c>
      <c r="AHD17">
        <v>514</v>
      </c>
      <c r="AHE17" s="2"/>
      <c r="AHF17">
        <f t="shared" si="148"/>
        <v>23</v>
      </c>
      <c r="AHG17" t="s">
        <v>103</v>
      </c>
      <c r="AHH17" t="s">
        <v>4150</v>
      </c>
      <c r="AHI17">
        <v>8.5564365386962891</v>
      </c>
      <c r="AHJ17">
        <v>430</v>
      </c>
      <c r="AHK17" s="5"/>
      <c r="AHL17">
        <f t="shared" si="149"/>
        <v>39</v>
      </c>
      <c r="AHM17" t="s">
        <v>4151</v>
      </c>
      <c r="AHN17" t="s">
        <v>4152</v>
      </c>
      <c r="AHO17">
        <v>14.856662273406981</v>
      </c>
      <c r="AHP17">
        <v>405</v>
      </c>
      <c r="AHQ17" s="2"/>
      <c r="AHR17">
        <f t="shared" si="150"/>
        <v>20</v>
      </c>
      <c r="AHS17" t="s">
        <v>4153</v>
      </c>
      <c r="AHT17" t="s">
        <v>4154</v>
      </c>
      <c r="AHU17">
        <v>10.681059598922729</v>
      </c>
      <c r="AHV17">
        <v>485</v>
      </c>
      <c r="AHW17" s="5"/>
      <c r="AHX17">
        <f t="shared" si="151"/>
        <v>21</v>
      </c>
      <c r="AHY17" t="s">
        <v>400</v>
      </c>
      <c r="AHZ17" t="s">
        <v>4155</v>
      </c>
      <c r="AIA17">
        <v>9.9034430980682373</v>
      </c>
      <c r="AIB17">
        <v>332</v>
      </c>
      <c r="AIC17" s="2"/>
      <c r="AID17">
        <f t="shared" si="152"/>
        <v>17</v>
      </c>
      <c r="AIE17" t="s">
        <v>4156</v>
      </c>
      <c r="AIF17" t="s">
        <v>4157</v>
      </c>
      <c r="AIG17">
        <v>10.00572037696838</v>
      </c>
      <c r="AIH17">
        <v>415</v>
      </c>
      <c r="AII17" s="5"/>
      <c r="AIJ17">
        <f t="shared" si="153"/>
        <v>23</v>
      </c>
      <c r="AIK17" t="s">
        <v>2308</v>
      </c>
      <c r="AIL17" t="s">
        <v>4158</v>
      </c>
      <c r="AIM17">
        <v>4.9631037712097168</v>
      </c>
      <c r="AIN17">
        <v>400</v>
      </c>
      <c r="AIO17" s="2"/>
      <c r="AIP17">
        <f t="shared" si="154"/>
        <v>-10</v>
      </c>
      <c r="AIR17" t="s">
        <v>3641</v>
      </c>
      <c r="AIS17">
        <v>3.029405832290649</v>
      </c>
      <c r="AIT17">
        <v>378</v>
      </c>
      <c r="AIU17" s="5"/>
      <c r="AIX17" t="s">
        <v>657</v>
      </c>
      <c r="AIZ17">
        <v>442</v>
      </c>
      <c r="AJD17" t="s">
        <v>4159</v>
      </c>
      <c r="AJF17">
        <v>576</v>
      </c>
      <c r="AJL17">
        <v>406</v>
      </c>
      <c r="AJP17" t="s">
        <v>3892</v>
      </c>
      <c r="AJR17">
        <v>468</v>
      </c>
      <c r="AJX17">
        <v>453</v>
      </c>
      <c r="AJZ17">
        <f t="shared" si="160"/>
        <v>28</v>
      </c>
      <c r="AKA17" t="s">
        <v>34</v>
      </c>
      <c r="AKB17" t="s">
        <v>4160</v>
      </c>
      <c r="AKC17">
        <v>11.626632690429689</v>
      </c>
      <c r="AKD17">
        <v>389</v>
      </c>
      <c r="AKE17" s="5"/>
      <c r="AKF17">
        <f t="shared" si="161"/>
        <v>4</v>
      </c>
      <c r="AKG17" t="s">
        <v>4015</v>
      </c>
      <c r="AKH17" t="s">
        <v>4161</v>
      </c>
      <c r="AKI17">
        <v>11.92988705635071</v>
      </c>
      <c r="AKJ17">
        <v>384</v>
      </c>
      <c r="AKK17" s="2"/>
      <c r="AKL17">
        <f t="shared" si="162"/>
        <v>9</v>
      </c>
      <c r="AKM17" t="s">
        <v>1320</v>
      </c>
      <c r="AKN17" t="s">
        <v>4162</v>
      </c>
      <c r="AKO17">
        <v>3.737611055374146</v>
      </c>
      <c r="AKP17">
        <v>389</v>
      </c>
      <c r="AKQ17" s="5"/>
      <c r="AKR17">
        <f t="shared" si="163"/>
        <v>19</v>
      </c>
      <c r="AKS17" t="s">
        <v>178</v>
      </c>
      <c r="AKT17" t="s">
        <v>4163</v>
      </c>
      <c r="AKU17">
        <v>4.6631348133087158</v>
      </c>
      <c r="AKV17">
        <v>467</v>
      </c>
      <c r="AKW17" s="2"/>
      <c r="AKX17">
        <f t="shared" si="164"/>
        <v>0</v>
      </c>
      <c r="AKZ17" t="s">
        <v>3641</v>
      </c>
      <c r="ALA17">
        <v>3.1119873523712158</v>
      </c>
      <c r="ALB17">
        <v>529</v>
      </c>
      <c r="ALC17" s="5"/>
      <c r="ALD17">
        <f t="shared" si="165"/>
        <v>8</v>
      </c>
      <c r="ALE17" t="s">
        <v>2817</v>
      </c>
      <c r="ALF17" t="s">
        <v>3892</v>
      </c>
      <c r="ALG17">
        <v>3.3287749290466309</v>
      </c>
      <c r="ALH17">
        <v>498</v>
      </c>
      <c r="ALI17" s="2"/>
      <c r="ALJ17">
        <f t="shared" si="166"/>
        <v>35</v>
      </c>
      <c r="ALK17" t="s">
        <v>4164</v>
      </c>
      <c r="ALL17" t="s">
        <v>4165</v>
      </c>
      <c r="ALM17">
        <v>17.03078389167786</v>
      </c>
      <c r="ALN17">
        <v>491</v>
      </c>
      <c r="ALO17" s="5"/>
      <c r="ALP17">
        <f t="shared" si="167"/>
        <v>10</v>
      </c>
      <c r="ALQ17" t="s">
        <v>4166</v>
      </c>
      <c r="ALR17" t="s">
        <v>4167</v>
      </c>
      <c r="ALS17">
        <v>4.5296616554260254</v>
      </c>
      <c r="ALT17">
        <v>400</v>
      </c>
      <c r="ALU17" s="2"/>
      <c r="ALV17">
        <f t="shared" si="168"/>
        <v>17</v>
      </c>
      <c r="ALW17" t="s">
        <v>4168</v>
      </c>
      <c r="ALX17" t="s">
        <v>4169</v>
      </c>
      <c r="ALY17">
        <v>3.999909400939941</v>
      </c>
      <c r="ALZ17">
        <v>509</v>
      </c>
      <c r="AMA17" s="5"/>
      <c r="AMB17">
        <f t="shared" si="169"/>
        <v>11</v>
      </c>
      <c r="AMC17" t="s">
        <v>3366</v>
      </c>
      <c r="AMD17" t="s">
        <v>4170</v>
      </c>
      <c r="AME17">
        <v>3.902977466583252</v>
      </c>
      <c r="AMF17">
        <v>409</v>
      </c>
      <c r="AMG17" s="2"/>
      <c r="AMH17">
        <f t="shared" si="170"/>
        <v>0</v>
      </c>
      <c r="AMJ17" t="s">
        <v>3641</v>
      </c>
      <c r="AMK17">
        <v>2.9202103614807129</v>
      </c>
      <c r="AML17">
        <v>435</v>
      </c>
      <c r="AMM17" s="5"/>
      <c r="AMN17">
        <f t="shared" si="171"/>
        <v>9</v>
      </c>
      <c r="AMO17" t="s">
        <v>4171</v>
      </c>
      <c r="AMP17" t="s">
        <v>4172</v>
      </c>
      <c r="AMQ17">
        <v>3.3721640110015869</v>
      </c>
      <c r="AMR17">
        <v>426</v>
      </c>
      <c r="AMS17" s="2"/>
    </row>
    <row r="18" spans="1:1033" x14ac:dyDescent="0.25">
      <c r="A18">
        <v>16</v>
      </c>
      <c r="B18">
        <f t="shared" si="0"/>
        <v>9</v>
      </c>
      <c r="C18" t="s">
        <v>500</v>
      </c>
      <c r="D18" t="s">
        <v>4173</v>
      </c>
      <c r="E18">
        <v>2.9403283596038818</v>
      </c>
      <c r="F18">
        <v>469</v>
      </c>
      <c r="G18" s="1"/>
      <c r="H18">
        <f t="shared" si="1"/>
        <v>17</v>
      </c>
      <c r="I18" t="s">
        <v>3577</v>
      </c>
      <c r="J18" t="s">
        <v>4174</v>
      </c>
      <c r="K18">
        <v>4.2791199684143066</v>
      </c>
      <c r="L18">
        <v>422</v>
      </c>
      <c r="M18" s="2"/>
      <c r="N18">
        <f t="shared" si="2"/>
        <v>20</v>
      </c>
      <c r="O18" t="s">
        <v>4175</v>
      </c>
      <c r="P18" t="s">
        <v>4176</v>
      </c>
      <c r="Q18">
        <v>4.70755934715271</v>
      </c>
      <c r="R18">
        <v>377</v>
      </c>
      <c r="S18" s="1"/>
      <c r="V18" t="s">
        <v>4177</v>
      </c>
      <c r="X18">
        <v>412</v>
      </c>
      <c r="Z18">
        <f t="shared" si="4"/>
        <v>9</v>
      </c>
      <c r="AA18" t="s">
        <v>2647</v>
      </c>
      <c r="AB18" t="s">
        <v>4178</v>
      </c>
      <c r="AC18">
        <v>3.4663140773773189</v>
      </c>
      <c r="AD18">
        <v>515</v>
      </c>
      <c r="AE18" s="1"/>
      <c r="AF18">
        <f t="shared" si="5"/>
        <v>6</v>
      </c>
      <c r="AG18" t="s">
        <v>3</v>
      </c>
      <c r="AH18" t="s">
        <v>4073</v>
      </c>
      <c r="AI18">
        <v>3.3716764450073242</v>
      </c>
      <c r="AJ18">
        <v>410</v>
      </c>
      <c r="AK18" s="2"/>
      <c r="AL18">
        <f t="shared" si="6"/>
        <v>13</v>
      </c>
      <c r="AM18" t="s">
        <v>928</v>
      </c>
      <c r="AN18" t="s">
        <v>800</v>
      </c>
      <c r="AO18">
        <v>2.8686950206756592</v>
      </c>
      <c r="AP18">
        <v>442</v>
      </c>
      <c r="AQ18" s="3"/>
      <c r="AT18" t="s">
        <v>4179</v>
      </c>
      <c r="AV18">
        <v>421</v>
      </c>
      <c r="BB18">
        <v>418</v>
      </c>
      <c r="BH18">
        <v>524</v>
      </c>
      <c r="BJ18">
        <f t="shared" si="10"/>
        <v>0</v>
      </c>
      <c r="BL18" t="s">
        <v>3641</v>
      </c>
      <c r="BM18">
        <v>2.99739670753479</v>
      </c>
      <c r="BN18">
        <v>513</v>
      </c>
      <c r="BO18" s="3"/>
      <c r="BP18">
        <f t="shared" si="11"/>
        <v>7</v>
      </c>
      <c r="BQ18" t="s">
        <v>987</v>
      </c>
      <c r="BR18" t="s">
        <v>4180</v>
      </c>
      <c r="BS18">
        <v>3.430309534072876</v>
      </c>
      <c r="BT18">
        <v>408</v>
      </c>
      <c r="BU18" s="2"/>
      <c r="BV18">
        <f t="shared" si="12"/>
        <v>0</v>
      </c>
      <c r="BX18" t="s">
        <v>4037</v>
      </c>
      <c r="BY18">
        <v>3.555456399917603</v>
      </c>
      <c r="BZ18">
        <v>537</v>
      </c>
      <c r="CA18" s="3"/>
      <c r="CB18">
        <f t="shared" si="13"/>
        <v>0</v>
      </c>
      <c r="CD18" t="s">
        <v>3</v>
      </c>
      <c r="CE18">
        <v>3.1791055202484131</v>
      </c>
      <c r="CF18">
        <v>405</v>
      </c>
      <c r="CG18" s="2"/>
      <c r="CH18">
        <f t="shared" si="14"/>
        <v>16</v>
      </c>
      <c r="CI18" t="s">
        <v>4181</v>
      </c>
      <c r="CJ18" t="s">
        <v>1295</v>
      </c>
      <c r="CK18">
        <v>3.473086833953857</v>
      </c>
      <c r="CL18">
        <v>437</v>
      </c>
      <c r="CM18" s="3"/>
      <c r="CP18" t="s">
        <v>3892</v>
      </c>
      <c r="CR18">
        <v>454</v>
      </c>
      <c r="CX18">
        <v>496</v>
      </c>
      <c r="DD18">
        <v>356</v>
      </c>
      <c r="DF18">
        <f t="shared" si="18"/>
        <v>16</v>
      </c>
      <c r="DG18" t="s">
        <v>1111</v>
      </c>
      <c r="DH18" t="s">
        <v>4182</v>
      </c>
      <c r="DI18">
        <v>9.4213714599609375</v>
      </c>
      <c r="DJ18">
        <v>287</v>
      </c>
      <c r="DK18" s="3"/>
      <c r="DL18">
        <f t="shared" si="19"/>
        <v>24</v>
      </c>
      <c r="DM18" t="s">
        <v>4183</v>
      </c>
      <c r="DN18" t="s">
        <v>4184</v>
      </c>
      <c r="DO18">
        <v>13.693089008331301</v>
      </c>
      <c r="DP18">
        <v>379</v>
      </c>
      <c r="DQ18" s="2"/>
      <c r="DR18">
        <f t="shared" si="20"/>
        <v>0</v>
      </c>
      <c r="DT18" t="s">
        <v>3</v>
      </c>
      <c r="DU18">
        <v>3.1696333885192871</v>
      </c>
      <c r="DV18">
        <v>539</v>
      </c>
      <c r="DW18" s="3"/>
      <c r="DX18">
        <f t="shared" si="21"/>
        <v>6</v>
      </c>
      <c r="DY18" t="s">
        <v>3093</v>
      </c>
      <c r="DZ18" t="s">
        <v>4103</v>
      </c>
      <c r="EA18">
        <v>2.9262316226959229</v>
      </c>
      <c r="EB18">
        <v>361</v>
      </c>
      <c r="EC18" s="2"/>
      <c r="ED18">
        <f t="shared" si="22"/>
        <v>8</v>
      </c>
      <c r="EE18" t="s">
        <v>1229</v>
      </c>
      <c r="EF18" t="s">
        <v>4185</v>
      </c>
      <c r="EG18">
        <v>3.1101212501525879</v>
      </c>
      <c r="EH18">
        <v>309</v>
      </c>
      <c r="EI18" s="3"/>
      <c r="EJ18">
        <f t="shared" si="23"/>
        <v>0</v>
      </c>
      <c r="EL18" t="s">
        <v>3946</v>
      </c>
      <c r="EM18">
        <v>2.7015233039855961</v>
      </c>
      <c r="EN18">
        <v>498</v>
      </c>
      <c r="EO18" s="2"/>
      <c r="EP18">
        <f t="shared" si="24"/>
        <v>0</v>
      </c>
      <c r="ER18" t="s">
        <v>3585</v>
      </c>
      <c r="ES18">
        <v>2.7088253498077388</v>
      </c>
      <c r="ET18">
        <v>404</v>
      </c>
      <c r="EU18" s="3"/>
      <c r="EV18">
        <f t="shared" si="25"/>
        <v>7</v>
      </c>
      <c r="EW18" t="s">
        <v>4186</v>
      </c>
      <c r="EX18" t="s">
        <v>4187</v>
      </c>
      <c r="EY18">
        <v>3.738794088363647</v>
      </c>
      <c r="EZ18">
        <v>321</v>
      </c>
      <c r="FA18" s="2"/>
      <c r="FF18">
        <v>464</v>
      </c>
      <c r="FL18">
        <v>449</v>
      </c>
      <c r="FR18">
        <v>458</v>
      </c>
      <c r="FX18">
        <v>502</v>
      </c>
      <c r="FZ18">
        <f t="shared" si="30"/>
        <v>0</v>
      </c>
      <c r="GB18" t="s">
        <v>786</v>
      </c>
      <c r="GC18">
        <v>3.027738094329834</v>
      </c>
      <c r="GD18">
        <v>429</v>
      </c>
      <c r="GE18" s="3"/>
      <c r="GF18">
        <f t="shared" si="31"/>
        <v>3</v>
      </c>
      <c r="GG18" t="s">
        <v>3</v>
      </c>
      <c r="GH18" t="s">
        <v>3</v>
      </c>
      <c r="GI18">
        <v>3.1694595813751221</v>
      </c>
      <c r="GJ18">
        <v>400</v>
      </c>
      <c r="GK18" s="2"/>
      <c r="GL18">
        <f t="shared" si="32"/>
        <v>10</v>
      </c>
      <c r="GM18" t="s">
        <v>2680</v>
      </c>
      <c r="GN18" t="s">
        <v>4188</v>
      </c>
      <c r="GO18">
        <v>7.6773741245269784</v>
      </c>
      <c r="GP18">
        <v>428</v>
      </c>
      <c r="GQ18" s="3"/>
      <c r="GR18">
        <f t="shared" si="33"/>
        <v>12</v>
      </c>
      <c r="GS18" t="s">
        <v>264</v>
      </c>
      <c r="GT18" t="s">
        <v>4189</v>
      </c>
      <c r="GU18">
        <v>3.2874941825866699</v>
      </c>
      <c r="GV18">
        <v>520</v>
      </c>
      <c r="GW18" s="2"/>
      <c r="HB18">
        <v>517</v>
      </c>
      <c r="HH18">
        <v>349</v>
      </c>
      <c r="HN18">
        <v>430</v>
      </c>
      <c r="HT18">
        <v>358</v>
      </c>
      <c r="HV18">
        <f t="shared" si="38"/>
        <v>0</v>
      </c>
      <c r="HX18" t="s">
        <v>3641</v>
      </c>
      <c r="HY18">
        <v>2.7202391624450679</v>
      </c>
      <c r="HZ18">
        <v>441</v>
      </c>
      <c r="IA18" s="3"/>
      <c r="IB18">
        <f t="shared" si="39"/>
        <v>5</v>
      </c>
      <c r="IC18" t="s">
        <v>4123</v>
      </c>
      <c r="ID18" t="s">
        <v>3311</v>
      </c>
      <c r="IE18">
        <v>3.3787815570831299</v>
      </c>
      <c r="IF18">
        <v>457</v>
      </c>
      <c r="IG18" s="2"/>
      <c r="IL18">
        <v>555</v>
      </c>
      <c r="IR18">
        <v>380</v>
      </c>
      <c r="IT18">
        <f t="shared" si="42"/>
        <v>7</v>
      </c>
      <c r="IU18" t="s">
        <v>2</v>
      </c>
      <c r="IV18" t="s">
        <v>4190</v>
      </c>
      <c r="IW18">
        <v>3.7264168262481689</v>
      </c>
      <c r="IX18">
        <v>378</v>
      </c>
      <c r="IY18" s="3"/>
      <c r="IZ18">
        <f t="shared" si="43"/>
        <v>7</v>
      </c>
      <c r="JA18" t="s">
        <v>3</v>
      </c>
      <c r="JB18" t="s">
        <v>3</v>
      </c>
      <c r="JC18">
        <v>3.3919587135314941</v>
      </c>
      <c r="JD18">
        <v>430</v>
      </c>
      <c r="JE18" s="2"/>
      <c r="JF18">
        <f t="shared" si="44"/>
        <v>11</v>
      </c>
      <c r="JG18" t="s">
        <v>4191</v>
      </c>
      <c r="JH18" t="s">
        <v>4192</v>
      </c>
      <c r="JI18">
        <v>20.470272779464722</v>
      </c>
      <c r="JJ18">
        <v>309</v>
      </c>
      <c r="JK18" s="3"/>
      <c r="JL18">
        <f t="shared" si="45"/>
        <v>15</v>
      </c>
      <c r="JM18" t="s">
        <v>4193</v>
      </c>
      <c r="JN18" t="s">
        <v>4194</v>
      </c>
      <c r="JO18">
        <v>7.3372609615325928</v>
      </c>
      <c r="JP18">
        <v>299</v>
      </c>
      <c r="JQ18" s="2"/>
      <c r="JR18">
        <f t="shared" si="46"/>
        <v>33</v>
      </c>
      <c r="JS18" t="s">
        <v>4195</v>
      </c>
      <c r="JT18" t="s">
        <v>4196</v>
      </c>
      <c r="JU18">
        <v>27.449072599411011</v>
      </c>
      <c r="JV18">
        <v>366</v>
      </c>
      <c r="JW18" s="3"/>
      <c r="JX18">
        <f t="shared" si="47"/>
        <v>11</v>
      </c>
      <c r="JY18" t="s">
        <v>3770</v>
      </c>
      <c r="JZ18" t="s">
        <v>4197</v>
      </c>
      <c r="KA18">
        <v>4.5342202186584473</v>
      </c>
      <c r="KB18">
        <v>414</v>
      </c>
      <c r="KC18" s="2"/>
      <c r="KD18">
        <f t="shared" si="48"/>
        <v>15</v>
      </c>
      <c r="KE18" t="s">
        <v>1530</v>
      </c>
      <c r="KF18" t="s">
        <v>4198</v>
      </c>
      <c r="KG18">
        <v>13.880559206008909</v>
      </c>
      <c r="KH18">
        <v>300</v>
      </c>
      <c r="KI18" s="3"/>
      <c r="KJ18">
        <f t="shared" si="49"/>
        <v>36</v>
      </c>
      <c r="KK18" t="s">
        <v>2337</v>
      </c>
      <c r="KL18" t="s">
        <v>4199</v>
      </c>
      <c r="KM18">
        <v>18.473015785217289</v>
      </c>
      <c r="KN18">
        <v>519</v>
      </c>
      <c r="KO18" s="2"/>
      <c r="KT18">
        <v>521</v>
      </c>
      <c r="KZ18">
        <v>379</v>
      </c>
      <c r="LD18" t="s">
        <v>3372</v>
      </c>
      <c r="LF18">
        <v>412</v>
      </c>
      <c r="LL18">
        <v>516</v>
      </c>
      <c r="LN18">
        <f t="shared" si="54"/>
        <v>11</v>
      </c>
      <c r="LO18" t="s">
        <v>3302</v>
      </c>
      <c r="LP18" t="s">
        <v>3947</v>
      </c>
      <c r="LQ18">
        <v>2.5852901935577388</v>
      </c>
      <c r="LR18">
        <v>466</v>
      </c>
      <c r="LS18" s="3"/>
      <c r="LT18">
        <f t="shared" si="55"/>
        <v>4</v>
      </c>
      <c r="LU18" t="s">
        <v>2805</v>
      </c>
      <c r="LV18" t="s">
        <v>4200</v>
      </c>
      <c r="LW18">
        <v>3.1892964839935298</v>
      </c>
      <c r="LX18">
        <v>450</v>
      </c>
      <c r="LY18" s="2"/>
      <c r="MD18">
        <v>437</v>
      </c>
      <c r="MJ18">
        <v>473</v>
      </c>
      <c r="MP18">
        <v>375</v>
      </c>
      <c r="MV18">
        <v>477</v>
      </c>
      <c r="MZ18" t="s">
        <v>3641</v>
      </c>
      <c r="NB18">
        <v>445</v>
      </c>
      <c r="NH18">
        <v>516</v>
      </c>
      <c r="NJ18">
        <f t="shared" si="62"/>
        <v>28</v>
      </c>
      <c r="NK18" t="s">
        <v>3954</v>
      </c>
      <c r="NL18" t="s">
        <v>4201</v>
      </c>
      <c r="NM18">
        <v>14.766356229782099</v>
      </c>
      <c r="NN18">
        <v>378</v>
      </c>
      <c r="NO18" s="3"/>
      <c r="NP18">
        <f t="shared" si="63"/>
        <v>50</v>
      </c>
      <c r="NQ18" t="s">
        <v>4202</v>
      </c>
      <c r="NR18" t="s">
        <v>4203</v>
      </c>
      <c r="NS18">
        <v>12.82555079460144</v>
      </c>
      <c r="NT18">
        <v>408</v>
      </c>
      <c r="NU18" s="2"/>
      <c r="NV18">
        <f t="shared" si="64"/>
        <v>0</v>
      </c>
      <c r="NX18" t="s">
        <v>657</v>
      </c>
      <c r="NY18">
        <v>2.899445533752441</v>
      </c>
      <c r="NZ18">
        <v>353</v>
      </c>
      <c r="OA18" s="3"/>
      <c r="OB18">
        <f t="shared" si="65"/>
        <v>2</v>
      </c>
      <c r="OC18" t="s">
        <v>3</v>
      </c>
      <c r="OD18" t="s">
        <v>3</v>
      </c>
      <c r="OE18">
        <v>2.7380061149597168</v>
      </c>
      <c r="OF18">
        <v>467</v>
      </c>
      <c r="OG18" s="2"/>
      <c r="OL18">
        <v>378</v>
      </c>
      <c r="OR18">
        <v>515</v>
      </c>
      <c r="OV18" t="s">
        <v>4204</v>
      </c>
      <c r="OX18">
        <v>415</v>
      </c>
      <c r="PD18">
        <v>509</v>
      </c>
      <c r="PJ18">
        <v>395</v>
      </c>
      <c r="PP18">
        <v>489</v>
      </c>
      <c r="PR18">
        <f t="shared" si="72"/>
        <v>0</v>
      </c>
      <c r="PT18" t="s">
        <v>3</v>
      </c>
      <c r="PU18">
        <v>3.355337381362915</v>
      </c>
      <c r="PV18">
        <v>375</v>
      </c>
      <c r="PW18" s="3"/>
      <c r="PX18">
        <f t="shared" si="73"/>
        <v>0</v>
      </c>
      <c r="PZ18" t="s">
        <v>4082</v>
      </c>
      <c r="QA18">
        <v>3.3410980701446529</v>
      </c>
      <c r="QB18">
        <v>467</v>
      </c>
      <c r="QC18" s="2"/>
      <c r="QD18">
        <f t="shared" si="74"/>
        <v>16</v>
      </c>
      <c r="QE18" t="s">
        <v>3</v>
      </c>
      <c r="QF18" t="s">
        <v>3</v>
      </c>
      <c r="QG18">
        <v>2.738092184066772</v>
      </c>
      <c r="QH18">
        <v>371</v>
      </c>
      <c r="QI18" s="3"/>
      <c r="QL18" t="s">
        <v>3641</v>
      </c>
      <c r="QN18">
        <v>441</v>
      </c>
      <c r="QP18">
        <f t="shared" si="76"/>
        <v>12</v>
      </c>
      <c r="QQ18" t="s">
        <v>4205</v>
      </c>
      <c r="QR18" t="s">
        <v>4206</v>
      </c>
      <c r="QS18">
        <v>10.219172716140751</v>
      </c>
      <c r="QT18">
        <v>353</v>
      </c>
      <c r="QU18" s="3"/>
      <c r="QV18">
        <f t="shared" si="77"/>
        <v>15</v>
      </c>
      <c r="QW18" t="s">
        <v>3048</v>
      </c>
      <c r="QX18" t="s">
        <v>4207</v>
      </c>
      <c r="QY18">
        <v>6.6630990505218506</v>
      </c>
      <c r="QZ18">
        <v>349</v>
      </c>
      <c r="RA18" s="2"/>
      <c r="RB18">
        <f t="shared" si="78"/>
        <v>11</v>
      </c>
      <c r="RC18" t="s">
        <v>1423</v>
      </c>
      <c r="RD18" t="s">
        <v>4208</v>
      </c>
      <c r="RE18">
        <v>4.1291980743408203</v>
      </c>
      <c r="RF18">
        <v>447</v>
      </c>
      <c r="RG18" s="3"/>
      <c r="RH18">
        <f t="shared" si="79"/>
        <v>8</v>
      </c>
      <c r="RI18" t="s">
        <v>3734</v>
      </c>
      <c r="RJ18" t="s">
        <v>3734</v>
      </c>
      <c r="RK18">
        <v>2.9879565238952641</v>
      </c>
      <c r="RL18">
        <v>424</v>
      </c>
      <c r="RM18" s="2"/>
      <c r="RN18">
        <f t="shared" si="80"/>
        <v>6</v>
      </c>
      <c r="RO18" t="s">
        <v>657</v>
      </c>
      <c r="RP18" t="s">
        <v>4209</v>
      </c>
      <c r="RQ18">
        <v>3.397185087203979</v>
      </c>
      <c r="RR18">
        <v>377</v>
      </c>
      <c r="RS18" s="3"/>
      <c r="RT18">
        <f t="shared" si="81"/>
        <v>0</v>
      </c>
      <c r="RV18" t="s">
        <v>4014</v>
      </c>
      <c r="RW18">
        <v>2.9717822074890141</v>
      </c>
      <c r="RX18">
        <v>476</v>
      </c>
      <c r="RY18" s="2"/>
      <c r="RZ18">
        <f t="shared" si="82"/>
        <v>21</v>
      </c>
      <c r="SA18" t="s">
        <v>2190</v>
      </c>
      <c r="SB18" t="s">
        <v>4210</v>
      </c>
      <c r="SC18">
        <v>11.21078586578369</v>
      </c>
      <c r="SD18">
        <v>322</v>
      </c>
      <c r="SE18" s="3"/>
      <c r="SF18">
        <f t="shared" si="83"/>
        <v>8</v>
      </c>
      <c r="SG18" t="s">
        <v>2634</v>
      </c>
      <c r="SH18" t="s">
        <v>4211</v>
      </c>
      <c r="SI18">
        <v>4.284909725189209</v>
      </c>
      <c r="SJ18">
        <v>447</v>
      </c>
      <c r="SK18" s="2"/>
      <c r="SN18" t="s">
        <v>4212</v>
      </c>
      <c r="SP18">
        <v>350</v>
      </c>
      <c r="SV18">
        <v>457</v>
      </c>
      <c r="TB18">
        <v>477</v>
      </c>
      <c r="TH18">
        <v>349</v>
      </c>
      <c r="TJ18">
        <f t="shared" si="88"/>
        <v>-2</v>
      </c>
      <c r="TL18" t="s">
        <v>3892</v>
      </c>
      <c r="TM18">
        <v>3.1522014141082759</v>
      </c>
      <c r="TN18">
        <v>489</v>
      </c>
      <c r="TO18" s="5"/>
      <c r="TR18" t="s">
        <v>3</v>
      </c>
      <c r="TT18">
        <v>391</v>
      </c>
      <c r="TV18">
        <f t="shared" si="90"/>
        <v>0</v>
      </c>
      <c r="TX18" t="s">
        <v>3641</v>
      </c>
      <c r="TY18">
        <v>2.693169116973877</v>
      </c>
      <c r="TZ18">
        <v>384</v>
      </c>
      <c r="UA18" s="5"/>
      <c r="UB18">
        <f t="shared" si="91"/>
        <v>10</v>
      </c>
      <c r="UC18" t="s">
        <v>400</v>
      </c>
      <c r="UD18" t="s">
        <v>3734</v>
      </c>
      <c r="UE18">
        <v>2.828356266021729</v>
      </c>
      <c r="UF18">
        <v>490</v>
      </c>
      <c r="UG18" s="2"/>
      <c r="UL18">
        <v>448</v>
      </c>
      <c r="UR18">
        <v>466</v>
      </c>
      <c r="UV18" t="s">
        <v>987</v>
      </c>
      <c r="UX18">
        <v>461</v>
      </c>
      <c r="VD18">
        <v>503</v>
      </c>
      <c r="VJ18">
        <v>370</v>
      </c>
      <c r="VP18">
        <v>466</v>
      </c>
      <c r="VR18">
        <f t="shared" si="98"/>
        <v>16</v>
      </c>
      <c r="VS18" t="s">
        <v>60</v>
      </c>
      <c r="VT18" t="s">
        <v>4213</v>
      </c>
      <c r="VU18">
        <v>4.515195369720459</v>
      </c>
      <c r="VV18">
        <v>419</v>
      </c>
      <c r="VW18" s="5"/>
      <c r="VX18">
        <f t="shared" si="99"/>
        <v>0</v>
      </c>
      <c r="VZ18" t="s">
        <v>3641</v>
      </c>
      <c r="WA18">
        <v>2.6543853282928471</v>
      </c>
      <c r="WB18">
        <v>458</v>
      </c>
      <c r="WC18" s="2"/>
      <c r="WD18">
        <f t="shared" si="100"/>
        <v>9</v>
      </c>
      <c r="WE18" t="s">
        <v>800</v>
      </c>
      <c r="WF18" t="s">
        <v>4056</v>
      </c>
      <c r="WG18">
        <v>3.222213506698608</v>
      </c>
      <c r="WH18">
        <v>440</v>
      </c>
      <c r="WI18" s="5"/>
      <c r="WJ18">
        <f t="shared" si="101"/>
        <v>0</v>
      </c>
      <c r="WL18" t="s">
        <v>3445</v>
      </c>
      <c r="WM18">
        <v>3.1326756477355961</v>
      </c>
      <c r="WN18">
        <v>459</v>
      </c>
      <c r="WO18" s="2"/>
      <c r="WP18">
        <f t="shared" si="102"/>
        <v>20</v>
      </c>
      <c r="WQ18" t="s">
        <v>3793</v>
      </c>
      <c r="WR18" t="s">
        <v>4214</v>
      </c>
      <c r="WS18">
        <v>4.1696670055389404</v>
      </c>
      <c r="WT18">
        <v>513</v>
      </c>
      <c r="WU18" s="5"/>
      <c r="WV18">
        <f t="shared" si="103"/>
        <v>17</v>
      </c>
      <c r="WW18" t="s">
        <v>3311</v>
      </c>
      <c r="WX18" t="s">
        <v>3048</v>
      </c>
      <c r="WY18">
        <v>3.4446241855621338</v>
      </c>
      <c r="WZ18">
        <v>387</v>
      </c>
      <c r="XA18" s="2"/>
      <c r="XB18">
        <f t="shared" si="104"/>
        <v>20</v>
      </c>
      <c r="XC18" t="s">
        <v>4215</v>
      </c>
      <c r="XD18" t="s">
        <v>3331</v>
      </c>
      <c r="XE18">
        <v>2.989610910415649</v>
      </c>
      <c r="XF18">
        <v>475</v>
      </c>
      <c r="XG18" s="5"/>
      <c r="XJ18" t="s">
        <v>3372</v>
      </c>
      <c r="XL18">
        <v>445</v>
      </c>
      <c r="XR18">
        <v>368</v>
      </c>
      <c r="XX18">
        <v>646</v>
      </c>
      <c r="XZ18">
        <f t="shared" si="108"/>
        <v>24</v>
      </c>
      <c r="YA18" t="s">
        <v>4216</v>
      </c>
      <c r="YB18" t="s">
        <v>4217</v>
      </c>
      <c r="YC18">
        <v>21.444974899291989</v>
      </c>
      <c r="YD18">
        <v>464</v>
      </c>
      <c r="YE18" s="5"/>
      <c r="YF18">
        <f t="shared" si="109"/>
        <v>60</v>
      </c>
      <c r="YG18" t="s">
        <v>4218</v>
      </c>
      <c r="YH18" t="s">
        <v>4219</v>
      </c>
      <c r="YI18">
        <v>18.57279014587402</v>
      </c>
      <c r="YJ18">
        <v>397</v>
      </c>
      <c r="YK18" s="2"/>
      <c r="YP18">
        <v>408</v>
      </c>
      <c r="YV18">
        <v>505</v>
      </c>
      <c r="ZB18">
        <v>522</v>
      </c>
      <c r="ZH18">
        <v>358</v>
      </c>
      <c r="ZJ18">
        <f t="shared" si="114"/>
        <v>0</v>
      </c>
      <c r="ZL18" t="s">
        <v>3641</v>
      </c>
      <c r="ZM18">
        <v>2.9592807292938228</v>
      </c>
      <c r="ZN18">
        <v>486</v>
      </c>
      <c r="ZO18" s="5"/>
      <c r="ZP18">
        <f t="shared" si="115"/>
        <v>5</v>
      </c>
      <c r="ZQ18" t="s">
        <v>3219</v>
      </c>
      <c r="ZR18" t="s">
        <v>3892</v>
      </c>
      <c r="ZS18">
        <v>2.9950065612792969</v>
      </c>
      <c r="ZT18">
        <v>382</v>
      </c>
      <c r="ZU18" s="2"/>
      <c r="ZX18" t="s">
        <v>3</v>
      </c>
      <c r="ZZ18">
        <v>512</v>
      </c>
      <c r="AAF18">
        <v>502</v>
      </c>
      <c r="AAH18">
        <f t="shared" si="118"/>
        <v>6</v>
      </c>
      <c r="AAI18" t="s">
        <v>3</v>
      </c>
      <c r="AAJ18" t="s">
        <v>4220</v>
      </c>
      <c r="AAK18">
        <v>4.0807125568389893</v>
      </c>
      <c r="AAL18">
        <v>446</v>
      </c>
      <c r="AAM18" s="5"/>
      <c r="AAN18">
        <f t="shared" si="119"/>
        <v>8</v>
      </c>
      <c r="AAO18" t="s">
        <v>2993</v>
      </c>
      <c r="AAP18" t="s">
        <v>3361</v>
      </c>
      <c r="AAQ18">
        <v>2.9751169681549068</v>
      </c>
      <c r="AAR18">
        <v>403</v>
      </c>
      <c r="AAS18" s="2"/>
      <c r="AAT18">
        <f t="shared" si="120"/>
        <v>14</v>
      </c>
      <c r="AAU18" t="s">
        <v>2062</v>
      </c>
      <c r="AAV18" t="s">
        <v>4221</v>
      </c>
      <c r="AAW18">
        <v>3.9964456558227539</v>
      </c>
      <c r="AAX18">
        <v>526</v>
      </c>
      <c r="AAY18" s="5"/>
      <c r="AAZ18">
        <f t="shared" si="121"/>
        <v>7</v>
      </c>
      <c r="ABA18" t="s">
        <v>3582</v>
      </c>
      <c r="ABB18" t="s">
        <v>4222</v>
      </c>
      <c r="ABC18">
        <v>4.1910204887390137</v>
      </c>
      <c r="ABD18">
        <v>290</v>
      </c>
      <c r="ABE18" s="2"/>
      <c r="ABF18">
        <f t="shared" si="122"/>
        <v>0</v>
      </c>
      <c r="ABH18" t="s">
        <v>3331</v>
      </c>
      <c r="ABI18">
        <v>3.210264921188354</v>
      </c>
      <c r="ABJ18">
        <v>566</v>
      </c>
      <c r="ABK18" s="5"/>
      <c r="ABL18">
        <f t="shared" si="123"/>
        <v>0</v>
      </c>
      <c r="ABN18" t="s">
        <v>3445</v>
      </c>
      <c r="ABO18">
        <v>3.323240995407104</v>
      </c>
      <c r="ABP18">
        <v>374</v>
      </c>
      <c r="ABQ18" s="2"/>
      <c r="ABV18">
        <v>414</v>
      </c>
      <c r="ACB18">
        <v>436</v>
      </c>
      <c r="ACD18">
        <f t="shared" si="126"/>
        <v>43</v>
      </c>
      <c r="ACE18" t="s">
        <v>4223</v>
      </c>
      <c r="ACF18" t="s">
        <v>4224</v>
      </c>
      <c r="ACG18">
        <v>15.140928745269781</v>
      </c>
      <c r="ACH18">
        <v>386</v>
      </c>
      <c r="ACI18" s="5"/>
      <c r="ACJ18">
        <f t="shared" si="127"/>
        <v>17</v>
      </c>
      <c r="ACK18" t="s">
        <v>4225</v>
      </c>
      <c r="ACL18" t="s">
        <v>4226</v>
      </c>
      <c r="ACM18">
        <v>8.3971145153045654</v>
      </c>
      <c r="ACN18">
        <v>481</v>
      </c>
      <c r="ACO18" s="2"/>
      <c r="ACP18">
        <f t="shared" si="128"/>
        <v>22</v>
      </c>
      <c r="ACQ18" t="s">
        <v>2846</v>
      </c>
      <c r="ACR18" t="s">
        <v>4227</v>
      </c>
      <c r="ACS18">
        <v>6.567554235458374</v>
      </c>
      <c r="ACT18">
        <v>342</v>
      </c>
      <c r="ACU18" s="5"/>
      <c r="ACV18">
        <f t="shared" si="129"/>
        <v>44</v>
      </c>
      <c r="ACW18" t="s">
        <v>4228</v>
      </c>
      <c r="ACX18" t="s">
        <v>4229</v>
      </c>
      <c r="ACY18">
        <v>21.485667705535889</v>
      </c>
      <c r="ACZ18">
        <v>443</v>
      </c>
      <c r="ADA18" s="2"/>
      <c r="ADF18">
        <v>459</v>
      </c>
      <c r="ADL18">
        <v>442</v>
      </c>
      <c r="ADR18">
        <v>367</v>
      </c>
      <c r="ADX18">
        <v>494</v>
      </c>
      <c r="AED18">
        <v>461</v>
      </c>
      <c r="AEJ18">
        <v>439</v>
      </c>
      <c r="AEL18">
        <f t="shared" si="136"/>
        <v>0</v>
      </c>
      <c r="AEN18" t="s">
        <v>4127</v>
      </c>
      <c r="AEO18">
        <v>3.2901513576507568</v>
      </c>
      <c r="AEP18">
        <v>440</v>
      </c>
      <c r="AEQ18" s="5"/>
      <c r="AER18">
        <f t="shared" si="137"/>
        <v>0</v>
      </c>
      <c r="AET18" t="s">
        <v>3</v>
      </c>
      <c r="AEU18">
        <v>2.9057707786560059</v>
      </c>
      <c r="AEV18">
        <v>398</v>
      </c>
      <c r="AEW18" s="2"/>
      <c r="AEX18">
        <f t="shared" si="138"/>
        <v>10</v>
      </c>
      <c r="AEY18" t="s">
        <v>1229</v>
      </c>
      <c r="AEZ18" t="s">
        <v>4230</v>
      </c>
      <c r="AFA18">
        <v>5.1885714530944824</v>
      </c>
      <c r="AFB18">
        <v>467</v>
      </c>
      <c r="AFC18" s="5"/>
      <c r="AFD18">
        <f t="shared" si="139"/>
        <v>6</v>
      </c>
      <c r="AFE18" t="s">
        <v>3361</v>
      </c>
      <c r="AFF18" t="s">
        <v>3361</v>
      </c>
      <c r="AFG18">
        <v>3.1275017261505131</v>
      </c>
      <c r="AFH18">
        <v>389</v>
      </c>
      <c r="AFI18" s="2"/>
      <c r="AFJ18">
        <f t="shared" si="140"/>
        <v>0</v>
      </c>
      <c r="AFL18" t="s">
        <v>3641</v>
      </c>
      <c r="AFM18">
        <v>2.759952068328857</v>
      </c>
      <c r="AFN18">
        <v>513</v>
      </c>
      <c r="AFO18" s="5"/>
      <c r="AFP18">
        <f t="shared" si="141"/>
        <v>16</v>
      </c>
      <c r="AFQ18" t="s">
        <v>4231</v>
      </c>
      <c r="AFR18" t="s">
        <v>4232</v>
      </c>
      <c r="AFS18">
        <v>4.3609862327575684</v>
      </c>
      <c r="AFT18">
        <v>423</v>
      </c>
      <c r="AFU18" s="2"/>
      <c r="AFV18">
        <f t="shared" si="142"/>
        <v>10</v>
      </c>
      <c r="AFW18" t="s">
        <v>46</v>
      </c>
      <c r="AFX18" t="s">
        <v>4233</v>
      </c>
      <c r="AFY18">
        <v>3.6465790271759029</v>
      </c>
      <c r="AFZ18">
        <v>425</v>
      </c>
      <c r="AGA18" s="5"/>
      <c r="AGB18">
        <f t="shared" si="143"/>
        <v>6</v>
      </c>
      <c r="AGC18" t="s">
        <v>4234</v>
      </c>
      <c r="AGD18" t="s">
        <v>4056</v>
      </c>
      <c r="AGE18">
        <v>3.287446260452271</v>
      </c>
      <c r="AGF18">
        <v>404</v>
      </c>
      <c r="AGG18" s="2"/>
      <c r="AGL18">
        <v>559</v>
      </c>
      <c r="AGR18">
        <v>425</v>
      </c>
      <c r="AGV18" t="s">
        <v>3892</v>
      </c>
      <c r="AGX18">
        <v>419</v>
      </c>
      <c r="AHD18">
        <v>516</v>
      </c>
      <c r="AHF18">
        <f t="shared" si="148"/>
        <v>16</v>
      </c>
      <c r="AHG18" t="s">
        <v>4235</v>
      </c>
      <c r="AHH18" t="s">
        <v>4103</v>
      </c>
      <c r="AHI18">
        <v>3.4439675807952881</v>
      </c>
      <c r="AHJ18">
        <v>446</v>
      </c>
      <c r="AHK18" s="5"/>
      <c r="AHN18" t="s">
        <v>4236</v>
      </c>
      <c r="AHP18">
        <v>399</v>
      </c>
      <c r="AHR18">
        <f t="shared" si="150"/>
        <v>20</v>
      </c>
      <c r="AHS18" t="s">
        <v>382</v>
      </c>
      <c r="AHT18" t="s">
        <v>4237</v>
      </c>
      <c r="AHU18">
        <v>6.7901768684387207</v>
      </c>
      <c r="AHV18">
        <v>505</v>
      </c>
      <c r="AHW18" s="5"/>
      <c r="AHX18">
        <f t="shared" si="151"/>
        <v>11</v>
      </c>
      <c r="AHY18" t="s">
        <v>349</v>
      </c>
      <c r="AHZ18" t="s">
        <v>4238</v>
      </c>
      <c r="AIA18">
        <v>3.8270525932312012</v>
      </c>
      <c r="AIB18">
        <v>343</v>
      </c>
      <c r="AIC18" s="2"/>
      <c r="AID18">
        <f t="shared" si="152"/>
        <v>14</v>
      </c>
      <c r="AIE18" t="s">
        <v>4239</v>
      </c>
      <c r="AIF18" t="s">
        <v>4240</v>
      </c>
      <c r="AIG18">
        <v>4.0273160934448242</v>
      </c>
      <c r="AIH18">
        <v>429</v>
      </c>
      <c r="AII18" s="5"/>
      <c r="AIJ18">
        <f t="shared" si="153"/>
        <v>6</v>
      </c>
      <c r="AIK18" t="s">
        <v>3093</v>
      </c>
      <c r="AIL18" t="s">
        <v>800</v>
      </c>
      <c r="AIM18">
        <v>3.332744836807251</v>
      </c>
      <c r="AIN18">
        <v>406</v>
      </c>
      <c r="AIO18" s="2"/>
      <c r="AIR18" t="s">
        <v>3641</v>
      </c>
      <c r="AIT18">
        <v>378</v>
      </c>
      <c r="AIZ18">
        <v>442</v>
      </c>
      <c r="AJF18">
        <v>576</v>
      </c>
      <c r="AJL18">
        <v>406</v>
      </c>
      <c r="AJR18">
        <v>468</v>
      </c>
      <c r="AJX18">
        <v>453</v>
      </c>
      <c r="AJZ18">
        <f t="shared" si="160"/>
        <v>24</v>
      </c>
      <c r="AKA18" t="s">
        <v>2456</v>
      </c>
      <c r="AKB18" t="s">
        <v>4241</v>
      </c>
      <c r="AKC18">
        <v>8.438462495803833</v>
      </c>
      <c r="AKD18">
        <v>413</v>
      </c>
      <c r="AKE18" s="5"/>
      <c r="AKF18">
        <f t="shared" si="161"/>
        <v>69</v>
      </c>
      <c r="AKG18" t="s">
        <v>2140</v>
      </c>
      <c r="AKH18" t="s">
        <v>4242</v>
      </c>
      <c r="AKI18">
        <v>68.876337051391602</v>
      </c>
      <c r="AKJ18">
        <v>453</v>
      </c>
      <c r="AKK18" s="2"/>
      <c r="AKL18">
        <f t="shared" si="162"/>
        <v>10</v>
      </c>
      <c r="AKM18" t="s">
        <v>264</v>
      </c>
      <c r="AKN18" t="s">
        <v>4243</v>
      </c>
      <c r="AKO18">
        <v>3.1072337627410889</v>
      </c>
      <c r="AKP18">
        <v>399</v>
      </c>
      <c r="AKQ18" s="5"/>
      <c r="AKR18">
        <f t="shared" si="163"/>
        <v>9</v>
      </c>
      <c r="AKS18" t="s">
        <v>3309</v>
      </c>
      <c r="AKT18" t="s">
        <v>4244</v>
      </c>
      <c r="AKU18">
        <v>3.2710297107696529</v>
      </c>
      <c r="AKV18">
        <v>476</v>
      </c>
      <c r="AKW18" s="2"/>
      <c r="AKX18">
        <f t="shared" si="164"/>
        <v>0</v>
      </c>
      <c r="AKZ18" t="s">
        <v>3641</v>
      </c>
      <c r="ALA18">
        <v>3.054802417755127</v>
      </c>
      <c r="ALB18">
        <v>529</v>
      </c>
      <c r="ALC18" s="5"/>
      <c r="ALD18">
        <f t="shared" si="165"/>
        <v>7</v>
      </c>
      <c r="ALE18" t="s">
        <v>4245</v>
      </c>
      <c r="ALF18" t="s">
        <v>3</v>
      </c>
      <c r="ALG18">
        <v>3.0775678157806401</v>
      </c>
      <c r="ALH18">
        <v>505</v>
      </c>
      <c r="ALI18" s="2"/>
      <c r="ALJ18">
        <f t="shared" si="166"/>
        <v>8</v>
      </c>
      <c r="ALK18" t="s">
        <v>2074</v>
      </c>
      <c r="ALL18" t="s">
        <v>3994</v>
      </c>
      <c r="ALM18">
        <v>3.2870016098022461</v>
      </c>
      <c r="ALN18">
        <v>499</v>
      </c>
      <c r="ALO18" s="5"/>
      <c r="ALP18">
        <f t="shared" si="167"/>
        <v>7</v>
      </c>
      <c r="ALQ18" t="s">
        <v>510</v>
      </c>
      <c r="ALR18" t="s">
        <v>4246</v>
      </c>
      <c r="ALS18">
        <v>4.3841743469238281</v>
      </c>
      <c r="ALT18">
        <v>407</v>
      </c>
      <c r="ALU18" s="2"/>
      <c r="ALV18">
        <f t="shared" si="168"/>
        <v>7</v>
      </c>
      <c r="ALW18" t="s">
        <v>2463</v>
      </c>
      <c r="ALX18" t="s">
        <v>4247</v>
      </c>
      <c r="ALY18">
        <v>3.4226963520050049</v>
      </c>
      <c r="ALZ18">
        <v>516</v>
      </c>
      <c r="AMA18" s="5"/>
      <c r="AMB18">
        <f t="shared" si="169"/>
        <v>5</v>
      </c>
      <c r="AMC18" t="s">
        <v>987</v>
      </c>
      <c r="AMD18" t="s">
        <v>4248</v>
      </c>
      <c r="AME18">
        <v>3.2884452342987061</v>
      </c>
      <c r="AMF18">
        <v>414</v>
      </c>
      <c r="AMG18" s="2"/>
      <c r="AMH18">
        <f t="shared" si="170"/>
        <v>0</v>
      </c>
      <c r="AMJ18" t="s">
        <v>3641</v>
      </c>
      <c r="AMK18">
        <v>3.0913205146789551</v>
      </c>
      <c r="AML18">
        <v>435</v>
      </c>
      <c r="AMM18" s="5"/>
      <c r="AMN18">
        <f t="shared" si="171"/>
        <v>8</v>
      </c>
      <c r="AMO18" t="s">
        <v>4249</v>
      </c>
      <c r="AMP18" t="s">
        <v>1955</v>
      </c>
      <c r="AMQ18">
        <v>3.3268883228302002</v>
      </c>
      <c r="AMR18">
        <v>434</v>
      </c>
      <c r="AMS18" s="2"/>
    </row>
    <row r="19" spans="1:1033" x14ac:dyDescent="0.25">
      <c r="A19">
        <v>17</v>
      </c>
      <c r="B19">
        <f t="shared" si="0"/>
        <v>0</v>
      </c>
      <c r="D19" t="s">
        <v>916</v>
      </c>
      <c r="E19">
        <v>2.5639374256134029</v>
      </c>
      <c r="F19">
        <v>469</v>
      </c>
      <c r="G19" s="1"/>
      <c r="H19">
        <f t="shared" si="1"/>
        <v>4</v>
      </c>
      <c r="I19" t="s">
        <v>1065</v>
      </c>
      <c r="J19" t="s">
        <v>4250</v>
      </c>
      <c r="K19">
        <v>3.208678245544434</v>
      </c>
      <c r="L19">
        <v>426</v>
      </c>
      <c r="M19" s="2"/>
      <c r="R19" s="6">
        <f>R18</f>
        <v>377</v>
      </c>
      <c r="X19">
        <v>412</v>
      </c>
      <c r="Z19">
        <f t="shared" si="4"/>
        <v>18</v>
      </c>
      <c r="AA19" t="s">
        <v>1423</v>
      </c>
      <c r="AB19" t="s">
        <v>3373</v>
      </c>
      <c r="AC19">
        <v>3.0060725212097168</v>
      </c>
      <c r="AD19">
        <v>533</v>
      </c>
      <c r="AE19" s="1"/>
      <c r="AH19" t="s">
        <v>4200</v>
      </c>
      <c r="AJ19">
        <v>398</v>
      </c>
      <c r="AP19">
        <v>442</v>
      </c>
      <c r="AV19">
        <v>421</v>
      </c>
      <c r="BB19">
        <v>418</v>
      </c>
      <c r="BH19">
        <v>524</v>
      </c>
      <c r="BJ19">
        <f t="shared" si="10"/>
        <v>0</v>
      </c>
      <c r="BL19" t="s">
        <v>3641</v>
      </c>
      <c r="BM19">
        <v>2.867766141891479</v>
      </c>
      <c r="BN19">
        <v>513</v>
      </c>
      <c r="BO19" s="3"/>
      <c r="BP19">
        <f t="shared" si="11"/>
        <v>0</v>
      </c>
      <c r="BR19" t="s">
        <v>3445</v>
      </c>
      <c r="BS19">
        <v>3.1289107799530029</v>
      </c>
      <c r="BT19">
        <v>408</v>
      </c>
      <c r="BU19" s="2"/>
      <c r="BV19">
        <f t="shared" si="12"/>
        <v>-8</v>
      </c>
      <c r="BX19" t="s">
        <v>4037</v>
      </c>
      <c r="BY19">
        <v>3.4834802150726318</v>
      </c>
      <c r="BZ19">
        <v>529</v>
      </c>
      <c r="CA19" s="3"/>
      <c r="CD19" t="s">
        <v>3</v>
      </c>
      <c r="CF19">
        <v>404</v>
      </c>
      <c r="CL19">
        <v>437</v>
      </c>
      <c r="CR19">
        <v>454</v>
      </c>
      <c r="CX19">
        <v>496</v>
      </c>
      <c r="DD19">
        <v>356</v>
      </c>
      <c r="DF19">
        <f t="shared" si="18"/>
        <v>78</v>
      </c>
      <c r="DG19" t="s">
        <v>4251</v>
      </c>
      <c r="DH19" t="s">
        <v>4252</v>
      </c>
      <c r="DI19">
        <v>89.16734766960144</v>
      </c>
      <c r="DJ19">
        <v>365</v>
      </c>
      <c r="DK19" s="3"/>
      <c r="DL19">
        <f t="shared" si="19"/>
        <v>20</v>
      </c>
      <c r="DM19" t="s">
        <v>2943</v>
      </c>
      <c r="DN19" t="s">
        <v>4253</v>
      </c>
      <c r="DO19">
        <v>13.416978120803829</v>
      </c>
      <c r="DP19">
        <v>399</v>
      </c>
      <c r="DQ19" s="2"/>
      <c r="DR19">
        <f t="shared" si="20"/>
        <v>0</v>
      </c>
      <c r="DT19" t="s">
        <v>3</v>
      </c>
      <c r="DU19">
        <v>2.8346254825592041</v>
      </c>
      <c r="DV19">
        <v>539</v>
      </c>
      <c r="DW19" s="3"/>
      <c r="DX19">
        <f t="shared" si="21"/>
        <v>0</v>
      </c>
      <c r="DZ19" t="s">
        <v>3</v>
      </c>
      <c r="EA19">
        <v>3.0667328834533691</v>
      </c>
      <c r="EB19">
        <v>361</v>
      </c>
      <c r="EC19" s="2"/>
      <c r="ED19">
        <f t="shared" si="22"/>
        <v>14</v>
      </c>
      <c r="EE19" t="s">
        <v>3422</v>
      </c>
      <c r="EF19" t="s">
        <v>3947</v>
      </c>
      <c r="EG19">
        <v>2.689427375793457</v>
      </c>
      <c r="EH19">
        <v>323</v>
      </c>
      <c r="EI19" s="3"/>
      <c r="EL19" t="s">
        <v>3946</v>
      </c>
      <c r="EN19">
        <v>490</v>
      </c>
      <c r="EP19">
        <f t="shared" si="24"/>
        <v>0</v>
      </c>
      <c r="ER19" t="s">
        <v>3585</v>
      </c>
      <c r="ES19">
        <v>2.9544498920440669</v>
      </c>
      <c r="ET19">
        <v>404</v>
      </c>
      <c r="EU19" s="3"/>
      <c r="EV19">
        <f t="shared" si="25"/>
        <v>0</v>
      </c>
      <c r="EX19" t="s">
        <v>4248</v>
      </c>
      <c r="EY19">
        <v>3.371308326721191</v>
      </c>
      <c r="EZ19">
        <v>321</v>
      </c>
      <c r="FA19" s="2"/>
      <c r="FF19">
        <v>464</v>
      </c>
      <c r="FL19">
        <v>449</v>
      </c>
      <c r="FR19">
        <v>458</v>
      </c>
      <c r="FX19">
        <v>502</v>
      </c>
      <c r="GB19" t="s">
        <v>786</v>
      </c>
      <c r="GD19">
        <v>421</v>
      </c>
      <c r="GJ19">
        <v>408</v>
      </c>
      <c r="GL19">
        <f t="shared" si="32"/>
        <v>9</v>
      </c>
      <c r="GM19" t="s">
        <v>1320</v>
      </c>
      <c r="GN19" t="s">
        <v>4254</v>
      </c>
      <c r="GO19">
        <v>3.728828907012939</v>
      </c>
      <c r="GP19">
        <v>437</v>
      </c>
      <c r="GQ19" s="3"/>
      <c r="GR19">
        <f t="shared" si="33"/>
        <v>2</v>
      </c>
      <c r="GS19" t="s">
        <v>3</v>
      </c>
      <c r="GT19" t="s">
        <v>4029</v>
      </c>
      <c r="GU19">
        <v>3.1437337398529048</v>
      </c>
      <c r="GV19">
        <v>522</v>
      </c>
      <c r="GW19" s="2"/>
      <c r="HB19">
        <v>517</v>
      </c>
      <c r="HH19">
        <v>349</v>
      </c>
      <c r="HN19">
        <v>430</v>
      </c>
      <c r="HT19">
        <v>358</v>
      </c>
      <c r="HX19" t="s">
        <v>3641</v>
      </c>
      <c r="HZ19">
        <v>431</v>
      </c>
      <c r="IF19">
        <v>467</v>
      </c>
      <c r="IL19">
        <v>555</v>
      </c>
      <c r="IR19">
        <v>380</v>
      </c>
      <c r="IV19" t="s">
        <v>3892</v>
      </c>
      <c r="IX19">
        <v>376</v>
      </c>
      <c r="JD19">
        <v>432</v>
      </c>
      <c r="JF19">
        <f t="shared" si="44"/>
        <v>13</v>
      </c>
      <c r="JG19" t="s">
        <v>4255</v>
      </c>
      <c r="JH19" t="s">
        <v>4256</v>
      </c>
      <c r="JI19">
        <v>23.11352276802063</v>
      </c>
      <c r="JJ19">
        <v>322</v>
      </c>
      <c r="JK19" s="3"/>
      <c r="JL19">
        <f t="shared" si="45"/>
        <v>14</v>
      </c>
      <c r="JM19" t="s">
        <v>1684</v>
      </c>
      <c r="JN19" t="s">
        <v>4257</v>
      </c>
      <c r="JO19">
        <v>9.3070650100708008</v>
      </c>
      <c r="JP19">
        <v>313</v>
      </c>
      <c r="JQ19" s="2"/>
      <c r="JR19">
        <f t="shared" si="46"/>
        <v>18</v>
      </c>
      <c r="JS19" t="s">
        <v>4258</v>
      </c>
      <c r="JT19" t="s">
        <v>4259</v>
      </c>
      <c r="JU19">
        <v>5.9281995296478271</v>
      </c>
      <c r="JV19">
        <v>384</v>
      </c>
      <c r="JW19" s="3"/>
      <c r="JX19">
        <f t="shared" si="47"/>
        <v>7</v>
      </c>
      <c r="JY19" t="s">
        <v>3</v>
      </c>
      <c r="JZ19" t="s">
        <v>4260</v>
      </c>
      <c r="KA19">
        <v>3.8793208599090581</v>
      </c>
      <c r="KB19">
        <v>421</v>
      </c>
      <c r="KC19" s="2"/>
      <c r="KD19">
        <f t="shared" si="48"/>
        <v>25</v>
      </c>
      <c r="KE19" t="s">
        <v>3648</v>
      </c>
      <c r="KF19" t="s">
        <v>4261</v>
      </c>
      <c r="KG19">
        <v>20.991948366165161</v>
      </c>
      <c r="KH19">
        <v>325</v>
      </c>
      <c r="KI19" s="3"/>
      <c r="KJ19">
        <f t="shared" si="49"/>
        <v>18</v>
      </c>
      <c r="KK19" t="s">
        <v>4262</v>
      </c>
      <c r="KL19" t="s">
        <v>4263</v>
      </c>
      <c r="KM19">
        <v>16.039518594741821</v>
      </c>
      <c r="KN19">
        <v>537</v>
      </c>
      <c r="KO19" s="2"/>
      <c r="KT19">
        <v>521</v>
      </c>
      <c r="KZ19">
        <v>379</v>
      </c>
      <c r="LF19">
        <v>412</v>
      </c>
      <c r="LL19">
        <v>516</v>
      </c>
      <c r="LN19">
        <f t="shared" si="54"/>
        <v>19</v>
      </c>
      <c r="LO19" t="s">
        <v>800</v>
      </c>
      <c r="LP19" t="s">
        <v>800</v>
      </c>
      <c r="LQ19">
        <v>2.846268892288208</v>
      </c>
      <c r="LR19">
        <v>485</v>
      </c>
      <c r="LS19" s="3"/>
      <c r="LV19" t="s">
        <v>3372</v>
      </c>
      <c r="LX19">
        <v>439</v>
      </c>
      <c r="MD19">
        <v>437</v>
      </c>
      <c r="MJ19">
        <v>473</v>
      </c>
      <c r="MP19">
        <v>375</v>
      </c>
      <c r="MV19">
        <v>477</v>
      </c>
      <c r="NB19">
        <v>445</v>
      </c>
      <c r="NH19">
        <v>516</v>
      </c>
      <c r="NJ19">
        <f t="shared" si="62"/>
        <v>16</v>
      </c>
      <c r="NK19" t="s">
        <v>4264</v>
      </c>
      <c r="NL19" t="s">
        <v>4265</v>
      </c>
      <c r="NM19">
        <v>6.2957596778869629</v>
      </c>
      <c r="NN19">
        <v>394</v>
      </c>
      <c r="NO19" s="3"/>
      <c r="NP19">
        <f t="shared" si="63"/>
        <v>15</v>
      </c>
      <c r="NQ19" t="s">
        <v>1149</v>
      </c>
      <c r="NR19" t="s">
        <v>4266</v>
      </c>
      <c r="NS19">
        <v>7.8889718055725098</v>
      </c>
      <c r="NT19">
        <v>423</v>
      </c>
      <c r="NU19" s="2"/>
      <c r="NX19" t="s">
        <v>657</v>
      </c>
      <c r="NZ19">
        <v>348</v>
      </c>
      <c r="OF19">
        <v>472</v>
      </c>
      <c r="OL19">
        <v>378</v>
      </c>
      <c r="OR19">
        <v>515</v>
      </c>
      <c r="OX19">
        <v>415</v>
      </c>
      <c r="PD19">
        <v>509</v>
      </c>
      <c r="PJ19">
        <v>395</v>
      </c>
      <c r="PP19">
        <v>489</v>
      </c>
      <c r="PT19" t="s">
        <v>3</v>
      </c>
      <c r="PV19">
        <v>374</v>
      </c>
      <c r="PZ19" t="s">
        <v>4082</v>
      </c>
      <c r="QB19">
        <v>462</v>
      </c>
      <c r="QH19">
        <v>371</v>
      </c>
      <c r="QN19">
        <v>441</v>
      </c>
      <c r="QP19">
        <f t="shared" si="76"/>
        <v>9</v>
      </c>
      <c r="QQ19" t="s">
        <v>4267</v>
      </c>
      <c r="QR19" t="s">
        <v>4268</v>
      </c>
      <c r="QS19">
        <v>3.6115236282348628</v>
      </c>
      <c r="QT19">
        <v>362</v>
      </c>
      <c r="QU19" s="3"/>
      <c r="QV19">
        <f t="shared" si="77"/>
        <v>14</v>
      </c>
      <c r="QW19" t="s">
        <v>4269</v>
      </c>
      <c r="QX19" t="s">
        <v>4270</v>
      </c>
      <c r="QY19">
        <v>4.1343016624450684</v>
      </c>
      <c r="QZ19">
        <v>363</v>
      </c>
      <c r="RA19" s="2"/>
      <c r="RD19" t="s">
        <v>4271</v>
      </c>
      <c r="RF19">
        <v>445</v>
      </c>
      <c r="RL19">
        <v>426</v>
      </c>
      <c r="RN19">
        <f t="shared" si="80"/>
        <v>3</v>
      </c>
      <c r="RO19" t="s">
        <v>536</v>
      </c>
      <c r="RP19" t="s">
        <v>3762</v>
      </c>
      <c r="RQ19">
        <v>3.3998186588287349</v>
      </c>
      <c r="RR19">
        <v>380</v>
      </c>
      <c r="RS19" s="3"/>
      <c r="RT19">
        <f t="shared" si="81"/>
        <v>0</v>
      </c>
      <c r="RV19" t="s">
        <v>4014</v>
      </c>
      <c r="RW19">
        <v>2.7908246517181401</v>
      </c>
      <c r="RX19">
        <v>476</v>
      </c>
      <c r="RY19" s="2"/>
      <c r="RZ19">
        <f t="shared" si="82"/>
        <v>6</v>
      </c>
      <c r="SA19" t="s">
        <v>2993</v>
      </c>
      <c r="SB19" t="s">
        <v>4272</v>
      </c>
      <c r="SC19">
        <v>3.5716440677642818</v>
      </c>
      <c r="SD19">
        <v>328</v>
      </c>
      <c r="SE19" s="3"/>
      <c r="SF19">
        <f t="shared" si="83"/>
        <v>11</v>
      </c>
      <c r="SG19" t="s">
        <v>20</v>
      </c>
      <c r="SH19" t="s">
        <v>4273</v>
      </c>
      <c r="SI19">
        <v>3.6333491802215581</v>
      </c>
      <c r="SJ19">
        <v>458</v>
      </c>
      <c r="SK19" s="2"/>
      <c r="SP19">
        <v>350</v>
      </c>
      <c r="SV19">
        <v>457</v>
      </c>
      <c r="TB19">
        <v>477</v>
      </c>
      <c r="TH19">
        <v>349</v>
      </c>
      <c r="TL19" t="s">
        <v>3892</v>
      </c>
      <c r="TN19">
        <v>489</v>
      </c>
      <c r="TT19">
        <v>391</v>
      </c>
      <c r="TX19" t="s">
        <v>3641</v>
      </c>
      <c r="TZ19">
        <v>374</v>
      </c>
      <c r="UF19">
        <v>500</v>
      </c>
      <c r="UL19">
        <v>448</v>
      </c>
      <c r="UR19">
        <v>466</v>
      </c>
      <c r="UX19">
        <v>461</v>
      </c>
      <c r="VD19">
        <v>503</v>
      </c>
      <c r="VJ19">
        <v>370</v>
      </c>
      <c r="VP19">
        <v>466</v>
      </c>
      <c r="VR19">
        <f t="shared" si="98"/>
        <v>8</v>
      </c>
      <c r="VS19" t="s">
        <v>987</v>
      </c>
      <c r="VT19" t="s">
        <v>4274</v>
      </c>
      <c r="VU19">
        <v>3.4652402400970459</v>
      </c>
      <c r="VV19">
        <v>427</v>
      </c>
      <c r="VW19" s="5"/>
      <c r="VX19">
        <f t="shared" si="99"/>
        <v>0</v>
      </c>
      <c r="VZ19" t="s">
        <v>3641</v>
      </c>
      <c r="WA19">
        <v>2.8548252582550049</v>
      </c>
      <c r="WB19">
        <v>458</v>
      </c>
      <c r="WC19" s="2"/>
      <c r="WD19">
        <f t="shared" si="100"/>
        <v>0</v>
      </c>
      <c r="WF19" t="s">
        <v>3641</v>
      </c>
      <c r="WG19">
        <v>2.401247501373291</v>
      </c>
      <c r="WH19">
        <v>440</v>
      </c>
      <c r="WI19" s="5"/>
      <c r="WJ19">
        <f t="shared" si="101"/>
        <v>0</v>
      </c>
      <c r="WL19" t="s">
        <v>3445</v>
      </c>
      <c r="WM19">
        <v>3.1814768314361568</v>
      </c>
      <c r="WN19">
        <v>459</v>
      </c>
      <c r="WO19" s="2"/>
      <c r="WP19">
        <f t="shared" si="102"/>
        <v>12</v>
      </c>
      <c r="WQ19" t="s">
        <v>2993</v>
      </c>
      <c r="WR19" t="s">
        <v>4271</v>
      </c>
      <c r="WS19">
        <v>3.3101382255554199</v>
      </c>
      <c r="WT19">
        <v>525</v>
      </c>
      <c r="WU19" s="5"/>
      <c r="WX19" t="s">
        <v>800</v>
      </c>
      <c r="WZ19">
        <v>386</v>
      </c>
      <c r="XF19">
        <v>475</v>
      </c>
      <c r="XL19">
        <v>445</v>
      </c>
      <c r="XR19">
        <v>368</v>
      </c>
      <c r="XX19">
        <v>646</v>
      </c>
      <c r="XZ19">
        <f t="shared" si="108"/>
        <v>9</v>
      </c>
      <c r="YA19" t="s">
        <v>4275</v>
      </c>
      <c r="YB19" t="s">
        <v>4276</v>
      </c>
      <c r="YC19">
        <v>5.7725212574005127</v>
      </c>
      <c r="YD19">
        <v>473</v>
      </c>
      <c r="YE19" s="5"/>
      <c r="YF19">
        <f t="shared" si="109"/>
        <v>6</v>
      </c>
      <c r="YG19" t="s">
        <v>3734</v>
      </c>
      <c r="YH19" t="s">
        <v>4277</v>
      </c>
      <c r="YI19">
        <v>3.7373683452606201</v>
      </c>
      <c r="YJ19">
        <v>403</v>
      </c>
      <c r="YK19" s="2"/>
      <c r="YP19">
        <v>408</v>
      </c>
      <c r="YV19">
        <v>505</v>
      </c>
      <c r="ZB19">
        <v>522</v>
      </c>
      <c r="ZH19">
        <v>358</v>
      </c>
      <c r="ZJ19">
        <f t="shared" si="114"/>
        <v>0</v>
      </c>
      <c r="ZL19" t="s">
        <v>3641</v>
      </c>
      <c r="ZM19">
        <v>3.1201713085174561</v>
      </c>
      <c r="ZN19">
        <v>486</v>
      </c>
      <c r="ZO19" s="5"/>
      <c r="ZP19">
        <f t="shared" si="115"/>
        <v>4</v>
      </c>
      <c r="ZQ19" t="s">
        <v>3</v>
      </c>
      <c r="ZR19" t="s">
        <v>3</v>
      </c>
      <c r="ZS19">
        <v>3.1805615425109859</v>
      </c>
      <c r="ZT19">
        <v>386</v>
      </c>
      <c r="ZU19" s="2"/>
      <c r="ZZ19">
        <v>512</v>
      </c>
      <c r="AAF19">
        <v>502</v>
      </c>
      <c r="AAJ19" t="s">
        <v>4278</v>
      </c>
      <c r="AAL19">
        <v>429</v>
      </c>
      <c r="AAR19">
        <v>420</v>
      </c>
      <c r="AAT19">
        <f t="shared" si="120"/>
        <v>8</v>
      </c>
      <c r="AAU19" t="s">
        <v>2651</v>
      </c>
      <c r="AAV19" t="s">
        <v>4279</v>
      </c>
      <c r="AAW19">
        <v>3.4818136692047119</v>
      </c>
      <c r="AAX19">
        <v>534</v>
      </c>
      <c r="AAY19" s="5"/>
      <c r="AAZ19">
        <f t="shared" si="121"/>
        <v>8</v>
      </c>
      <c r="ABA19" t="s">
        <v>1136</v>
      </c>
      <c r="ABB19" t="s">
        <v>4280</v>
      </c>
      <c r="ABC19">
        <v>4.0819692611694336</v>
      </c>
      <c r="ABD19">
        <v>298</v>
      </c>
      <c r="ABE19" s="2"/>
      <c r="ABF19">
        <f t="shared" si="122"/>
        <v>-4</v>
      </c>
      <c r="ABH19" t="s">
        <v>3331</v>
      </c>
      <c r="ABI19">
        <v>3.0553069114685059</v>
      </c>
      <c r="ABJ19">
        <v>562</v>
      </c>
      <c r="ABK19" s="5"/>
      <c r="ABN19" t="s">
        <v>3445</v>
      </c>
      <c r="ABP19">
        <v>370</v>
      </c>
      <c r="ABV19">
        <v>414</v>
      </c>
      <c r="ACB19">
        <v>436</v>
      </c>
      <c r="ACD19">
        <f t="shared" si="126"/>
        <v>14</v>
      </c>
      <c r="ACE19" t="s">
        <v>3217</v>
      </c>
      <c r="ACF19" t="s">
        <v>4281</v>
      </c>
      <c r="ACG19">
        <v>4.8537137508392334</v>
      </c>
      <c r="ACH19">
        <v>400</v>
      </c>
      <c r="ACI19" s="5"/>
      <c r="ACJ19">
        <f t="shared" si="127"/>
        <v>11</v>
      </c>
      <c r="ACK19" t="s">
        <v>1530</v>
      </c>
      <c r="ACL19" t="s">
        <v>4282</v>
      </c>
      <c r="ACM19">
        <v>5.0588312149047852</v>
      </c>
      <c r="ACN19">
        <v>492</v>
      </c>
      <c r="ACO19" s="2"/>
      <c r="ACP19">
        <f t="shared" si="128"/>
        <v>42</v>
      </c>
      <c r="ACQ19" t="s">
        <v>4283</v>
      </c>
      <c r="ACR19" t="s">
        <v>4284</v>
      </c>
      <c r="ACS19">
        <v>12.23725962638855</v>
      </c>
      <c r="ACT19">
        <v>384</v>
      </c>
      <c r="ACU19" s="5"/>
      <c r="ACV19">
        <f t="shared" si="129"/>
        <v>25</v>
      </c>
      <c r="ACW19" t="s">
        <v>3535</v>
      </c>
      <c r="ACX19" t="s">
        <v>4285</v>
      </c>
      <c r="ACY19">
        <v>12.222753286361691</v>
      </c>
      <c r="ACZ19">
        <v>468</v>
      </c>
      <c r="ADA19" s="2"/>
      <c r="ADF19">
        <v>459</v>
      </c>
      <c r="ADL19">
        <v>442</v>
      </c>
      <c r="ADR19">
        <v>367</v>
      </c>
      <c r="ADX19">
        <v>494</v>
      </c>
      <c r="AED19">
        <v>461</v>
      </c>
      <c r="AEJ19">
        <v>439</v>
      </c>
      <c r="AEN19" t="s">
        <v>4127</v>
      </c>
      <c r="AEP19">
        <v>431</v>
      </c>
      <c r="AET19" t="s">
        <v>3</v>
      </c>
      <c r="AEV19">
        <v>397</v>
      </c>
      <c r="AEZ19" t="s">
        <v>4286</v>
      </c>
      <c r="AFB19">
        <v>456</v>
      </c>
      <c r="AFH19">
        <v>400</v>
      </c>
      <c r="AFJ19">
        <f t="shared" si="140"/>
        <v>0</v>
      </c>
      <c r="AFL19" t="s">
        <v>3641</v>
      </c>
      <c r="AFM19">
        <v>3.0146656036376949</v>
      </c>
      <c r="AFN19">
        <v>513</v>
      </c>
      <c r="AFO19" s="5"/>
      <c r="AFP19">
        <f t="shared" si="141"/>
        <v>8</v>
      </c>
      <c r="AFQ19" t="s">
        <v>4287</v>
      </c>
      <c r="AFR19" t="s">
        <v>4061</v>
      </c>
      <c r="AFS19">
        <v>3.8450741767883301</v>
      </c>
      <c r="AFT19">
        <v>431</v>
      </c>
      <c r="AFU19" s="2"/>
      <c r="AFV19">
        <f t="shared" si="142"/>
        <v>15</v>
      </c>
      <c r="AFW19" t="s">
        <v>3331</v>
      </c>
      <c r="AFX19" t="s">
        <v>3331</v>
      </c>
      <c r="AFY19">
        <v>3.2172214984893799</v>
      </c>
      <c r="AFZ19">
        <v>440</v>
      </c>
      <c r="AGA19" s="5"/>
      <c r="AGD19" t="s">
        <v>3641</v>
      </c>
      <c r="AGF19">
        <v>394</v>
      </c>
      <c r="AGL19">
        <v>559</v>
      </c>
      <c r="AGR19">
        <v>425</v>
      </c>
      <c r="AGX19">
        <v>419</v>
      </c>
      <c r="AHD19">
        <v>516</v>
      </c>
      <c r="AHJ19">
        <v>446</v>
      </c>
      <c r="AHP19">
        <v>399</v>
      </c>
      <c r="AHR19">
        <f t="shared" si="150"/>
        <v>18</v>
      </c>
      <c r="AHS19" t="s">
        <v>1758</v>
      </c>
      <c r="AHT19" t="s">
        <v>4288</v>
      </c>
      <c r="AHU19">
        <v>5.9304447174072266</v>
      </c>
      <c r="AHV19">
        <v>523</v>
      </c>
      <c r="AHW19" s="5"/>
      <c r="AHX19">
        <f t="shared" si="151"/>
        <v>5</v>
      </c>
      <c r="AHY19" t="s">
        <v>2757</v>
      </c>
      <c r="AHZ19" t="s">
        <v>4289</v>
      </c>
      <c r="AIA19">
        <v>4.0096380710601807</v>
      </c>
      <c r="AIB19">
        <v>348</v>
      </c>
      <c r="AIC19" s="2"/>
      <c r="AIF19" t="s">
        <v>1530</v>
      </c>
      <c r="AIH19">
        <v>428</v>
      </c>
      <c r="AIN19">
        <v>407</v>
      </c>
      <c r="AIT19">
        <v>378</v>
      </c>
      <c r="AIZ19">
        <v>442</v>
      </c>
      <c r="AJF19">
        <v>576</v>
      </c>
      <c r="AJL19">
        <v>406</v>
      </c>
      <c r="AJR19">
        <v>468</v>
      </c>
      <c r="AJX19">
        <v>453</v>
      </c>
      <c r="AJZ19">
        <f t="shared" si="160"/>
        <v>9</v>
      </c>
      <c r="AKA19" t="s">
        <v>2716</v>
      </c>
      <c r="AKB19" t="s">
        <v>4290</v>
      </c>
      <c r="AKC19">
        <v>5.335111141204834</v>
      </c>
      <c r="AKD19">
        <v>422</v>
      </c>
      <c r="AKE19" s="5"/>
      <c r="AKF19">
        <f t="shared" si="161"/>
        <v>10</v>
      </c>
      <c r="AKG19" t="s">
        <v>803</v>
      </c>
      <c r="AKH19" t="s">
        <v>4291</v>
      </c>
      <c r="AKI19">
        <v>3.5172386169433589</v>
      </c>
      <c r="AKJ19">
        <v>463</v>
      </c>
      <c r="AKK19" s="2"/>
      <c r="AKL19">
        <f t="shared" si="162"/>
        <v>7</v>
      </c>
      <c r="AKM19" t="s">
        <v>510</v>
      </c>
      <c r="AKN19" t="s">
        <v>4292</v>
      </c>
      <c r="AKO19">
        <v>3.331729650497437</v>
      </c>
      <c r="AKP19">
        <v>406</v>
      </c>
      <c r="AKQ19" s="5"/>
      <c r="AKR19">
        <f t="shared" si="163"/>
        <v>8</v>
      </c>
      <c r="AKS19" t="s">
        <v>3361</v>
      </c>
      <c r="AKT19" t="s">
        <v>3361</v>
      </c>
      <c r="AKU19">
        <v>3.153030157089233</v>
      </c>
      <c r="AKV19">
        <v>484</v>
      </c>
      <c r="AKW19" s="2"/>
      <c r="AKZ19" t="s">
        <v>3641</v>
      </c>
      <c r="ALB19">
        <v>519</v>
      </c>
      <c r="ALH19">
        <v>515</v>
      </c>
      <c r="ALJ19">
        <f t="shared" si="166"/>
        <v>11</v>
      </c>
      <c r="ALK19" t="s">
        <v>1530</v>
      </c>
      <c r="ALL19" t="s">
        <v>1530</v>
      </c>
      <c r="ALM19">
        <v>3.4547393321990971</v>
      </c>
      <c r="ALN19">
        <v>510</v>
      </c>
      <c r="ALO19" s="5"/>
      <c r="ALR19" t="s">
        <v>4293</v>
      </c>
      <c r="ALT19">
        <v>400</v>
      </c>
      <c r="ALV19">
        <f t="shared" si="168"/>
        <v>6</v>
      </c>
      <c r="ALW19" t="s">
        <v>3</v>
      </c>
      <c r="ALX19" t="s">
        <v>4294</v>
      </c>
      <c r="ALY19">
        <v>3.41142725944519</v>
      </c>
      <c r="ALZ19">
        <v>522</v>
      </c>
      <c r="AMA19" s="5"/>
      <c r="AMB19">
        <f t="shared" si="169"/>
        <v>0</v>
      </c>
      <c r="AMD19" t="s">
        <v>3641</v>
      </c>
      <c r="AME19">
        <v>2.9956791400909419</v>
      </c>
      <c r="AMF19">
        <v>414</v>
      </c>
      <c r="AMG19" s="2"/>
      <c r="AMJ19" t="s">
        <v>3641</v>
      </c>
      <c r="AML19">
        <v>425</v>
      </c>
      <c r="AMR19">
        <v>444</v>
      </c>
    </row>
    <row r="20" spans="1:1033" x14ac:dyDescent="0.25">
      <c r="A20">
        <v>18</v>
      </c>
      <c r="B20">
        <f t="shared" si="0"/>
        <v>18</v>
      </c>
      <c r="C20" t="s">
        <v>4295</v>
      </c>
      <c r="D20" t="s">
        <v>916</v>
      </c>
      <c r="E20">
        <v>3.058230876922607</v>
      </c>
      <c r="F20">
        <v>487</v>
      </c>
      <c r="G20" s="1"/>
      <c r="J20" t="s">
        <v>3641</v>
      </c>
      <c r="L20">
        <v>416</v>
      </c>
      <c r="R20" s="6">
        <f t="shared" ref="R20:R25" si="172">R19</f>
        <v>377</v>
      </c>
      <c r="X20">
        <v>412</v>
      </c>
      <c r="AD20">
        <v>533</v>
      </c>
      <c r="AJ20">
        <v>398</v>
      </c>
      <c r="AP20">
        <v>442</v>
      </c>
      <c r="AV20">
        <v>421</v>
      </c>
      <c r="BB20">
        <v>418</v>
      </c>
      <c r="BH20">
        <v>524</v>
      </c>
      <c r="BJ20">
        <f t="shared" si="10"/>
        <v>-10</v>
      </c>
      <c r="BL20" t="s">
        <v>3641</v>
      </c>
      <c r="BM20">
        <v>2.984961986541748</v>
      </c>
      <c r="BN20">
        <v>503</v>
      </c>
      <c r="BO20" s="3"/>
      <c r="BR20" t="s">
        <v>3445</v>
      </c>
      <c r="BT20">
        <v>404</v>
      </c>
      <c r="BX20" t="s">
        <v>4037</v>
      </c>
      <c r="BZ20">
        <v>529</v>
      </c>
      <c r="CF20">
        <v>404</v>
      </c>
      <c r="CL20">
        <v>437</v>
      </c>
      <c r="CR20">
        <v>454</v>
      </c>
      <c r="CX20">
        <v>496</v>
      </c>
      <c r="DD20">
        <v>356</v>
      </c>
      <c r="DF20">
        <f t="shared" si="18"/>
        <v>19</v>
      </c>
      <c r="DG20" t="s">
        <v>133</v>
      </c>
      <c r="DH20" t="s">
        <v>4296</v>
      </c>
      <c r="DI20">
        <v>3.8088748455047612</v>
      </c>
      <c r="DJ20">
        <v>384</v>
      </c>
      <c r="DK20" s="3"/>
      <c r="DL20">
        <f t="shared" si="19"/>
        <v>12</v>
      </c>
      <c r="DM20" t="s">
        <v>800</v>
      </c>
      <c r="DN20" t="s">
        <v>4297</v>
      </c>
      <c r="DO20">
        <v>5.416644811630249</v>
      </c>
      <c r="DP20">
        <v>411</v>
      </c>
      <c r="DQ20" s="2"/>
      <c r="DR20">
        <f t="shared" si="20"/>
        <v>-1</v>
      </c>
      <c r="DT20" t="s">
        <v>3</v>
      </c>
      <c r="DU20">
        <v>2.5443823337554932</v>
      </c>
      <c r="DV20">
        <v>538</v>
      </c>
      <c r="DW20" s="3"/>
      <c r="DZ20" t="s">
        <v>3</v>
      </c>
      <c r="EB20">
        <v>360</v>
      </c>
      <c r="EH20">
        <v>323</v>
      </c>
      <c r="EN20">
        <v>490</v>
      </c>
      <c r="EP20">
        <f t="shared" si="24"/>
        <v>-8</v>
      </c>
      <c r="ER20" t="s">
        <v>3585</v>
      </c>
      <c r="ES20">
        <v>3.0011353492736821</v>
      </c>
      <c r="ET20">
        <v>396</v>
      </c>
      <c r="EU20" s="3"/>
      <c r="EX20" t="s">
        <v>4248</v>
      </c>
      <c r="EZ20">
        <v>309</v>
      </c>
      <c r="FF20">
        <v>464</v>
      </c>
      <c r="FL20">
        <v>449</v>
      </c>
      <c r="FR20">
        <v>458</v>
      </c>
      <c r="FX20">
        <v>502</v>
      </c>
      <c r="GD20">
        <v>421</v>
      </c>
      <c r="GJ20">
        <v>408</v>
      </c>
      <c r="GL20">
        <f t="shared" si="32"/>
        <v>18</v>
      </c>
      <c r="GM20" t="s">
        <v>4298</v>
      </c>
      <c r="GN20" t="s">
        <v>4299</v>
      </c>
      <c r="GO20">
        <v>3.41297459602356</v>
      </c>
      <c r="GP20">
        <v>455</v>
      </c>
      <c r="GQ20" s="3"/>
      <c r="GT20" t="s">
        <v>4177</v>
      </c>
      <c r="GV20">
        <v>510</v>
      </c>
      <c r="HB20">
        <v>517</v>
      </c>
      <c r="HH20">
        <v>349</v>
      </c>
      <c r="HN20">
        <v>430</v>
      </c>
      <c r="HT20">
        <v>358</v>
      </c>
      <c r="HZ20">
        <v>431</v>
      </c>
      <c r="IF20">
        <v>467</v>
      </c>
      <c r="IL20">
        <v>555</v>
      </c>
      <c r="IR20">
        <v>380</v>
      </c>
      <c r="IX20">
        <v>376</v>
      </c>
      <c r="JD20">
        <v>432</v>
      </c>
      <c r="JF20">
        <f t="shared" si="44"/>
        <v>38</v>
      </c>
      <c r="JG20" t="s">
        <v>989</v>
      </c>
      <c r="JH20" t="s">
        <v>4300</v>
      </c>
      <c r="JI20">
        <v>27.564971685409549</v>
      </c>
      <c r="JJ20">
        <v>360</v>
      </c>
      <c r="JK20" s="3"/>
      <c r="JL20">
        <f t="shared" si="45"/>
        <v>8</v>
      </c>
      <c r="JM20" t="s">
        <v>2232</v>
      </c>
      <c r="JN20" t="s">
        <v>4301</v>
      </c>
      <c r="JO20">
        <v>6.4667253494262704</v>
      </c>
      <c r="JP20">
        <v>321</v>
      </c>
      <c r="JQ20" s="2"/>
      <c r="JR20">
        <f t="shared" si="46"/>
        <v>6</v>
      </c>
      <c r="JS20" t="s">
        <v>987</v>
      </c>
      <c r="JT20" t="s">
        <v>4061</v>
      </c>
      <c r="JU20">
        <v>2.8888742923736568</v>
      </c>
      <c r="JV20">
        <v>390</v>
      </c>
      <c r="JW20" s="3"/>
      <c r="JX20">
        <f t="shared" si="47"/>
        <v>5</v>
      </c>
      <c r="JY20" t="s">
        <v>1364</v>
      </c>
      <c r="JZ20" t="s">
        <v>4302</v>
      </c>
      <c r="KA20">
        <v>3.9768388271331792</v>
      </c>
      <c r="KB20">
        <v>426</v>
      </c>
      <c r="KC20" s="2"/>
      <c r="KD20">
        <f t="shared" si="48"/>
        <v>18</v>
      </c>
      <c r="KE20" t="s">
        <v>4058</v>
      </c>
      <c r="KF20" t="s">
        <v>4303</v>
      </c>
      <c r="KG20">
        <v>11.241015672683719</v>
      </c>
      <c r="KH20">
        <v>343</v>
      </c>
      <c r="KI20" s="3"/>
      <c r="KJ20">
        <f t="shared" si="49"/>
        <v>24</v>
      </c>
      <c r="KK20" t="s">
        <v>4304</v>
      </c>
      <c r="KL20" t="s">
        <v>4305</v>
      </c>
      <c r="KM20">
        <v>4.6289021968841553</v>
      </c>
      <c r="KN20">
        <v>561</v>
      </c>
      <c r="KO20" s="2"/>
      <c r="KT20">
        <v>521</v>
      </c>
      <c r="KZ20">
        <v>379</v>
      </c>
      <c r="LF20">
        <v>412</v>
      </c>
      <c r="LL20">
        <v>516</v>
      </c>
      <c r="LR20">
        <v>485</v>
      </c>
      <c r="LX20">
        <v>439</v>
      </c>
      <c r="MD20">
        <v>437</v>
      </c>
      <c r="MJ20">
        <v>473</v>
      </c>
      <c r="MP20">
        <v>375</v>
      </c>
      <c r="MV20">
        <v>477</v>
      </c>
      <c r="NB20">
        <v>445</v>
      </c>
      <c r="NH20">
        <v>516</v>
      </c>
      <c r="NJ20">
        <f t="shared" si="62"/>
        <v>12</v>
      </c>
      <c r="NK20" t="s">
        <v>4306</v>
      </c>
      <c r="NL20" t="s">
        <v>4307</v>
      </c>
      <c r="NM20">
        <v>3.224845409393311</v>
      </c>
      <c r="NN20">
        <v>406</v>
      </c>
      <c r="NO20" s="3"/>
      <c r="NP20">
        <f t="shared" si="63"/>
        <v>14</v>
      </c>
      <c r="NQ20" t="s">
        <v>3093</v>
      </c>
      <c r="NR20" t="s">
        <v>4308</v>
      </c>
      <c r="NS20">
        <v>3.6303977966308589</v>
      </c>
      <c r="NT20">
        <v>437</v>
      </c>
      <c r="NU20" s="2"/>
      <c r="NZ20">
        <v>348</v>
      </c>
      <c r="OF20">
        <v>472</v>
      </c>
      <c r="OL20">
        <v>378</v>
      </c>
      <c r="OR20">
        <v>515</v>
      </c>
      <c r="OX20">
        <v>415</v>
      </c>
      <c r="PD20">
        <v>509</v>
      </c>
      <c r="PJ20">
        <v>395</v>
      </c>
      <c r="PP20">
        <v>489</v>
      </c>
      <c r="PV20">
        <v>374</v>
      </c>
      <c r="QB20">
        <v>462</v>
      </c>
      <c r="QH20">
        <v>371</v>
      </c>
      <c r="QN20">
        <v>441</v>
      </c>
      <c r="QP20">
        <f t="shared" si="76"/>
        <v>8</v>
      </c>
      <c r="QQ20" t="s">
        <v>3</v>
      </c>
      <c r="QR20" t="s">
        <v>4309</v>
      </c>
      <c r="QS20">
        <v>2.8740653991699219</v>
      </c>
      <c r="QT20">
        <v>370</v>
      </c>
      <c r="QU20" s="3"/>
      <c r="QV20">
        <f t="shared" si="77"/>
        <v>9</v>
      </c>
      <c r="QW20" t="s">
        <v>800</v>
      </c>
      <c r="QX20" t="s">
        <v>4310</v>
      </c>
      <c r="QY20">
        <v>3.375350713729858</v>
      </c>
      <c r="QZ20">
        <v>372</v>
      </c>
      <c r="RA20" s="2"/>
      <c r="RF20">
        <v>445</v>
      </c>
      <c r="RL20">
        <v>426</v>
      </c>
      <c r="RN20">
        <f t="shared" si="80"/>
        <v>2</v>
      </c>
      <c r="RO20" t="s">
        <v>3648</v>
      </c>
      <c r="RP20" t="s">
        <v>3892</v>
      </c>
      <c r="RQ20">
        <v>2.8249633312225342</v>
      </c>
      <c r="RR20">
        <v>382</v>
      </c>
      <c r="RS20" s="3"/>
      <c r="RT20">
        <f t="shared" si="81"/>
        <v>0</v>
      </c>
      <c r="RV20" t="s">
        <v>4014</v>
      </c>
      <c r="RW20">
        <v>3.2792670726776119</v>
      </c>
      <c r="RX20">
        <v>476</v>
      </c>
      <c r="RY20" s="2"/>
      <c r="RZ20">
        <f t="shared" si="82"/>
        <v>8</v>
      </c>
      <c r="SA20" t="s">
        <v>3361</v>
      </c>
      <c r="SB20" t="s">
        <v>4244</v>
      </c>
      <c r="SC20">
        <v>3.2335033416748051</v>
      </c>
      <c r="SD20">
        <v>336</v>
      </c>
      <c r="SE20" s="3"/>
      <c r="SF20">
        <f t="shared" si="83"/>
        <v>2</v>
      </c>
      <c r="SG20" t="s">
        <v>3</v>
      </c>
      <c r="SH20" t="s">
        <v>3372</v>
      </c>
      <c r="SI20">
        <v>2.860701322555542</v>
      </c>
      <c r="SJ20">
        <v>460</v>
      </c>
      <c r="SK20" s="2"/>
      <c r="SP20">
        <v>350</v>
      </c>
      <c r="SV20">
        <v>457</v>
      </c>
      <c r="TB20">
        <v>477</v>
      </c>
      <c r="TH20">
        <v>349</v>
      </c>
      <c r="TN20">
        <v>489</v>
      </c>
      <c r="TT20">
        <v>391</v>
      </c>
      <c r="TZ20">
        <v>374</v>
      </c>
      <c r="UF20">
        <v>500</v>
      </c>
      <c r="UL20">
        <v>448</v>
      </c>
      <c r="UR20">
        <v>466</v>
      </c>
      <c r="UX20">
        <v>461</v>
      </c>
      <c r="VD20">
        <v>503</v>
      </c>
      <c r="VJ20">
        <v>370</v>
      </c>
      <c r="VP20">
        <v>466</v>
      </c>
      <c r="VR20">
        <f t="shared" si="98"/>
        <v>15</v>
      </c>
      <c r="VS20" t="s">
        <v>987</v>
      </c>
      <c r="VT20" t="s">
        <v>987</v>
      </c>
      <c r="VU20">
        <v>3.2359931468963619</v>
      </c>
      <c r="VV20">
        <v>442</v>
      </c>
      <c r="VW20" s="5"/>
      <c r="VZ20" t="s">
        <v>3641</v>
      </c>
      <c r="WB20">
        <v>448</v>
      </c>
      <c r="WF20" t="s">
        <v>3641</v>
      </c>
      <c r="WH20">
        <v>430</v>
      </c>
      <c r="WL20" t="s">
        <v>3445</v>
      </c>
      <c r="WN20">
        <v>455</v>
      </c>
      <c r="WT20">
        <v>525</v>
      </c>
      <c r="WZ20">
        <v>386</v>
      </c>
      <c r="XF20">
        <v>475</v>
      </c>
      <c r="XL20">
        <v>445</v>
      </c>
      <c r="XR20">
        <v>368</v>
      </c>
      <c r="XX20">
        <v>646</v>
      </c>
      <c r="XZ20">
        <f t="shared" si="108"/>
        <v>5</v>
      </c>
      <c r="YA20" t="s">
        <v>2774</v>
      </c>
      <c r="YB20" t="s">
        <v>4311</v>
      </c>
      <c r="YC20">
        <v>4.4989335536956787</v>
      </c>
      <c r="YD20">
        <v>478</v>
      </c>
      <c r="YE20" s="5"/>
      <c r="YF20">
        <f t="shared" si="109"/>
        <v>5</v>
      </c>
      <c r="YG20" t="s">
        <v>3</v>
      </c>
      <c r="YH20" t="s">
        <v>3</v>
      </c>
      <c r="YI20">
        <v>3.0146818161010742</v>
      </c>
      <c r="YJ20">
        <v>408</v>
      </c>
      <c r="YK20" s="2"/>
      <c r="YP20">
        <v>408</v>
      </c>
      <c r="YV20">
        <v>505</v>
      </c>
      <c r="ZB20">
        <v>522</v>
      </c>
      <c r="ZH20">
        <v>358</v>
      </c>
      <c r="ZL20" t="s">
        <v>3641</v>
      </c>
      <c r="ZN20">
        <v>476</v>
      </c>
      <c r="ZT20">
        <v>396</v>
      </c>
      <c r="ZZ20">
        <v>512</v>
      </c>
      <c r="AAF20">
        <v>502</v>
      </c>
      <c r="AAL20">
        <v>429</v>
      </c>
      <c r="AAR20">
        <v>420</v>
      </c>
      <c r="AAT20">
        <f t="shared" si="120"/>
        <v>0</v>
      </c>
      <c r="AAV20" t="s">
        <v>3641</v>
      </c>
      <c r="AAW20">
        <v>2.7069675922393799</v>
      </c>
      <c r="AAX20">
        <v>534</v>
      </c>
      <c r="AAY20" s="5"/>
      <c r="AAZ20">
        <f t="shared" si="121"/>
        <v>6</v>
      </c>
      <c r="ABA20" t="s">
        <v>3</v>
      </c>
      <c r="ABB20" t="s">
        <v>4103</v>
      </c>
      <c r="ABC20">
        <v>3.3777058124542241</v>
      </c>
      <c r="ABD20">
        <v>304</v>
      </c>
      <c r="ABE20" s="2"/>
      <c r="ABH20" t="s">
        <v>3331</v>
      </c>
      <c r="ABJ20">
        <v>562</v>
      </c>
      <c r="ABP20">
        <v>370</v>
      </c>
      <c r="ABV20">
        <v>414</v>
      </c>
      <c r="ACB20">
        <v>436</v>
      </c>
      <c r="ACD20">
        <f t="shared" si="126"/>
        <v>9</v>
      </c>
      <c r="ACE20" t="s">
        <v>856</v>
      </c>
      <c r="ACF20" t="s">
        <v>4312</v>
      </c>
      <c r="ACG20">
        <v>3.298567533493042</v>
      </c>
      <c r="ACH20">
        <v>409</v>
      </c>
      <c r="ACI20" s="5"/>
      <c r="ACJ20">
        <f t="shared" si="127"/>
        <v>11</v>
      </c>
      <c r="ACK20" t="s">
        <v>500</v>
      </c>
      <c r="ACL20" t="s">
        <v>4313</v>
      </c>
      <c r="ACM20">
        <v>3.9634931087493901</v>
      </c>
      <c r="ACN20">
        <v>503</v>
      </c>
      <c r="ACO20" s="2"/>
      <c r="ACP20">
        <f t="shared" si="128"/>
        <v>14</v>
      </c>
      <c r="ACQ20" t="s">
        <v>4004</v>
      </c>
      <c r="ACR20" t="s">
        <v>4314</v>
      </c>
      <c r="ACS20">
        <v>3.662054300308228</v>
      </c>
      <c r="ACT20">
        <v>398</v>
      </c>
      <c r="ACU20" s="5"/>
      <c r="ACV20">
        <f t="shared" si="129"/>
        <v>11</v>
      </c>
      <c r="ACW20" t="s">
        <v>4015</v>
      </c>
      <c r="ACX20" t="s">
        <v>4315</v>
      </c>
      <c r="ACY20">
        <v>4.2561564445495614</v>
      </c>
      <c r="ACZ20">
        <v>479</v>
      </c>
      <c r="ADA20" s="2"/>
      <c r="ADF20">
        <v>459</v>
      </c>
      <c r="ADL20">
        <v>442</v>
      </c>
      <c r="ADR20">
        <v>367</v>
      </c>
      <c r="ADX20">
        <v>494</v>
      </c>
      <c r="AED20">
        <v>461</v>
      </c>
      <c r="AEJ20">
        <v>439</v>
      </c>
      <c r="AEP20">
        <v>431</v>
      </c>
      <c r="AEV20">
        <v>397</v>
      </c>
      <c r="AFB20">
        <v>456</v>
      </c>
      <c r="AFH20">
        <v>400</v>
      </c>
      <c r="AFJ20">
        <f t="shared" si="140"/>
        <v>0</v>
      </c>
      <c r="AFL20" t="s">
        <v>3641</v>
      </c>
      <c r="AFM20">
        <v>3.1326949596405029</v>
      </c>
      <c r="AFN20">
        <v>513</v>
      </c>
      <c r="AFO20" s="5"/>
      <c r="AFP20">
        <f t="shared" si="141"/>
        <v>7</v>
      </c>
      <c r="AFQ20" t="s">
        <v>2707</v>
      </c>
      <c r="AFR20" t="s">
        <v>987</v>
      </c>
      <c r="AFS20">
        <v>3.492801427841187</v>
      </c>
      <c r="AFT20">
        <v>438</v>
      </c>
      <c r="AFU20" s="2"/>
      <c r="AFZ20">
        <v>440</v>
      </c>
      <c r="AGF20">
        <v>394</v>
      </c>
      <c r="AGL20">
        <v>559</v>
      </c>
      <c r="AGR20">
        <v>425</v>
      </c>
      <c r="AGX20">
        <v>419</v>
      </c>
      <c r="AHD20">
        <v>516</v>
      </c>
      <c r="AHJ20">
        <v>446</v>
      </c>
      <c r="AHP20">
        <v>399</v>
      </c>
      <c r="AHR20">
        <f t="shared" si="150"/>
        <v>14</v>
      </c>
      <c r="AHS20" t="s">
        <v>3793</v>
      </c>
      <c r="AHT20" t="s">
        <v>4316</v>
      </c>
      <c r="AHU20">
        <v>4.5728652477264404</v>
      </c>
      <c r="AHV20">
        <v>537</v>
      </c>
      <c r="AHW20" s="5"/>
      <c r="AHX20">
        <f t="shared" si="151"/>
        <v>0</v>
      </c>
      <c r="AHZ20" t="s">
        <v>3641</v>
      </c>
      <c r="AIA20">
        <v>2.729645729064941</v>
      </c>
      <c r="AIB20">
        <v>348</v>
      </c>
      <c r="AIC20" s="2"/>
      <c r="AIH20">
        <v>428</v>
      </c>
      <c r="AIN20">
        <v>407</v>
      </c>
      <c r="AIT20">
        <v>378</v>
      </c>
      <c r="AIZ20">
        <v>442</v>
      </c>
      <c r="AJF20">
        <v>576</v>
      </c>
      <c r="AJL20">
        <v>406</v>
      </c>
      <c r="AJR20">
        <v>468</v>
      </c>
      <c r="AJX20">
        <v>453</v>
      </c>
      <c r="AJZ20">
        <f t="shared" si="160"/>
        <v>8</v>
      </c>
      <c r="AKA20" t="s">
        <v>1320</v>
      </c>
      <c r="AKB20" t="s">
        <v>4317</v>
      </c>
      <c r="AKC20">
        <v>4.5046899318695068</v>
      </c>
      <c r="AKD20">
        <v>430</v>
      </c>
      <c r="AKE20" s="5"/>
      <c r="AKF20">
        <f t="shared" si="161"/>
        <v>6</v>
      </c>
      <c r="AKG20" t="s">
        <v>2821</v>
      </c>
      <c r="AKH20" t="s">
        <v>3445</v>
      </c>
      <c r="AKI20">
        <v>3.3007645606994629</v>
      </c>
      <c r="AKJ20">
        <v>469</v>
      </c>
      <c r="AKK20" s="2"/>
      <c r="AKN20" t="s">
        <v>4318</v>
      </c>
      <c r="AKP20">
        <v>394</v>
      </c>
      <c r="AKV20">
        <v>496</v>
      </c>
      <c r="ALB20">
        <v>519</v>
      </c>
      <c r="ALH20">
        <v>515</v>
      </c>
      <c r="ALN20">
        <v>510</v>
      </c>
      <c r="ALT20">
        <v>400</v>
      </c>
      <c r="ALV20">
        <f t="shared" si="168"/>
        <v>2</v>
      </c>
      <c r="ALW20" t="s">
        <v>3346</v>
      </c>
      <c r="ALX20" t="s">
        <v>4319</v>
      </c>
      <c r="ALY20">
        <v>3.318928718566895</v>
      </c>
      <c r="ALZ20">
        <v>524</v>
      </c>
      <c r="AMA20" s="5"/>
      <c r="AMB20">
        <f t="shared" si="169"/>
        <v>0</v>
      </c>
      <c r="AMD20" t="s">
        <v>3641</v>
      </c>
      <c r="AME20">
        <v>2.9811663627624512</v>
      </c>
      <c r="AMF20">
        <v>414</v>
      </c>
      <c r="AMG20" s="2"/>
      <c r="AML20">
        <v>425</v>
      </c>
      <c r="AMR20">
        <v>444</v>
      </c>
    </row>
    <row r="21" spans="1:1033" x14ac:dyDescent="0.25">
      <c r="A21">
        <v>19</v>
      </c>
      <c r="F21" s="6">
        <f>F20</f>
        <v>487</v>
      </c>
      <c r="L21" s="6">
        <f>L20</f>
        <v>416</v>
      </c>
      <c r="R21" s="6">
        <f t="shared" si="172"/>
        <v>377</v>
      </c>
      <c r="X21">
        <v>412</v>
      </c>
      <c r="AD21">
        <v>533</v>
      </c>
      <c r="AJ21">
        <v>398</v>
      </c>
      <c r="AP21">
        <v>442</v>
      </c>
      <c r="AV21">
        <v>421</v>
      </c>
      <c r="BB21">
        <v>418</v>
      </c>
      <c r="BH21">
        <v>524</v>
      </c>
      <c r="BL21" t="s">
        <v>3641</v>
      </c>
      <c r="BN21">
        <v>503</v>
      </c>
      <c r="BT21">
        <v>404</v>
      </c>
      <c r="BZ21">
        <v>529</v>
      </c>
      <c r="CF21">
        <v>404</v>
      </c>
      <c r="CL21">
        <v>437</v>
      </c>
      <c r="CR21">
        <v>454</v>
      </c>
      <c r="CX21">
        <v>496</v>
      </c>
      <c r="DD21">
        <v>356</v>
      </c>
      <c r="DF21">
        <f t="shared" si="18"/>
        <v>23</v>
      </c>
      <c r="DG21" t="s">
        <v>1672</v>
      </c>
      <c r="DH21" t="s">
        <v>1672</v>
      </c>
      <c r="DI21">
        <v>3.6264901161193852</v>
      </c>
      <c r="DJ21">
        <v>407</v>
      </c>
      <c r="DK21" s="3"/>
      <c r="DN21" t="s">
        <v>4320</v>
      </c>
      <c r="DP21">
        <v>407</v>
      </c>
      <c r="DT21" t="s">
        <v>3</v>
      </c>
      <c r="DV21">
        <v>538</v>
      </c>
      <c r="EB21">
        <v>360</v>
      </c>
      <c r="EH21">
        <v>323</v>
      </c>
      <c r="EN21">
        <v>490</v>
      </c>
      <c r="ER21" t="s">
        <v>3585</v>
      </c>
      <c r="ET21">
        <v>396</v>
      </c>
      <c r="EZ21">
        <v>309</v>
      </c>
      <c r="FF21">
        <v>464</v>
      </c>
      <c r="FL21">
        <v>449</v>
      </c>
      <c r="FR21">
        <v>458</v>
      </c>
      <c r="FX21">
        <v>502</v>
      </c>
      <c r="GD21">
        <v>421</v>
      </c>
      <c r="GJ21">
        <v>408</v>
      </c>
      <c r="GP21">
        <v>455</v>
      </c>
      <c r="GV21">
        <v>510</v>
      </c>
      <c r="HB21">
        <v>517</v>
      </c>
      <c r="HH21">
        <v>349</v>
      </c>
      <c r="HN21">
        <v>430</v>
      </c>
      <c r="HT21">
        <v>358</v>
      </c>
      <c r="HZ21">
        <v>431</v>
      </c>
      <c r="IF21">
        <v>467</v>
      </c>
      <c r="IL21">
        <v>555</v>
      </c>
      <c r="IR21">
        <v>380</v>
      </c>
      <c r="IX21">
        <v>376</v>
      </c>
      <c r="JD21">
        <v>432</v>
      </c>
      <c r="JF21">
        <f t="shared" si="44"/>
        <v>10</v>
      </c>
      <c r="JG21" t="s">
        <v>4321</v>
      </c>
      <c r="JH21" t="s">
        <v>4322</v>
      </c>
      <c r="JI21">
        <v>4.4986584186553964</v>
      </c>
      <c r="JJ21">
        <v>370</v>
      </c>
      <c r="JK21" s="3"/>
      <c r="JL21">
        <f t="shared" si="45"/>
        <v>22</v>
      </c>
      <c r="JM21" t="s">
        <v>4323</v>
      </c>
      <c r="JN21" t="s">
        <v>4324</v>
      </c>
      <c r="JO21">
        <v>9.9457323551177979</v>
      </c>
      <c r="JP21">
        <v>343</v>
      </c>
      <c r="JQ21" s="2"/>
      <c r="JR21">
        <f t="shared" si="46"/>
        <v>17</v>
      </c>
      <c r="JS21" t="s">
        <v>3</v>
      </c>
      <c r="JT21" t="s">
        <v>3</v>
      </c>
      <c r="JU21">
        <v>3.0740334987640381</v>
      </c>
      <c r="JV21">
        <v>407</v>
      </c>
      <c r="JW21" s="3"/>
      <c r="JZ21" t="s">
        <v>4325</v>
      </c>
      <c r="KB21">
        <v>413</v>
      </c>
      <c r="KF21" t="s">
        <v>1136</v>
      </c>
      <c r="KH21">
        <v>340</v>
      </c>
      <c r="KN21">
        <v>564</v>
      </c>
      <c r="KT21">
        <v>521</v>
      </c>
      <c r="KZ21">
        <v>379</v>
      </c>
      <c r="LF21">
        <v>412</v>
      </c>
      <c r="LL21">
        <v>516</v>
      </c>
      <c r="LR21">
        <v>485</v>
      </c>
      <c r="LX21">
        <v>439</v>
      </c>
      <c r="MD21">
        <v>437</v>
      </c>
      <c r="MJ21">
        <v>473</v>
      </c>
      <c r="MP21">
        <v>375</v>
      </c>
      <c r="MV21">
        <v>477</v>
      </c>
      <c r="NB21">
        <v>445</v>
      </c>
      <c r="NH21">
        <v>516</v>
      </c>
      <c r="NJ21">
        <f t="shared" si="62"/>
        <v>0</v>
      </c>
      <c r="NL21" t="s">
        <v>4326</v>
      </c>
      <c r="NM21">
        <v>3.0866131782531738</v>
      </c>
      <c r="NN21">
        <v>406</v>
      </c>
      <c r="NO21" s="3"/>
      <c r="NP21">
        <f t="shared" si="63"/>
        <v>5</v>
      </c>
      <c r="NQ21" t="s">
        <v>3</v>
      </c>
      <c r="NR21" t="s">
        <v>4327</v>
      </c>
      <c r="NS21">
        <v>2.6966919898986821</v>
      </c>
      <c r="NT21">
        <v>442</v>
      </c>
      <c r="NU21" s="2"/>
      <c r="NZ21">
        <v>348</v>
      </c>
      <c r="OF21">
        <v>472</v>
      </c>
      <c r="OL21">
        <v>378</v>
      </c>
      <c r="OR21">
        <v>515</v>
      </c>
      <c r="OX21">
        <v>415</v>
      </c>
      <c r="PD21">
        <v>509</v>
      </c>
      <c r="PJ21">
        <v>395</v>
      </c>
      <c r="PP21">
        <v>489</v>
      </c>
      <c r="PV21">
        <v>374</v>
      </c>
      <c r="QB21">
        <v>462</v>
      </c>
      <c r="QH21">
        <v>371</v>
      </c>
      <c r="QN21">
        <v>441</v>
      </c>
      <c r="QP21">
        <f t="shared" si="76"/>
        <v>3</v>
      </c>
      <c r="QQ21" t="s">
        <v>3</v>
      </c>
      <c r="QR21" t="s">
        <v>4082</v>
      </c>
      <c r="QS21">
        <v>3.3423254489898682</v>
      </c>
      <c r="QT21">
        <v>373</v>
      </c>
      <c r="QU21" s="3"/>
      <c r="QV21">
        <f t="shared" si="77"/>
        <v>0</v>
      </c>
      <c r="QX21" t="s">
        <v>4328</v>
      </c>
      <c r="QY21">
        <v>2.9691333770751949</v>
      </c>
      <c r="QZ21">
        <v>372</v>
      </c>
      <c r="RA21" s="2"/>
      <c r="RF21">
        <v>445</v>
      </c>
      <c r="RL21">
        <v>426</v>
      </c>
      <c r="RN21">
        <f t="shared" si="80"/>
        <v>0</v>
      </c>
      <c r="RP21" t="s">
        <v>3</v>
      </c>
      <c r="RQ21">
        <v>3.0141181945800781</v>
      </c>
      <c r="RR21">
        <v>382</v>
      </c>
      <c r="RS21" s="3"/>
      <c r="RT21">
        <f t="shared" si="81"/>
        <v>0</v>
      </c>
      <c r="RV21" t="s">
        <v>4014</v>
      </c>
      <c r="RW21">
        <v>3.0869519710540771</v>
      </c>
      <c r="RX21">
        <v>476</v>
      </c>
      <c r="RY21" s="2"/>
      <c r="RZ21">
        <f t="shared" si="82"/>
        <v>14</v>
      </c>
      <c r="SA21" t="s">
        <v>2993</v>
      </c>
      <c r="SB21" t="s">
        <v>3361</v>
      </c>
      <c r="SC21">
        <v>3.033082008361816</v>
      </c>
      <c r="SD21">
        <v>350</v>
      </c>
      <c r="SE21" s="3"/>
      <c r="SH21" t="s">
        <v>3641</v>
      </c>
      <c r="SJ21">
        <v>450</v>
      </c>
      <c r="SP21">
        <v>350</v>
      </c>
      <c r="SV21">
        <v>457</v>
      </c>
      <c r="TB21">
        <v>477</v>
      </c>
      <c r="TH21">
        <v>349</v>
      </c>
      <c r="TN21">
        <v>489</v>
      </c>
      <c r="TT21">
        <v>391</v>
      </c>
      <c r="TZ21">
        <v>374</v>
      </c>
      <c r="UF21">
        <v>500</v>
      </c>
      <c r="UL21">
        <v>448</v>
      </c>
      <c r="UR21">
        <v>466</v>
      </c>
      <c r="UX21">
        <v>461</v>
      </c>
      <c r="VD21">
        <v>503</v>
      </c>
      <c r="VJ21">
        <v>370</v>
      </c>
      <c r="VP21">
        <v>466</v>
      </c>
      <c r="VV21">
        <v>442</v>
      </c>
      <c r="WB21">
        <v>448</v>
      </c>
      <c r="WH21">
        <v>430</v>
      </c>
      <c r="WN21">
        <v>455</v>
      </c>
      <c r="WT21">
        <v>525</v>
      </c>
      <c r="WZ21">
        <v>386</v>
      </c>
      <c r="XF21">
        <v>475</v>
      </c>
      <c r="XL21">
        <v>445</v>
      </c>
      <c r="XR21">
        <v>368</v>
      </c>
      <c r="XX21">
        <v>646</v>
      </c>
      <c r="YB21" t="s">
        <v>4329</v>
      </c>
      <c r="YD21">
        <v>473</v>
      </c>
      <c r="YJ21">
        <v>413</v>
      </c>
      <c r="YP21">
        <v>408</v>
      </c>
      <c r="YV21">
        <v>505</v>
      </c>
      <c r="ZB21">
        <v>522</v>
      </c>
      <c r="ZH21">
        <v>358</v>
      </c>
      <c r="ZN21">
        <v>476</v>
      </c>
      <c r="ZT21">
        <v>396</v>
      </c>
      <c r="ZZ21">
        <v>512</v>
      </c>
      <c r="AAF21">
        <v>502</v>
      </c>
      <c r="AAL21">
        <v>429</v>
      </c>
      <c r="AAR21">
        <v>420</v>
      </c>
      <c r="AAT21">
        <f t="shared" si="120"/>
        <v>0</v>
      </c>
      <c r="AAV21" t="s">
        <v>3641</v>
      </c>
      <c r="AAW21">
        <v>2.9136333465576172</v>
      </c>
      <c r="AAX21">
        <v>534</v>
      </c>
      <c r="AAY21" s="5"/>
      <c r="AAZ21">
        <f t="shared" si="121"/>
        <v>0</v>
      </c>
      <c r="ABB21" t="s">
        <v>3331</v>
      </c>
      <c r="ABC21">
        <v>3.1103310585021968</v>
      </c>
      <c r="ABD21">
        <v>304</v>
      </c>
      <c r="ABE21" s="2"/>
      <c r="ABJ21">
        <v>562</v>
      </c>
      <c r="ABP21">
        <v>370</v>
      </c>
      <c r="ABV21">
        <v>414</v>
      </c>
      <c r="ACB21">
        <v>436</v>
      </c>
      <c r="ACD21">
        <f t="shared" si="126"/>
        <v>0</v>
      </c>
      <c r="ACF21" t="s">
        <v>3641</v>
      </c>
      <c r="ACG21">
        <v>2.8547971248626709</v>
      </c>
      <c r="ACH21">
        <v>409</v>
      </c>
      <c r="ACI21" s="5"/>
      <c r="ACJ21">
        <f t="shared" si="127"/>
        <v>6</v>
      </c>
      <c r="ACK21" t="s">
        <v>3093</v>
      </c>
      <c r="ACL21" t="s">
        <v>3946</v>
      </c>
      <c r="ACM21">
        <v>3.4060969352722168</v>
      </c>
      <c r="ACN21">
        <v>509</v>
      </c>
      <c r="ACO21" s="2"/>
      <c r="ACP21">
        <f t="shared" si="128"/>
        <v>7</v>
      </c>
      <c r="ACQ21" t="s">
        <v>3</v>
      </c>
      <c r="ACR21" t="s">
        <v>3372</v>
      </c>
      <c r="ACS21">
        <v>3.4144668579101558</v>
      </c>
      <c r="ACT21">
        <v>405</v>
      </c>
      <c r="ACU21" s="5"/>
      <c r="ACV21">
        <f t="shared" si="129"/>
        <v>6</v>
      </c>
      <c r="ACW21" t="s">
        <v>3373</v>
      </c>
      <c r="ACX21" t="s">
        <v>3373</v>
      </c>
      <c r="ACY21">
        <v>3.2363195419311519</v>
      </c>
      <c r="ACZ21">
        <v>485</v>
      </c>
      <c r="ADA21" s="2"/>
      <c r="ADF21">
        <v>459</v>
      </c>
      <c r="ADL21">
        <v>442</v>
      </c>
      <c r="ADR21">
        <v>367</v>
      </c>
      <c r="ADX21">
        <v>494</v>
      </c>
      <c r="AED21">
        <v>461</v>
      </c>
      <c r="AEJ21">
        <v>439</v>
      </c>
      <c r="AEP21">
        <v>431</v>
      </c>
      <c r="AEV21">
        <v>397</v>
      </c>
      <c r="AFB21">
        <v>456</v>
      </c>
      <c r="AFH21">
        <v>400</v>
      </c>
      <c r="AFL21" t="s">
        <v>3641</v>
      </c>
      <c r="AFN21">
        <v>503</v>
      </c>
      <c r="AFT21">
        <v>448</v>
      </c>
      <c r="AFZ21">
        <v>440</v>
      </c>
      <c r="AGF21">
        <v>394</v>
      </c>
      <c r="AGL21">
        <v>559</v>
      </c>
      <c r="AGR21">
        <v>425</v>
      </c>
      <c r="AGX21">
        <v>419</v>
      </c>
      <c r="AHD21">
        <v>516</v>
      </c>
      <c r="AHJ21">
        <v>446</v>
      </c>
      <c r="AHP21">
        <v>399</v>
      </c>
      <c r="AHR21">
        <f t="shared" si="150"/>
        <v>10</v>
      </c>
      <c r="AHS21" t="s">
        <v>3311</v>
      </c>
      <c r="AHT21" t="s">
        <v>4330</v>
      </c>
      <c r="AHU21">
        <v>3.8118598461151119</v>
      </c>
      <c r="AHV21">
        <v>547</v>
      </c>
      <c r="AHW21" s="5"/>
      <c r="AHX21">
        <f t="shared" si="151"/>
        <v>0</v>
      </c>
      <c r="AHZ21" t="s">
        <v>3641</v>
      </c>
      <c r="AIA21">
        <v>2.9117999076843262</v>
      </c>
      <c r="AIB21">
        <v>348</v>
      </c>
      <c r="AIC21" s="2"/>
      <c r="AIH21">
        <v>428</v>
      </c>
      <c r="AIN21">
        <v>407</v>
      </c>
      <c r="AIT21">
        <v>378</v>
      </c>
      <c r="AIZ21">
        <v>442</v>
      </c>
      <c r="AJF21">
        <v>576</v>
      </c>
      <c r="AJL21">
        <v>406</v>
      </c>
      <c r="AJR21">
        <v>468</v>
      </c>
      <c r="AJX21">
        <v>453</v>
      </c>
      <c r="AKB21" t="s">
        <v>4331</v>
      </c>
      <c r="AKD21">
        <v>423</v>
      </c>
      <c r="AKJ21">
        <v>476</v>
      </c>
      <c r="AKP21">
        <v>394</v>
      </c>
      <c r="AKV21">
        <v>496</v>
      </c>
      <c r="ALB21">
        <v>519</v>
      </c>
      <c r="ALH21">
        <v>515</v>
      </c>
      <c r="ALN21">
        <v>510</v>
      </c>
      <c r="ALT21">
        <v>400</v>
      </c>
      <c r="ALV21">
        <f t="shared" si="168"/>
        <v>0</v>
      </c>
      <c r="ALX21" t="s">
        <v>657</v>
      </c>
      <c r="ALY21">
        <v>3.0620825290679932</v>
      </c>
      <c r="ALZ21">
        <v>524</v>
      </c>
      <c r="AMA21" s="5"/>
      <c r="AMB21">
        <f t="shared" si="169"/>
        <v>0</v>
      </c>
      <c r="AMD21" t="s">
        <v>3641</v>
      </c>
      <c r="AME21">
        <v>2.8786628246307369</v>
      </c>
      <c r="AMF21">
        <v>414</v>
      </c>
      <c r="AMG21" s="2"/>
      <c r="AML21">
        <v>425</v>
      </c>
      <c r="AMR21">
        <v>444</v>
      </c>
    </row>
    <row r="22" spans="1:1033" x14ac:dyDescent="0.25">
      <c r="A22">
        <v>20</v>
      </c>
      <c r="F22" s="6">
        <f t="shared" ref="F22:F26" si="173">F21</f>
        <v>487</v>
      </c>
      <c r="L22" s="6">
        <f t="shared" ref="L22:L26" si="174">L21</f>
        <v>416</v>
      </c>
      <c r="R22" s="6">
        <f t="shared" si="172"/>
        <v>377</v>
      </c>
      <c r="X22">
        <v>412</v>
      </c>
      <c r="AD22">
        <v>533</v>
      </c>
      <c r="AJ22">
        <v>398</v>
      </c>
      <c r="AP22">
        <v>442</v>
      </c>
      <c r="AV22">
        <v>421</v>
      </c>
      <c r="BB22">
        <v>418</v>
      </c>
      <c r="BH22">
        <v>524</v>
      </c>
      <c r="BN22">
        <v>503</v>
      </c>
      <c r="BT22">
        <v>404</v>
      </c>
      <c r="BZ22">
        <v>529</v>
      </c>
      <c r="CF22">
        <v>404</v>
      </c>
      <c r="CL22">
        <v>437</v>
      </c>
      <c r="CR22">
        <v>454</v>
      </c>
      <c r="CX22">
        <v>496</v>
      </c>
      <c r="DD22">
        <v>356</v>
      </c>
      <c r="DJ22">
        <v>407</v>
      </c>
      <c r="DP22">
        <v>407</v>
      </c>
      <c r="DV22">
        <v>538</v>
      </c>
      <c r="EB22">
        <v>360</v>
      </c>
      <c r="EH22">
        <v>323</v>
      </c>
      <c r="EN22">
        <v>490</v>
      </c>
      <c r="ET22">
        <v>396</v>
      </c>
      <c r="EZ22">
        <v>309</v>
      </c>
      <c r="FF22">
        <v>464</v>
      </c>
      <c r="FL22">
        <v>449</v>
      </c>
      <c r="FR22">
        <v>458</v>
      </c>
      <c r="FX22">
        <v>502</v>
      </c>
      <c r="GD22">
        <v>421</v>
      </c>
      <c r="GJ22">
        <v>408</v>
      </c>
      <c r="GP22">
        <v>455</v>
      </c>
      <c r="GV22">
        <v>510</v>
      </c>
      <c r="HB22">
        <v>517</v>
      </c>
      <c r="HH22">
        <v>349</v>
      </c>
      <c r="HN22">
        <v>430</v>
      </c>
      <c r="HT22">
        <v>358</v>
      </c>
      <c r="HZ22">
        <v>431</v>
      </c>
      <c r="IF22">
        <v>467</v>
      </c>
      <c r="IL22">
        <v>555</v>
      </c>
      <c r="IR22">
        <v>380</v>
      </c>
      <c r="IX22">
        <v>376</v>
      </c>
      <c r="JD22">
        <v>432</v>
      </c>
      <c r="JF22">
        <f t="shared" si="44"/>
        <v>10</v>
      </c>
      <c r="JG22" t="s">
        <v>800</v>
      </c>
      <c r="JH22" t="s">
        <v>4332</v>
      </c>
      <c r="JI22">
        <v>3.626778364181519</v>
      </c>
      <c r="JJ22">
        <v>380</v>
      </c>
      <c r="JK22" s="3"/>
      <c r="JL22">
        <f t="shared" si="45"/>
        <v>18</v>
      </c>
      <c r="JM22" t="s">
        <v>3311</v>
      </c>
      <c r="JN22" t="s">
        <v>4333</v>
      </c>
      <c r="JO22">
        <v>4.0206978321075439</v>
      </c>
      <c r="JP22">
        <v>361</v>
      </c>
      <c r="JQ22" s="2"/>
      <c r="JV22">
        <v>407</v>
      </c>
      <c r="KB22">
        <v>413</v>
      </c>
      <c r="KH22">
        <v>340</v>
      </c>
      <c r="KN22">
        <v>564</v>
      </c>
      <c r="KT22">
        <v>521</v>
      </c>
      <c r="KZ22">
        <v>379</v>
      </c>
      <c r="LF22">
        <v>412</v>
      </c>
      <c r="LL22">
        <v>516</v>
      </c>
      <c r="LR22">
        <v>485</v>
      </c>
      <c r="LX22">
        <v>439</v>
      </c>
      <c r="MD22">
        <v>437</v>
      </c>
      <c r="MJ22">
        <v>473</v>
      </c>
      <c r="MP22">
        <v>375</v>
      </c>
      <c r="MV22">
        <v>477</v>
      </c>
      <c r="NB22">
        <v>445</v>
      </c>
      <c r="NH22">
        <v>516</v>
      </c>
      <c r="NJ22">
        <f t="shared" si="62"/>
        <v>0</v>
      </c>
      <c r="NL22" t="s">
        <v>4326</v>
      </c>
      <c r="NM22">
        <v>2.5574383735656738</v>
      </c>
      <c r="NN22">
        <v>406</v>
      </c>
      <c r="NO22" s="3"/>
      <c r="NP22">
        <f t="shared" si="63"/>
        <v>0</v>
      </c>
      <c r="NR22" t="s">
        <v>3762</v>
      </c>
      <c r="NS22">
        <v>3.318257093429565</v>
      </c>
      <c r="NT22">
        <v>442</v>
      </c>
      <c r="NU22" s="2"/>
      <c r="NZ22">
        <v>348</v>
      </c>
      <c r="OF22">
        <v>472</v>
      </c>
      <c r="OL22">
        <v>378</v>
      </c>
      <c r="OR22">
        <v>515</v>
      </c>
      <c r="OX22">
        <v>415</v>
      </c>
      <c r="PD22">
        <v>509</v>
      </c>
      <c r="PJ22">
        <v>395</v>
      </c>
      <c r="PP22">
        <v>489</v>
      </c>
      <c r="PV22">
        <v>374</v>
      </c>
      <c r="QB22">
        <v>462</v>
      </c>
      <c r="QH22">
        <v>371</v>
      </c>
      <c r="QN22">
        <v>441</v>
      </c>
      <c r="QP22">
        <f t="shared" si="76"/>
        <v>0</v>
      </c>
      <c r="QR22" t="s">
        <v>3445</v>
      </c>
      <c r="QS22">
        <v>2.4655799865722661</v>
      </c>
      <c r="QT22">
        <v>373</v>
      </c>
      <c r="QU22" s="3"/>
      <c r="QV22">
        <f t="shared" si="77"/>
        <v>0</v>
      </c>
      <c r="QX22" t="s">
        <v>4328</v>
      </c>
      <c r="QY22">
        <v>2.8219296932220459</v>
      </c>
      <c r="QZ22">
        <v>372</v>
      </c>
      <c r="RA22" s="2"/>
      <c r="RF22">
        <v>445</v>
      </c>
      <c r="RL22">
        <v>426</v>
      </c>
      <c r="RP22" t="s">
        <v>3</v>
      </c>
      <c r="RR22">
        <v>381</v>
      </c>
      <c r="RV22" t="s">
        <v>4014</v>
      </c>
      <c r="RX22">
        <v>462</v>
      </c>
      <c r="SD22">
        <v>350</v>
      </c>
      <c r="SJ22">
        <v>450</v>
      </c>
      <c r="SP22">
        <v>350</v>
      </c>
      <c r="SV22">
        <v>457</v>
      </c>
      <c r="TB22">
        <v>477</v>
      </c>
      <c r="TH22">
        <v>349</v>
      </c>
      <c r="TN22">
        <v>489</v>
      </c>
      <c r="TT22">
        <v>391</v>
      </c>
      <c r="TZ22">
        <v>374</v>
      </c>
      <c r="UF22">
        <v>500</v>
      </c>
      <c r="UL22">
        <v>448</v>
      </c>
      <c r="UR22">
        <v>466</v>
      </c>
      <c r="UX22">
        <v>461</v>
      </c>
      <c r="VD22">
        <v>503</v>
      </c>
      <c r="VJ22">
        <v>370</v>
      </c>
      <c r="VP22">
        <v>466</v>
      </c>
      <c r="VV22">
        <v>442</v>
      </c>
      <c r="WB22">
        <v>448</v>
      </c>
      <c r="WH22">
        <v>430</v>
      </c>
      <c r="WN22">
        <v>455</v>
      </c>
      <c r="WT22">
        <v>525</v>
      </c>
      <c r="WZ22">
        <v>386</v>
      </c>
      <c r="XF22">
        <v>475</v>
      </c>
      <c r="XL22">
        <v>445</v>
      </c>
      <c r="XR22">
        <v>368</v>
      </c>
      <c r="XX22">
        <v>646</v>
      </c>
      <c r="YD22">
        <v>473</v>
      </c>
      <c r="YJ22">
        <v>413</v>
      </c>
      <c r="YP22">
        <v>408</v>
      </c>
      <c r="YV22">
        <v>505</v>
      </c>
      <c r="ZB22">
        <v>522</v>
      </c>
      <c r="ZH22">
        <v>358</v>
      </c>
      <c r="ZN22">
        <v>476</v>
      </c>
      <c r="ZT22">
        <v>396</v>
      </c>
      <c r="ZZ22">
        <v>512</v>
      </c>
      <c r="AAF22">
        <v>502</v>
      </c>
      <c r="AAL22">
        <v>429</v>
      </c>
      <c r="AAR22">
        <v>420</v>
      </c>
      <c r="AAT22">
        <f t="shared" si="120"/>
        <v>-10</v>
      </c>
      <c r="AAV22" t="s">
        <v>3641</v>
      </c>
      <c r="AAW22">
        <v>2.9860785007476811</v>
      </c>
      <c r="AAX22">
        <v>524</v>
      </c>
      <c r="AAY22" s="5"/>
      <c r="ABB22" t="s">
        <v>3331</v>
      </c>
      <c r="ABD22">
        <v>300</v>
      </c>
      <c r="ABJ22">
        <v>562</v>
      </c>
      <c r="ABP22">
        <v>370</v>
      </c>
      <c r="ABV22">
        <v>414</v>
      </c>
      <c r="ACB22">
        <v>436</v>
      </c>
      <c r="ACD22">
        <f t="shared" si="126"/>
        <v>0</v>
      </c>
      <c r="ACF22" t="s">
        <v>3641</v>
      </c>
      <c r="ACG22">
        <v>3.0274219512939449</v>
      </c>
      <c r="ACH22">
        <v>409</v>
      </c>
      <c r="ACI22" s="5"/>
      <c r="ACJ22">
        <f t="shared" si="127"/>
        <v>0</v>
      </c>
      <c r="ACL22" t="s">
        <v>3445</v>
      </c>
      <c r="ACM22">
        <v>3.0530304908752441</v>
      </c>
      <c r="ACN22">
        <v>509</v>
      </c>
      <c r="ACO22" s="2"/>
      <c r="ACR22" t="s">
        <v>3641</v>
      </c>
      <c r="ACT22">
        <v>395</v>
      </c>
      <c r="ACZ22">
        <v>495</v>
      </c>
      <c r="ADF22">
        <v>459</v>
      </c>
      <c r="ADL22">
        <v>442</v>
      </c>
      <c r="ADR22">
        <v>367</v>
      </c>
      <c r="ADX22">
        <v>494</v>
      </c>
      <c r="AED22">
        <v>461</v>
      </c>
      <c r="AEJ22">
        <v>439</v>
      </c>
      <c r="AEP22">
        <v>431</v>
      </c>
      <c r="AEV22">
        <v>397</v>
      </c>
      <c r="AFB22">
        <v>456</v>
      </c>
      <c r="AFH22">
        <v>400</v>
      </c>
      <c r="AFN22">
        <v>503</v>
      </c>
      <c r="AFT22">
        <v>448</v>
      </c>
      <c r="AFZ22">
        <v>440</v>
      </c>
      <c r="AGF22">
        <v>394</v>
      </c>
      <c r="AGL22">
        <v>559</v>
      </c>
      <c r="AGR22">
        <v>425</v>
      </c>
      <c r="AGX22">
        <v>419</v>
      </c>
      <c r="AHD22">
        <v>516</v>
      </c>
      <c r="AHJ22">
        <v>446</v>
      </c>
      <c r="AHP22">
        <v>399</v>
      </c>
      <c r="AHR22">
        <f t="shared" si="150"/>
        <v>7</v>
      </c>
      <c r="AHS22" t="s">
        <v>3</v>
      </c>
      <c r="AHT22" t="s">
        <v>3892</v>
      </c>
      <c r="AHU22">
        <v>3.024741411209106</v>
      </c>
      <c r="AHV22">
        <v>554</v>
      </c>
      <c r="AHW22" s="5"/>
      <c r="AHX22">
        <f t="shared" si="151"/>
        <v>0</v>
      </c>
      <c r="AHZ22" t="s">
        <v>3641</v>
      </c>
      <c r="AIA22">
        <v>2.7899224758148189</v>
      </c>
      <c r="AIB22">
        <v>348</v>
      </c>
      <c r="AIC22" s="2"/>
      <c r="AIH22">
        <v>428</v>
      </c>
      <c r="AIN22">
        <v>407</v>
      </c>
      <c r="AIT22">
        <v>378</v>
      </c>
      <c r="AIZ22">
        <v>442</v>
      </c>
      <c r="AJF22">
        <v>576</v>
      </c>
      <c r="AJL22">
        <v>406</v>
      </c>
      <c r="AJR22">
        <v>468</v>
      </c>
      <c r="AJX22">
        <v>453</v>
      </c>
      <c r="AKD22">
        <v>423</v>
      </c>
      <c r="AKJ22">
        <v>476</v>
      </c>
      <c r="AKP22">
        <v>394</v>
      </c>
      <c r="AKV22">
        <v>496</v>
      </c>
      <c r="ALB22">
        <v>519</v>
      </c>
      <c r="ALH22">
        <v>515</v>
      </c>
      <c r="ALN22">
        <v>510</v>
      </c>
      <c r="ALT22">
        <v>400</v>
      </c>
      <c r="ALX22" t="s">
        <v>657</v>
      </c>
      <c r="ALZ22">
        <v>519</v>
      </c>
      <c r="AMD22" t="s">
        <v>3641</v>
      </c>
      <c r="AMF22">
        <v>404</v>
      </c>
      <c r="AML22">
        <v>425</v>
      </c>
      <c r="AMR22">
        <v>444</v>
      </c>
    </row>
    <row r="23" spans="1:1033" x14ac:dyDescent="0.25">
      <c r="A23">
        <v>21</v>
      </c>
      <c r="F23" s="6">
        <f t="shared" si="173"/>
        <v>487</v>
      </c>
      <c r="L23" s="6">
        <f t="shared" si="174"/>
        <v>416</v>
      </c>
      <c r="R23" s="6">
        <f t="shared" si="172"/>
        <v>377</v>
      </c>
      <c r="X23">
        <v>412</v>
      </c>
      <c r="AD23">
        <v>533</v>
      </c>
      <c r="AJ23">
        <v>398</v>
      </c>
      <c r="AP23">
        <v>442</v>
      </c>
      <c r="AV23">
        <v>421</v>
      </c>
      <c r="BB23">
        <v>418</v>
      </c>
      <c r="BH23">
        <v>524</v>
      </c>
      <c r="BN23">
        <v>503</v>
      </c>
      <c r="BT23">
        <v>404</v>
      </c>
      <c r="BZ23">
        <v>529</v>
      </c>
      <c r="CF23">
        <v>404</v>
      </c>
      <c r="CL23">
        <v>437</v>
      </c>
      <c r="CR23">
        <v>454</v>
      </c>
      <c r="CX23">
        <v>496</v>
      </c>
      <c r="DD23">
        <v>356</v>
      </c>
      <c r="DJ23">
        <v>407</v>
      </c>
      <c r="DP23">
        <v>407</v>
      </c>
      <c r="DV23">
        <v>538</v>
      </c>
      <c r="EB23">
        <v>360</v>
      </c>
      <c r="EH23">
        <v>323</v>
      </c>
      <c r="EN23">
        <v>490</v>
      </c>
      <c r="ET23">
        <v>396</v>
      </c>
      <c r="EZ23">
        <v>309</v>
      </c>
      <c r="FF23">
        <v>464</v>
      </c>
      <c r="FL23">
        <v>449</v>
      </c>
      <c r="FR23">
        <v>458</v>
      </c>
      <c r="FX23">
        <v>502</v>
      </c>
      <c r="GD23">
        <v>421</v>
      </c>
      <c r="GJ23">
        <v>408</v>
      </c>
      <c r="GP23">
        <v>455</v>
      </c>
      <c r="GV23">
        <v>510</v>
      </c>
      <c r="HB23">
        <v>517</v>
      </c>
      <c r="HH23">
        <v>349</v>
      </c>
      <c r="HN23">
        <v>430</v>
      </c>
      <c r="HT23">
        <v>358</v>
      </c>
      <c r="HZ23">
        <v>431</v>
      </c>
      <c r="IF23">
        <v>467</v>
      </c>
      <c r="IL23">
        <v>555</v>
      </c>
      <c r="IR23">
        <v>380</v>
      </c>
      <c r="IX23">
        <v>376</v>
      </c>
      <c r="JD23">
        <v>432</v>
      </c>
      <c r="JF23">
        <f t="shared" si="44"/>
        <v>4</v>
      </c>
      <c r="JG23" t="s">
        <v>20</v>
      </c>
      <c r="JH23" t="s">
        <v>4334</v>
      </c>
      <c r="JI23">
        <v>2.8890717029571529</v>
      </c>
      <c r="JJ23">
        <v>384</v>
      </c>
      <c r="JK23" s="3"/>
      <c r="JL23">
        <f t="shared" si="45"/>
        <v>3</v>
      </c>
      <c r="JM23" t="s">
        <v>2707</v>
      </c>
      <c r="JN23" t="s">
        <v>4335</v>
      </c>
      <c r="JO23">
        <v>3.6359550952911381</v>
      </c>
      <c r="JP23">
        <v>364</v>
      </c>
      <c r="JQ23" s="2"/>
      <c r="JV23">
        <v>407</v>
      </c>
      <c r="KB23">
        <v>413</v>
      </c>
      <c r="KH23">
        <v>340</v>
      </c>
      <c r="KN23">
        <v>564</v>
      </c>
      <c r="KT23">
        <v>521</v>
      </c>
      <c r="KZ23">
        <v>379</v>
      </c>
      <c r="LF23">
        <v>412</v>
      </c>
      <c r="LL23">
        <v>516</v>
      </c>
      <c r="LR23">
        <v>485</v>
      </c>
      <c r="LX23">
        <v>439</v>
      </c>
      <c r="MD23">
        <v>437</v>
      </c>
      <c r="MJ23">
        <v>473</v>
      </c>
      <c r="MP23">
        <v>375</v>
      </c>
      <c r="MV23">
        <v>477</v>
      </c>
      <c r="NB23">
        <v>445</v>
      </c>
      <c r="NH23">
        <v>516</v>
      </c>
      <c r="NJ23">
        <f t="shared" si="62"/>
        <v>-18</v>
      </c>
      <c r="NL23" t="s">
        <v>4326</v>
      </c>
      <c r="NM23">
        <v>3.0786070823669429</v>
      </c>
      <c r="NN23">
        <v>388</v>
      </c>
      <c r="NO23" s="3"/>
      <c r="NR23" t="s">
        <v>3762</v>
      </c>
      <c r="NT23">
        <v>439</v>
      </c>
      <c r="NZ23">
        <v>348</v>
      </c>
      <c r="OF23">
        <v>472</v>
      </c>
      <c r="OL23">
        <v>378</v>
      </c>
      <c r="OR23">
        <v>515</v>
      </c>
      <c r="OX23">
        <v>415</v>
      </c>
      <c r="PD23">
        <v>509</v>
      </c>
      <c r="PJ23">
        <v>395</v>
      </c>
      <c r="PP23">
        <v>489</v>
      </c>
      <c r="PV23">
        <v>374</v>
      </c>
      <c r="QB23">
        <v>462</v>
      </c>
      <c r="QH23">
        <v>371</v>
      </c>
      <c r="QN23">
        <v>441</v>
      </c>
      <c r="QR23" t="s">
        <v>3445</v>
      </c>
      <c r="QT23">
        <v>369</v>
      </c>
      <c r="QX23" t="s">
        <v>4328</v>
      </c>
      <c r="QZ23">
        <v>358</v>
      </c>
      <c r="RF23">
        <v>445</v>
      </c>
      <c r="RL23">
        <v>426</v>
      </c>
      <c r="RR23">
        <v>381</v>
      </c>
      <c r="RX23">
        <v>462</v>
      </c>
      <c r="SD23">
        <v>350</v>
      </c>
      <c r="SJ23">
        <v>450</v>
      </c>
      <c r="SP23">
        <v>350</v>
      </c>
      <c r="SV23">
        <v>457</v>
      </c>
      <c r="TB23">
        <v>477</v>
      </c>
      <c r="TH23">
        <v>349</v>
      </c>
      <c r="TN23">
        <v>489</v>
      </c>
      <c r="TT23">
        <v>391</v>
      </c>
      <c r="TZ23">
        <v>374</v>
      </c>
      <c r="UF23">
        <v>500</v>
      </c>
      <c r="UL23">
        <v>448</v>
      </c>
      <c r="UR23">
        <v>466</v>
      </c>
      <c r="UX23">
        <v>461</v>
      </c>
      <c r="VD23">
        <v>503</v>
      </c>
      <c r="VJ23">
        <v>370</v>
      </c>
      <c r="VP23">
        <v>466</v>
      </c>
      <c r="VV23">
        <v>442</v>
      </c>
      <c r="WB23">
        <v>448</v>
      </c>
      <c r="WH23">
        <v>430</v>
      </c>
      <c r="WN23">
        <v>455</v>
      </c>
      <c r="WT23">
        <v>525</v>
      </c>
      <c r="WZ23">
        <v>386</v>
      </c>
      <c r="XF23">
        <v>475</v>
      </c>
      <c r="XL23">
        <v>445</v>
      </c>
      <c r="XR23">
        <v>368</v>
      </c>
      <c r="XX23">
        <v>646</v>
      </c>
      <c r="YD23">
        <v>473</v>
      </c>
      <c r="YJ23">
        <v>413</v>
      </c>
      <c r="YP23">
        <v>408</v>
      </c>
      <c r="YV23">
        <v>505</v>
      </c>
      <c r="ZB23">
        <v>522</v>
      </c>
      <c r="ZH23">
        <v>358</v>
      </c>
      <c r="ZN23">
        <v>476</v>
      </c>
      <c r="ZT23">
        <v>396</v>
      </c>
      <c r="ZZ23">
        <v>512</v>
      </c>
      <c r="AAF23">
        <v>502</v>
      </c>
      <c r="AAL23">
        <v>429</v>
      </c>
      <c r="AAR23">
        <v>420</v>
      </c>
      <c r="AAV23" t="s">
        <v>3641</v>
      </c>
      <c r="AAX23">
        <v>524</v>
      </c>
      <c r="ABD23">
        <v>300</v>
      </c>
      <c r="ABJ23">
        <v>562</v>
      </c>
      <c r="ABP23">
        <v>370</v>
      </c>
      <c r="ABV23">
        <v>414</v>
      </c>
      <c r="ACB23">
        <v>436</v>
      </c>
      <c r="ACD23">
        <f t="shared" si="126"/>
        <v>-10</v>
      </c>
      <c r="ACF23" t="s">
        <v>3641</v>
      </c>
      <c r="ACG23">
        <v>2.9932150840759282</v>
      </c>
      <c r="ACH23">
        <v>399</v>
      </c>
      <c r="ACI23" s="5"/>
      <c r="ACL23" t="s">
        <v>3445</v>
      </c>
      <c r="ACN23">
        <v>505</v>
      </c>
      <c r="ACT23">
        <v>395</v>
      </c>
      <c r="ACZ23">
        <v>495</v>
      </c>
      <c r="ADF23">
        <v>459</v>
      </c>
      <c r="ADL23">
        <v>442</v>
      </c>
      <c r="ADR23">
        <v>367</v>
      </c>
      <c r="ADX23">
        <v>494</v>
      </c>
      <c r="AED23">
        <v>461</v>
      </c>
      <c r="AEJ23">
        <v>439</v>
      </c>
      <c r="AEP23">
        <v>431</v>
      </c>
      <c r="AEV23">
        <v>397</v>
      </c>
      <c r="AFB23">
        <v>456</v>
      </c>
      <c r="AFH23">
        <v>400</v>
      </c>
      <c r="AFN23">
        <v>503</v>
      </c>
      <c r="AFT23">
        <v>448</v>
      </c>
      <c r="AFZ23">
        <v>440</v>
      </c>
      <c r="AGF23">
        <v>394</v>
      </c>
      <c r="AGL23">
        <v>559</v>
      </c>
      <c r="AGR23">
        <v>425</v>
      </c>
      <c r="AGX23">
        <v>419</v>
      </c>
      <c r="AHD23">
        <v>516</v>
      </c>
      <c r="AHJ23">
        <v>446</v>
      </c>
      <c r="AHP23">
        <v>399</v>
      </c>
      <c r="AHR23">
        <f t="shared" si="150"/>
        <v>12</v>
      </c>
      <c r="AHS23" t="s">
        <v>3</v>
      </c>
      <c r="AHT23" t="s">
        <v>3</v>
      </c>
      <c r="AHU23">
        <v>3.091812372207642</v>
      </c>
      <c r="AHV23">
        <v>566</v>
      </c>
      <c r="AHW23" s="5"/>
      <c r="AHZ23" t="s">
        <v>3641</v>
      </c>
      <c r="AIB23">
        <v>338</v>
      </c>
      <c r="AIH23">
        <v>428</v>
      </c>
      <c r="AIN23">
        <v>407</v>
      </c>
      <c r="AIT23">
        <v>378</v>
      </c>
      <c r="AIZ23">
        <v>442</v>
      </c>
      <c r="AJF23">
        <v>576</v>
      </c>
      <c r="AJL23">
        <v>406</v>
      </c>
      <c r="AJR23">
        <v>468</v>
      </c>
      <c r="AJX23">
        <v>453</v>
      </c>
      <c r="AKD23">
        <v>423</v>
      </c>
      <c r="AKJ23">
        <v>476</v>
      </c>
      <c r="AKP23">
        <v>394</v>
      </c>
      <c r="AKV23">
        <v>496</v>
      </c>
      <c r="ALB23">
        <v>519</v>
      </c>
      <c r="ALH23">
        <v>515</v>
      </c>
      <c r="ALN23">
        <v>510</v>
      </c>
      <c r="ALT23">
        <v>400</v>
      </c>
      <c r="ALZ23">
        <v>519</v>
      </c>
      <c r="AMF23">
        <v>404</v>
      </c>
      <c r="AML23">
        <v>425</v>
      </c>
      <c r="AMR23">
        <v>444</v>
      </c>
    </row>
    <row r="24" spans="1:1033" x14ac:dyDescent="0.25">
      <c r="A24">
        <v>22</v>
      </c>
      <c r="F24" s="6">
        <f t="shared" si="173"/>
        <v>487</v>
      </c>
      <c r="L24" s="6">
        <f t="shared" si="174"/>
        <v>416</v>
      </c>
      <c r="R24" s="6">
        <f t="shared" si="172"/>
        <v>377</v>
      </c>
      <c r="X24">
        <v>412</v>
      </c>
      <c r="AD24">
        <v>533</v>
      </c>
      <c r="AJ24">
        <v>398</v>
      </c>
      <c r="AP24">
        <v>442</v>
      </c>
      <c r="AV24">
        <v>421</v>
      </c>
      <c r="BB24">
        <v>418</v>
      </c>
      <c r="BH24">
        <v>524</v>
      </c>
      <c r="BN24">
        <v>503</v>
      </c>
      <c r="BT24">
        <v>404</v>
      </c>
      <c r="BZ24">
        <v>529</v>
      </c>
      <c r="CF24">
        <v>404</v>
      </c>
      <c r="CL24">
        <v>437</v>
      </c>
      <c r="CR24">
        <v>454</v>
      </c>
      <c r="CX24">
        <v>496</v>
      </c>
      <c r="DD24">
        <v>356</v>
      </c>
      <c r="DJ24">
        <v>407</v>
      </c>
      <c r="DP24">
        <v>407</v>
      </c>
      <c r="DV24">
        <v>538</v>
      </c>
      <c r="EB24">
        <v>360</v>
      </c>
      <c r="EH24">
        <v>323</v>
      </c>
      <c r="EN24">
        <v>490</v>
      </c>
      <c r="ET24">
        <v>396</v>
      </c>
      <c r="EZ24">
        <v>309</v>
      </c>
      <c r="FF24">
        <v>464</v>
      </c>
      <c r="FL24">
        <v>449</v>
      </c>
      <c r="FR24">
        <v>458</v>
      </c>
      <c r="FX24">
        <v>502</v>
      </c>
      <c r="GD24">
        <v>421</v>
      </c>
      <c r="GJ24">
        <v>408</v>
      </c>
      <c r="GP24">
        <v>455</v>
      </c>
      <c r="GV24">
        <v>510</v>
      </c>
      <c r="HB24">
        <v>517</v>
      </c>
      <c r="HH24">
        <v>349</v>
      </c>
      <c r="HN24">
        <v>430</v>
      </c>
      <c r="HT24">
        <v>358</v>
      </c>
      <c r="HZ24">
        <v>431</v>
      </c>
      <c r="IF24">
        <v>467</v>
      </c>
      <c r="IL24">
        <v>555</v>
      </c>
      <c r="IR24">
        <v>380</v>
      </c>
      <c r="IX24">
        <v>376</v>
      </c>
      <c r="JD24">
        <v>432</v>
      </c>
      <c r="JF24">
        <f t="shared" si="44"/>
        <v>0</v>
      </c>
      <c r="JH24" t="s">
        <v>4327</v>
      </c>
      <c r="JI24">
        <v>2.762600421905518</v>
      </c>
      <c r="JJ24">
        <v>384</v>
      </c>
      <c r="JK24" s="3"/>
      <c r="JL24">
        <f t="shared" si="45"/>
        <v>0</v>
      </c>
      <c r="JN24" t="s">
        <v>3892</v>
      </c>
      <c r="JO24">
        <v>3.2415192127227779</v>
      </c>
      <c r="JP24">
        <v>364</v>
      </c>
      <c r="JQ24" s="2"/>
      <c r="JV24">
        <v>407</v>
      </c>
      <c r="KB24">
        <v>413</v>
      </c>
      <c r="KH24">
        <v>340</v>
      </c>
      <c r="KN24">
        <v>564</v>
      </c>
      <c r="KT24">
        <v>521</v>
      </c>
      <c r="KZ24">
        <v>379</v>
      </c>
      <c r="LF24">
        <v>412</v>
      </c>
      <c r="LL24">
        <v>516</v>
      </c>
      <c r="LR24">
        <v>485</v>
      </c>
      <c r="LX24">
        <v>439</v>
      </c>
      <c r="MD24">
        <v>437</v>
      </c>
      <c r="MJ24">
        <v>473</v>
      </c>
      <c r="MP24">
        <v>375</v>
      </c>
      <c r="MV24">
        <v>477</v>
      </c>
      <c r="NB24">
        <v>445</v>
      </c>
      <c r="NH24">
        <v>516</v>
      </c>
      <c r="NL24" t="s">
        <v>4326</v>
      </c>
      <c r="NN24">
        <v>388</v>
      </c>
      <c r="NT24">
        <v>439</v>
      </c>
      <c r="NZ24">
        <v>348</v>
      </c>
      <c r="OF24">
        <v>472</v>
      </c>
      <c r="OL24">
        <v>378</v>
      </c>
      <c r="OR24">
        <v>515</v>
      </c>
      <c r="OX24">
        <v>415</v>
      </c>
      <c r="PD24">
        <v>509</v>
      </c>
      <c r="PJ24">
        <v>395</v>
      </c>
      <c r="PP24">
        <v>489</v>
      </c>
      <c r="PV24">
        <v>374</v>
      </c>
      <c r="QB24">
        <v>462</v>
      </c>
      <c r="QH24">
        <v>371</v>
      </c>
      <c r="QN24">
        <v>441</v>
      </c>
      <c r="QT24">
        <v>369</v>
      </c>
      <c r="QZ24">
        <v>358</v>
      </c>
      <c r="RF24">
        <v>445</v>
      </c>
      <c r="RL24">
        <v>426</v>
      </c>
      <c r="RR24">
        <v>381</v>
      </c>
      <c r="RX24">
        <v>462</v>
      </c>
      <c r="SD24">
        <v>350</v>
      </c>
      <c r="SJ24">
        <v>450</v>
      </c>
      <c r="SP24">
        <v>350</v>
      </c>
      <c r="SV24">
        <v>457</v>
      </c>
      <c r="TB24">
        <v>477</v>
      </c>
      <c r="TH24">
        <v>349</v>
      </c>
      <c r="TN24">
        <v>489</v>
      </c>
      <c r="TT24">
        <v>391</v>
      </c>
      <c r="TZ24">
        <v>374</v>
      </c>
      <c r="UF24">
        <v>500</v>
      </c>
      <c r="UL24">
        <v>448</v>
      </c>
      <c r="UR24">
        <v>466</v>
      </c>
      <c r="UX24">
        <v>461</v>
      </c>
      <c r="VD24">
        <v>503</v>
      </c>
      <c r="VJ24">
        <v>370</v>
      </c>
      <c r="VP24">
        <v>466</v>
      </c>
      <c r="VV24">
        <v>442</v>
      </c>
      <c r="WB24">
        <v>448</v>
      </c>
      <c r="WH24">
        <v>430</v>
      </c>
      <c r="WN24">
        <v>455</v>
      </c>
      <c r="WT24">
        <v>525</v>
      </c>
      <c r="WZ24">
        <v>386</v>
      </c>
      <c r="XF24">
        <v>475</v>
      </c>
      <c r="XL24">
        <v>445</v>
      </c>
      <c r="XR24">
        <v>368</v>
      </c>
      <c r="XX24">
        <v>646</v>
      </c>
      <c r="YD24">
        <v>473</v>
      </c>
      <c r="YJ24">
        <v>413</v>
      </c>
      <c r="YP24">
        <v>408</v>
      </c>
      <c r="YV24">
        <v>505</v>
      </c>
      <c r="ZB24">
        <v>522</v>
      </c>
      <c r="ZH24">
        <v>358</v>
      </c>
      <c r="ZN24">
        <v>476</v>
      </c>
      <c r="ZT24">
        <v>396</v>
      </c>
      <c r="ZZ24">
        <v>512</v>
      </c>
      <c r="AAF24">
        <v>502</v>
      </c>
      <c r="AAL24">
        <v>429</v>
      </c>
      <c r="AAR24">
        <v>420</v>
      </c>
      <c r="AAX24">
        <v>524</v>
      </c>
      <c r="ABD24">
        <v>300</v>
      </c>
      <c r="ABJ24">
        <v>562</v>
      </c>
      <c r="ABP24">
        <v>370</v>
      </c>
      <c r="ABV24">
        <v>414</v>
      </c>
      <c r="ACB24">
        <v>436</v>
      </c>
      <c r="ACF24" t="s">
        <v>3641</v>
      </c>
      <c r="ACH24">
        <v>399</v>
      </c>
      <c r="ACN24">
        <v>505</v>
      </c>
      <c r="ACT24">
        <v>395</v>
      </c>
      <c r="ACZ24">
        <v>495</v>
      </c>
      <c r="ADF24">
        <v>459</v>
      </c>
      <c r="ADL24">
        <v>442</v>
      </c>
      <c r="ADR24">
        <v>367</v>
      </c>
      <c r="ADX24">
        <v>494</v>
      </c>
      <c r="AED24">
        <v>461</v>
      </c>
      <c r="AEJ24">
        <v>439</v>
      </c>
      <c r="AEP24">
        <v>431</v>
      </c>
      <c r="AEV24">
        <v>397</v>
      </c>
      <c r="AFB24">
        <v>456</v>
      </c>
      <c r="AFH24">
        <v>400</v>
      </c>
      <c r="AFN24">
        <v>503</v>
      </c>
      <c r="AFT24">
        <v>448</v>
      </c>
      <c r="AFZ24">
        <v>440</v>
      </c>
      <c r="AGF24">
        <v>394</v>
      </c>
      <c r="AGL24">
        <v>559</v>
      </c>
      <c r="AGR24">
        <v>425</v>
      </c>
      <c r="AGX24">
        <v>419</v>
      </c>
      <c r="AHD24">
        <v>516</v>
      </c>
      <c r="AHJ24">
        <v>446</v>
      </c>
      <c r="AHP24">
        <v>399</v>
      </c>
      <c r="AHV24">
        <v>566</v>
      </c>
      <c r="AIB24">
        <v>338</v>
      </c>
      <c r="AIH24">
        <v>428</v>
      </c>
      <c r="AIN24">
        <v>407</v>
      </c>
      <c r="AIT24">
        <v>378</v>
      </c>
      <c r="AIZ24">
        <v>442</v>
      </c>
      <c r="AJF24">
        <v>576</v>
      </c>
      <c r="AJL24">
        <v>406</v>
      </c>
      <c r="AJR24">
        <v>468</v>
      </c>
      <c r="AJX24">
        <v>453</v>
      </c>
      <c r="AKD24">
        <v>423</v>
      </c>
      <c r="AKJ24">
        <v>476</v>
      </c>
      <c r="AKP24">
        <v>394</v>
      </c>
      <c r="AKV24">
        <v>496</v>
      </c>
      <c r="ALB24">
        <v>519</v>
      </c>
      <c r="ALH24">
        <v>515</v>
      </c>
      <c r="ALN24">
        <v>510</v>
      </c>
      <c r="ALT24">
        <v>400</v>
      </c>
      <c r="ALZ24">
        <v>519</v>
      </c>
      <c r="AMF24">
        <v>404</v>
      </c>
      <c r="AML24">
        <v>425</v>
      </c>
      <c r="AMR24">
        <v>444</v>
      </c>
    </row>
    <row r="25" spans="1:1033" x14ac:dyDescent="0.25">
      <c r="A25">
        <v>23</v>
      </c>
      <c r="F25" s="6">
        <f t="shared" si="173"/>
        <v>487</v>
      </c>
      <c r="L25" s="6">
        <f t="shared" si="174"/>
        <v>416</v>
      </c>
      <c r="R25" s="6">
        <f t="shared" si="172"/>
        <v>377</v>
      </c>
      <c r="X25">
        <v>412</v>
      </c>
      <c r="AD25">
        <v>533</v>
      </c>
      <c r="AJ25">
        <v>398</v>
      </c>
      <c r="AP25">
        <v>442</v>
      </c>
      <c r="AV25">
        <v>421</v>
      </c>
      <c r="BB25">
        <v>418</v>
      </c>
      <c r="BH25">
        <v>524</v>
      </c>
      <c r="BN25">
        <v>503</v>
      </c>
      <c r="BT25">
        <v>404</v>
      </c>
      <c r="BZ25">
        <v>529</v>
      </c>
      <c r="CF25">
        <v>404</v>
      </c>
      <c r="CL25">
        <v>437</v>
      </c>
      <c r="CR25">
        <v>454</v>
      </c>
      <c r="CX25">
        <v>496</v>
      </c>
      <c r="DD25">
        <v>356</v>
      </c>
      <c r="DJ25">
        <v>407</v>
      </c>
      <c r="DP25">
        <v>407</v>
      </c>
      <c r="DV25">
        <v>538</v>
      </c>
      <c r="EB25">
        <v>360</v>
      </c>
      <c r="EH25">
        <v>323</v>
      </c>
      <c r="EN25">
        <v>490</v>
      </c>
      <c r="ET25">
        <v>396</v>
      </c>
      <c r="EZ25">
        <v>309</v>
      </c>
      <c r="FF25">
        <v>464</v>
      </c>
      <c r="FL25">
        <v>449</v>
      </c>
      <c r="FR25">
        <v>458</v>
      </c>
      <c r="FX25">
        <v>502</v>
      </c>
      <c r="GD25">
        <v>421</v>
      </c>
      <c r="GJ25">
        <v>408</v>
      </c>
      <c r="GP25">
        <v>455</v>
      </c>
      <c r="GV25">
        <v>510</v>
      </c>
      <c r="HB25">
        <v>517</v>
      </c>
      <c r="HH25">
        <v>349</v>
      </c>
      <c r="HN25">
        <v>430</v>
      </c>
      <c r="HT25">
        <v>358</v>
      </c>
      <c r="HZ25">
        <v>431</v>
      </c>
      <c r="IF25">
        <v>467</v>
      </c>
      <c r="IL25">
        <v>555</v>
      </c>
      <c r="IR25">
        <v>380</v>
      </c>
      <c r="IX25">
        <v>376</v>
      </c>
      <c r="JD25">
        <v>432</v>
      </c>
      <c r="JF25">
        <f t="shared" si="44"/>
        <v>-4</v>
      </c>
      <c r="JH25" t="s">
        <v>4327</v>
      </c>
      <c r="JI25">
        <v>3.077117919921875</v>
      </c>
      <c r="JJ25">
        <v>380</v>
      </c>
      <c r="JK25" s="3"/>
      <c r="JN25" t="s">
        <v>3892</v>
      </c>
      <c r="JP25">
        <v>362</v>
      </c>
      <c r="JV25">
        <v>407</v>
      </c>
      <c r="KB25">
        <v>413</v>
      </c>
      <c r="KH25">
        <v>340</v>
      </c>
      <c r="KN25">
        <v>564</v>
      </c>
      <c r="KT25">
        <v>521</v>
      </c>
      <c r="KZ25">
        <v>379</v>
      </c>
      <c r="LF25">
        <v>412</v>
      </c>
      <c r="LL25">
        <v>516</v>
      </c>
      <c r="LR25">
        <v>485</v>
      </c>
      <c r="LX25">
        <v>439</v>
      </c>
      <c r="MD25">
        <v>437</v>
      </c>
      <c r="MJ25">
        <v>473</v>
      </c>
      <c r="MP25">
        <v>375</v>
      </c>
      <c r="MV25">
        <v>477</v>
      </c>
      <c r="NB25">
        <v>445</v>
      </c>
      <c r="NH25">
        <v>516</v>
      </c>
      <c r="NN25">
        <v>388</v>
      </c>
      <c r="NT25">
        <v>439</v>
      </c>
      <c r="NZ25">
        <v>348</v>
      </c>
      <c r="OF25">
        <v>472</v>
      </c>
      <c r="OL25">
        <v>378</v>
      </c>
      <c r="OR25">
        <v>515</v>
      </c>
      <c r="OX25">
        <v>415</v>
      </c>
      <c r="PD25">
        <v>509</v>
      </c>
      <c r="PJ25">
        <v>395</v>
      </c>
      <c r="PP25">
        <v>489</v>
      </c>
      <c r="PV25">
        <v>374</v>
      </c>
      <c r="QB25">
        <v>462</v>
      </c>
      <c r="QH25">
        <v>371</v>
      </c>
      <c r="QN25">
        <v>441</v>
      </c>
      <c r="QT25">
        <v>369</v>
      </c>
      <c r="QZ25">
        <v>358</v>
      </c>
      <c r="RF25">
        <v>445</v>
      </c>
      <c r="RL25">
        <v>426</v>
      </c>
      <c r="RR25">
        <v>381</v>
      </c>
      <c r="RX25">
        <v>462</v>
      </c>
      <c r="SD25">
        <v>350</v>
      </c>
      <c r="SJ25">
        <v>450</v>
      </c>
      <c r="SP25">
        <v>350</v>
      </c>
      <c r="SV25">
        <v>457</v>
      </c>
      <c r="TB25">
        <v>477</v>
      </c>
      <c r="TH25">
        <v>349</v>
      </c>
      <c r="TN25">
        <v>489</v>
      </c>
      <c r="TT25">
        <v>391</v>
      </c>
      <c r="TZ25">
        <v>374</v>
      </c>
      <c r="UF25">
        <v>500</v>
      </c>
      <c r="UL25">
        <v>448</v>
      </c>
      <c r="UR25">
        <v>466</v>
      </c>
      <c r="UX25">
        <v>461</v>
      </c>
      <c r="VD25">
        <v>503</v>
      </c>
      <c r="VJ25">
        <v>370</v>
      </c>
      <c r="VP25">
        <v>466</v>
      </c>
      <c r="VV25">
        <v>442</v>
      </c>
      <c r="WB25">
        <v>448</v>
      </c>
      <c r="WH25">
        <v>430</v>
      </c>
      <c r="WN25">
        <v>455</v>
      </c>
      <c r="WT25">
        <v>525</v>
      </c>
      <c r="WZ25">
        <v>386</v>
      </c>
      <c r="XF25">
        <v>475</v>
      </c>
      <c r="XL25">
        <v>445</v>
      </c>
      <c r="XR25">
        <v>368</v>
      </c>
      <c r="XX25">
        <v>646</v>
      </c>
      <c r="YD25">
        <v>473</v>
      </c>
      <c r="YJ25">
        <v>413</v>
      </c>
      <c r="YP25">
        <v>408</v>
      </c>
      <c r="YV25">
        <v>505</v>
      </c>
      <c r="ZB25">
        <v>522</v>
      </c>
      <c r="ZH25">
        <v>358</v>
      </c>
      <c r="ZN25">
        <v>476</v>
      </c>
      <c r="ZT25">
        <v>396</v>
      </c>
      <c r="ZZ25">
        <v>512</v>
      </c>
      <c r="AAF25">
        <v>502</v>
      </c>
      <c r="AAL25">
        <v>429</v>
      </c>
      <c r="AAR25">
        <v>420</v>
      </c>
      <c r="AAX25">
        <v>524</v>
      </c>
      <c r="ABD25">
        <v>300</v>
      </c>
      <c r="ABJ25">
        <v>562</v>
      </c>
      <c r="ABP25">
        <v>370</v>
      </c>
      <c r="ABV25">
        <v>414</v>
      </c>
      <c r="ACB25">
        <v>436</v>
      </c>
      <c r="ACH25">
        <v>399</v>
      </c>
      <c r="ACN25">
        <v>505</v>
      </c>
      <c r="ACT25">
        <v>395</v>
      </c>
      <c r="ACZ25">
        <v>495</v>
      </c>
      <c r="ADF25">
        <v>459</v>
      </c>
      <c r="ADL25">
        <v>442</v>
      </c>
      <c r="ADR25">
        <v>367</v>
      </c>
      <c r="ADX25">
        <v>494</v>
      </c>
      <c r="AED25">
        <v>461</v>
      </c>
      <c r="AEJ25">
        <v>439</v>
      </c>
      <c r="AEP25">
        <v>431</v>
      </c>
      <c r="AEV25">
        <v>397</v>
      </c>
      <c r="AFB25">
        <v>456</v>
      </c>
      <c r="AFH25">
        <v>400</v>
      </c>
      <c r="AFN25">
        <v>503</v>
      </c>
      <c r="AFT25">
        <v>448</v>
      </c>
      <c r="AFZ25">
        <v>440</v>
      </c>
      <c r="AGF25">
        <v>394</v>
      </c>
      <c r="AGL25">
        <v>559</v>
      </c>
      <c r="AGR25">
        <v>425</v>
      </c>
      <c r="AGX25">
        <v>419</v>
      </c>
      <c r="AHD25">
        <v>516</v>
      </c>
      <c r="AHJ25">
        <v>446</v>
      </c>
      <c r="AHP25">
        <v>399</v>
      </c>
      <c r="AHV25">
        <v>566</v>
      </c>
      <c r="AIB25">
        <v>338</v>
      </c>
      <c r="AIH25">
        <v>428</v>
      </c>
      <c r="AIN25">
        <v>407</v>
      </c>
      <c r="AIT25">
        <v>378</v>
      </c>
      <c r="AIZ25">
        <v>442</v>
      </c>
      <c r="AJF25">
        <v>576</v>
      </c>
      <c r="AJL25">
        <v>406</v>
      </c>
      <c r="AJR25">
        <v>468</v>
      </c>
      <c r="AJX25">
        <v>453</v>
      </c>
      <c r="AKD25">
        <v>423</v>
      </c>
      <c r="AKJ25">
        <v>476</v>
      </c>
      <c r="AKP25">
        <v>394</v>
      </c>
      <c r="AKV25">
        <v>496</v>
      </c>
      <c r="ALB25">
        <v>519</v>
      </c>
      <c r="ALH25">
        <v>515</v>
      </c>
      <c r="ALN25">
        <v>510</v>
      </c>
      <c r="ALT25">
        <v>400</v>
      </c>
      <c r="ALZ25">
        <v>519</v>
      </c>
      <c r="AMF25">
        <v>404</v>
      </c>
      <c r="AML25">
        <v>425</v>
      </c>
      <c r="AMR25">
        <v>444</v>
      </c>
    </row>
    <row r="26" spans="1:1033" x14ac:dyDescent="0.25">
      <c r="A26">
        <v>24</v>
      </c>
      <c r="F26" s="6">
        <f t="shared" si="173"/>
        <v>487</v>
      </c>
      <c r="L26" s="6">
        <f t="shared" si="174"/>
        <v>416</v>
      </c>
      <c r="R26" s="6">
        <f>R25</f>
        <v>377</v>
      </c>
      <c r="X26">
        <v>412</v>
      </c>
      <c r="AD26">
        <v>533</v>
      </c>
      <c r="AJ26">
        <v>398</v>
      </c>
      <c r="AP26">
        <v>442</v>
      </c>
      <c r="AV26">
        <v>421</v>
      </c>
      <c r="BB26">
        <v>418</v>
      </c>
      <c r="BH26">
        <v>524</v>
      </c>
      <c r="BN26">
        <v>503</v>
      </c>
      <c r="BT26">
        <v>404</v>
      </c>
      <c r="BZ26">
        <v>529</v>
      </c>
      <c r="CF26">
        <v>404</v>
      </c>
      <c r="CL26">
        <v>437</v>
      </c>
      <c r="CR26">
        <v>454</v>
      </c>
      <c r="CX26">
        <v>496</v>
      </c>
      <c r="DD26">
        <v>356</v>
      </c>
      <c r="DJ26">
        <v>407</v>
      </c>
      <c r="DP26">
        <v>407</v>
      </c>
      <c r="DV26">
        <v>538</v>
      </c>
      <c r="EB26">
        <v>360</v>
      </c>
      <c r="EH26">
        <v>323</v>
      </c>
      <c r="EN26">
        <v>490</v>
      </c>
      <c r="ET26">
        <v>396</v>
      </c>
      <c r="EZ26">
        <v>309</v>
      </c>
      <c r="FF26">
        <v>464</v>
      </c>
      <c r="FL26">
        <v>449</v>
      </c>
      <c r="FR26">
        <v>458</v>
      </c>
      <c r="FX26">
        <v>502</v>
      </c>
      <c r="GD26">
        <v>421</v>
      </c>
      <c r="GJ26">
        <v>408</v>
      </c>
      <c r="GP26">
        <v>455</v>
      </c>
      <c r="GV26">
        <v>510</v>
      </c>
      <c r="HB26">
        <v>517</v>
      </c>
      <c r="HH26">
        <v>349</v>
      </c>
      <c r="HN26">
        <v>430</v>
      </c>
      <c r="HT26">
        <v>358</v>
      </c>
      <c r="HZ26">
        <v>431</v>
      </c>
      <c r="IF26">
        <v>467</v>
      </c>
      <c r="IL26">
        <v>555</v>
      </c>
      <c r="IR26">
        <v>380</v>
      </c>
      <c r="IX26">
        <v>376</v>
      </c>
      <c r="JD26">
        <v>432</v>
      </c>
      <c r="JH26" t="s">
        <v>4327</v>
      </c>
      <c r="JJ26">
        <v>380</v>
      </c>
      <c r="JP26">
        <v>362</v>
      </c>
      <c r="JV26">
        <v>407</v>
      </c>
      <c r="KB26">
        <v>413</v>
      </c>
      <c r="KH26">
        <v>340</v>
      </c>
      <c r="KN26">
        <v>564</v>
      </c>
      <c r="KT26">
        <v>521</v>
      </c>
      <c r="KZ26">
        <v>379</v>
      </c>
      <c r="LF26">
        <v>412</v>
      </c>
      <c r="LL26">
        <v>516</v>
      </c>
      <c r="LR26">
        <v>485</v>
      </c>
      <c r="LX26">
        <v>439</v>
      </c>
      <c r="MD26">
        <v>437</v>
      </c>
      <c r="MJ26">
        <v>473</v>
      </c>
      <c r="MP26">
        <v>375</v>
      </c>
      <c r="MV26">
        <v>477</v>
      </c>
      <c r="NB26">
        <v>445</v>
      </c>
      <c r="NH26">
        <v>516</v>
      </c>
      <c r="NN26">
        <v>388</v>
      </c>
      <c r="NT26">
        <v>439</v>
      </c>
      <c r="NZ26">
        <v>348</v>
      </c>
      <c r="OF26">
        <v>472</v>
      </c>
      <c r="OL26">
        <v>378</v>
      </c>
      <c r="OR26">
        <v>515</v>
      </c>
      <c r="OX26">
        <v>415</v>
      </c>
      <c r="PD26">
        <v>509</v>
      </c>
      <c r="PJ26">
        <v>395</v>
      </c>
      <c r="PP26">
        <v>489</v>
      </c>
      <c r="PV26">
        <v>374</v>
      </c>
      <c r="QB26">
        <v>462</v>
      </c>
      <c r="QH26">
        <v>371</v>
      </c>
      <c r="QN26">
        <v>441</v>
      </c>
      <c r="QT26">
        <v>369</v>
      </c>
      <c r="QZ26">
        <v>358</v>
      </c>
      <c r="RF26">
        <v>445</v>
      </c>
      <c r="RL26">
        <v>426</v>
      </c>
      <c r="RR26">
        <v>381</v>
      </c>
      <c r="RX26">
        <v>462</v>
      </c>
      <c r="SD26">
        <v>350</v>
      </c>
      <c r="SJ26">
        <v>450</v>
      </c>
      <c r="SP26">
        <v>350</v>
      </c>
      <c r="SV26">
        <v>457</v>
      </c>
      <c r="TB26">
        <v>477</v>
      </c>
      <c r="TH26">
        <v>349</v>
      </c>
      <c r="TN26">
        <v>489</v>
      </c>
      <c r="TT26">
        <v>391</v>
      </c>
      <c r="TZ26">
        <v>374</v>
      </c>
      <c r="UF26">
        <v>500</v>
      </c>
      <c r="UL26">
        <v>448</v>
      </c>
      <c r="UR26">
        <v>466</v>
      </c>
      <c r="UX26">
        <v>461</v>
      </c>
      <c r="VD26">
        <v>503</v>
      </c>
      <c r="VJ26">
        <v>370</v>
      </c>
      <c r="VP26">
        <v>466</v>
      </c>
      <c r="VV26">
        <v>442</v>
      </c>
      <c r="WB26">
        <v>448</v>
      </c>
      <c r="WH26">
        <v>430</v>
      </c>
      <c r="WN26">
        <v>455</v>
      </c>
      <c r="WT26">
        <v>525</v>
      </c>
      <c r="WZ26">
        <v>386</v>
      </c>
      <c r="XF26">
        <v>475</v>
      </c>
      <c r="XL26">
        <v>445</v>
      </c>
      <c r="XR26">
        <v>368</v>
      </c>
      <c r="XX26">
        <v>646</v>
      </c>
      <c r="YD26">
        <v>473</v>
      </c>
      <c r="YJ26">
        <v>413</v>
      </c>
      <c r="YP26">
        <v>408</v>
      </c>
      <c r="YV26">
        <v>505</v>
      </c>
      <c r="ZB26">
        <v>522</v>
      </c>
      <c r="ZH26">
        <v>358</v>
      </c>
      <c r="ZN26">
        <v>476</v>
      </c>
      <c r="ZT26">
        <v>396</v>
      </c>
      <c r="ZZ26">
        <v>512</v>
      </c>
      <c r="AAF26">
        <v>502</v>
      </c>
      <c r="AAL26">
        <v>429</v>
      </c>
      <c r="AAR26">
        <v>420</v>
      </c>
      <c r="AAX26">
        <v>524</v>
      </c>
      <c r="ABD26">
        <v>300</v>
      </c>
      <c r="ABJ26">
        <v>562</v>
      </c>
      <c r="ABP26">
        <v>370</v>
      </c>
      <c r="ABV26">
        <v>414</v>
      </c>
      <c r="ACB26">
        <v>436</v>
      </c>
      <c r="ACH26">
        <v>399</v>
      </c>
      <c r="ACN26">
        <v>505</v>
      </c>
      <c r="ACT26">
        <v>395</v>
      </c>
      <c r="ACZ26">
        <v>495</v>
      </c>
      <c r="ADF26">
        <v>459</v>
      </c>
      <c r="ADL26">
        <v>442</v>
      </c>
      <c r="ADR26">
        <v>367</v>
      </c>
      <c r="ADX26">
        <v>494</v>
      </c>
      <c r="AED26">
        <v>461</v>
      </c>
      <c r="AEJ26">
        <v>439</v>
      </c>
      <c r="AEP26">
        <v>431</v>
      </c>
      <c r="AEV26">
        <v>397</v>
      </c>
      <c r="AFB26">
        <v>456</v>
      </c>
      <c r="AFH26">
        <v>400</v>
      </c>
      <c r="AFN26">
        <v>503</v>
      </c>
      <c r="AFT26">
        <v>448</v>
      </c>
      <c r="AFZ26">
        <v>440</v>
      </c>
      <c r="AGF26">
        <v>394</v>
      </c>
      <c r="AGL26">
        <v>559</v>
      </c>
      <c r="AGR26">
        <v>425</v>
      </c>
      <c r="AGX26">
        <v>419</v>
      </c>
      <c r="AHD26">
        <v>516</v>
      </c>
      <c r="AHJ26">
        <v>446</v>
      </c>
      <c r="AHP26">
        <v>399</v>
      </c>
      <c r="AHV26">
        <v>566</v>
      </c>
      <c r="AIB26">
        <v>338</v>
      </c>
      <c r="AIH26">
        <v>428</v>
      </c>
      <c r="AIN26">
        <v>407</v>
      </c>
      <c r="AIT26">
        <v>378</v>
      </c>
      <c r="AIZ26">
        <v>442</v>
      </c>
      <c r="AJF26">
        <v>576</v>
      </c>
      <c r="AJL26">
        <v>406</v>
      </c>
      <c r="AJR26">
        <v>468</v>
      </c>
      <c r="AJX26">
        <v>453</v>
      </c>
      <c r="AKD26">
        <v>423</v>
      </c>
      <c r="AKJ26">
        <v>476</v>
      </c>
      <c r="AKP26">
        <v>394</v>
      </c>
      <c r="AKV26">
        <v>496</v>
      </c>
      <c r="ALB26">
        <v>519</v>
      </c>
      <c r="ALH26">
        <v>515</v>
      </c>
      <c r="ALN26">
        <v>510</v>
      </c>
      <c r="ALT26">
        <v>400</v>
      </c>
      <c r="ALZ26">
        <v>519</v>
      </c>
      <c r="AMF26">
        <v>404</v>
      </c>
      <c r="AML26">
        <v>425</v>
      </c>
      <c r="AMR26">
        <v>444</v>
      </c>
    </row>
    <row r="34" spans="1:1032" x14ac:dyDescent="0.25">
      <c r="D34" s="6" t="str" cm="1">
        <f t="array" ref="D34">IF(INDEX(F:F,MAX(_xlfn._xlws.FILTER(ROW(F:F),F:F&lt;&gt;"")))&gt;INDEX(L:L,MAX(_xlfn._xlws.FILTER(ROW(L:L),L:L&lt;&gt;""))),F1,L1)</f>
        <v>Boardposition</v>
      </c>
      <c r="E34">
        <f>SUM(E2:E26)</f>
        <v>234.72918581962585</v>
      </c>
      <c r="F34" s="6" cm="1">
        <f t="array" ref="F34">INDEX(F1:F26,MAX(_xlfn._xlws.FILTER(ROW(F1:F26),F1:F26&lt;&gt;"")))</f>
        <v>487</v>
      </c>
      <c r="G34" s="6">
        <f>IF(D34="Kans",L34-F34,F34-L34)</f>
        <v>71</v>
      </c>
      <c r="K34">
        <f>SUM(K2:K26)</f>
        <v>275.69033861160278</v>
      </c>
      <c r="L34" s="6" cm="1">
        <f t="array" ref="L34">INDEX(L1:L26,MAX(_xlfn._xlws.FILTER(ROW(L1:L26),L1:L26&lt;&gt;"")))</f>
        <v>416</v>
      </c>
      <c r="P34" s="6" t="str" cm="1">
        <f t="array" ref="P34">IF(INDEX(R:R,MAX(_xlfn._xlws.FILTER(ROW(R:R),R:R&lt;&gt;"")))&gt;INDEX(X:X,MAX(_xlfn._xlws.FILTER(ROW(X:X),X:X&lt;&gt;""))),R1,X1)</f>
        <v>Greedy</v>
      </c>
      <c r="Q34">
        <f t="shared" ref="Q34" si="175">SUM(Q2:Q26)</f>
        <v>274.78375315666199</v>
      </c>
      <c r="R34" s="6" cm="1">
        <f t="array" ref="R34">INDEX(R1:R26,MAX(_xlfn._xlws.FILTER(ROW(R1:R26),R1:R26&lt;&gt;"")))</f>
        <v>377</v>
      </c>
      <c r="S34" s="6">
        <f t="shared" ref="S34" si="176">IF(P34="Kans",X34-R34,R34-X34)</f>
        <v>-35</v>
      </c>
      <c r="W34">
        <f t="shared" ref="W34" si="177">SUM(W2:W26)</f>
        <v>220.34235548973083</v>
      </c>
      <c r="X34" s="6" cm="1">
        <f t="array" ref="X34">INDEX(X1:X26,MAX(_xlfn._xlws.FILTER(ROW(X1:X26),X1:X26&lt;&gt;"")))</f>
        <v>412</v>
      </c>
      <c r="AB34" s="6" t="str" cm="1">
        <f t="array" ref="AB34">IF(INDEX(AD:AD,MAX(_xlfn._xlws.FILTER(ROW(AD:AD),AD:AD&lt;&gt;"")))&gt;INDEX(AJ:AJ,MAX(_xlfn._xlws.FILTER(ROW(AJ:AJ),AJ:AJ&lt;&gt;""))),AD1,AJ1)</f>
        <v>Boardposition</v>
      </c>
      <c r="AC34">
        <f t="shared" ref="AC34" si="178">SUM(AC2:AC26)</f>
        <v>418.7292640209198</v>
      </c>
      <c r="AD34" s="6" cm="1">
        <f t="array" ref="AD34">INDEX(AD1:AD26,MAX(_xlfn._xlws.FILTER(ROW(AD1:AD26),AD1:AD26&lt;&gt;"")))</f>
        <v>533</v>
      </c>
      <c r="AE34" s="6">
        <f t="shared" ref="AE34" si="179">IF(AB34="Kans",AJ34-AD34,AD34-AJ34)</f>
        <v>135</v>
      </c>
      <c r="AI34">
        <f t="shared" ref="AI34" si="180">SUM(AI2:AI26)</f>
        <v>156.71080541610718</v>
      </c>
      <c r="AJ34" s="6" cm="1">
        <f t="array" ref="AJ34">INDEX(AJ1:AJ26,MAX(_xlfn._xlws.FILTER(ROW(AJ1:AJ26),AJ1:AJ26&lt;&gt;"")))</f>
        <v>398</v>
      </c>
      <c r="AN34" s="6" t="str" cm="1">
        <f t="array" ref="AN34">IF(INDEX(AP:AP,MAX(_xlfn._xlws.FILTER(ROW(AP:AP),AP:AP&lt;&gt;"")))&gt;INDEX(AV:AV,MAX(_xlfn._xlws.FILTER(ROW(AV:AV),AV:AV&lt;&gt;""))),AP1,AV1)</f>
        <v>Boardposition</v>
      </c>
      <c r="AO34">
        <f t="shared" ref="AO34" si="181">SUM(AO2:AO26)</f>
        <v>218.4563364982605</v>
      </c>
      <c r="AP34" s="6" cm="1">
        <f t="array" ref="AP34">INDEX(AP1:AP26,MAX(_xlfn._xlws.FILTER(ROW(AP1:AP26),AP1:AP26&lt;&gt;"")))</f>
        <v>442</v>
      </c>
      <c r="AQ34" s="6">
        <f t="shared" ref="AQ34" si="182">IF(AN34="Kans",AV34-AP34,AP34-AV34)</f>
        <v>21</v>
      </c>
      <c r="AU34">
        <f t="shared" ref="AU34" si="183">SUM(AU2:AU26)</f>
        <v>430.28248572349548</v>
      </c>
      <c r="AV34" s="6" cm="1">
        <f t="array" ref="AV34">INDEX(AV1:AV26,MAX(_xlfn._xlws.FILTER(ROW(AV1:AV26),AV1:AV26&lt;&gt;"")))</f>
        <v>421</v>
      </c>
      <c r="AZ34" s="6" t="str" cm="1">
        <f t="array" ref="AZ34">IF(INDEX(BB:BB,MAX(_xlfn._xlws.FILTER(ROW(BB:BB),BB:BB&lt;&gt;"")))&gt;INDEX(BH:BH,MAX(_xlfn._xlws.FILTER(ROW(BH:BH),BH:BH&lt;&gt;""))),BB1,BH1)</f>
        <v>Greedy</v>
      </c>
      <c r="BA34">
        <f t="shared" ref="BA34" si="184">SUM(BA2:BA26)</f>
        <v>431.38750696182257</v>
      </c>
      <c r="BB34" s="6" cm="1">
        <f t="array" ref="BB34">INDEX(BB1:BB26,MAX(_xlfn._xlws.FILTER(ROW(BB1:BB26),BB1:BB26&lt;&gt;"")))</f>
        <v>418</v>
      </c>
      <c r="BC34" s="6">
        <f t="shared" ref="BC34" si="185">IF(AZ34="Kans",BH34-BB34,BB34-BH34)</f>
        <v>-106</v>
      </c>
      <c r="BG34">
        <f t="shared" ref="BG34" si="186">SUM(BG2:BG26)</f>
        <v>174.49064254760742</v>
      </c>
      <c r="BH34" s="6" cm="1">
        <f t="array" ref="BH34">INDEX(BH1:BH26,MAX(_xlfn._xlws.FILTER(ROW(BH1:BH26),BH1:BH26&lt;&gt;"")))</f>
        <v>524</v>
      </c>
      <c r="BL34" s="6" t="str" cm="1">
        <f t="array" ref="BL34">IF(INDEX(BN:BN,MAX(_xlfn._xlws.FILTER(ROW(BN:BN),BN:BN&lt;&gt;"")))&gt;INDEX(BT:BT,MAX(_xlfn._xlws.FILTER(ROW(BT:BT),BT:BT&lt;&gt;""))),BN1,BT1)</f>
        <v>Boardposition</v>
      </c>
      <c r="BM34">
        <f t="shared" ref="BM34" si="187">SUM(BM2:BM26)</f>
        <v>375.31704020500183</v>
      </c>
      <c r="BN34" s="6" cm="1">
        <f t="array" ref="BN34">INDEX(BN1:BN26,MAX(_xlfn._xlws.FILTER(ROW(BN1:BN26),BN1:BN26&lt;&gt;"")))</f>
        <v>503</v>
      </c>
      <c r="BO34" s="6">
        <f t="shared" ref="BO34" si="188">IF(BL34="Kans",BT34-BN34,BN34-BT34)</f>
        <v>99</v>
      </c>
      <c r="BS34">
        <f t="shared" ref="BS34" si="189">SUM(BS2:BS26)</f>
        <v>271.12375974655151</v>
      </c>
      <c r="BT34" s="6" cm="1">
        <f t="array" ref="BT34">INDEX(BT1:BT26,MAX(_xlfn._xlws.FILTER(ROW(BT1:BT26),BT1:BT26&lt;&gt;"")))</f>
        <v>404</v>
      </c>
      <c r="BX34" s="6" t="str" cm="1">
        <f t="array" ref="BX34">IF(INDEX(BZ:BZ,MAX(_xlfn._xlws.FILTER(ROW(BZ:BZ),BZ:BZ&lt;&gt;"")))&gt;INDEX(CF:CF,MAX(_xlfn._xlws.FILTER(ROW(CF:CF),CF:CF&lt;&gt;""))),BZ1,CF1)</f>
        <v>Boardposition</v>
      </c>
      <c r="BY34">
        <f t="shared" ref="BY34" si="190">SUM(BY2:BY26)</f>
        <v>400.13719415664673</v>
      </c>
      <c r="BZ34" s="6" cm="1">
        <f t="array" ref="BZ34">INDEX(BZ1:BZ26,MAX(_xlfn._xlws.FILTER(ROW(BZ1:BZ26),BZ1:BZ26&lt;&gt;"")))</f>
        <v>529</v>
      </c>
      <c r="CA34" s="6">
        <f t="shared" ref="CA34" si="191">IF(BX34="Kans",CF34-BZ34,BZ34-CF34)</f>
        <v>125</v>
      </c>
      <c r="CE34">
        <f t="shared" ref="CE34" si="192">SUM(CE2:CE26)</f>
        <v>251.80381464958191</v>
      </c>
      <c r="CF34" s="6" cm="1">
        <f t="array" ref="CF34">INDEX(CF1:CF26,MAX(_xlfn._xlws.FILTER(ROW(CF1:CF26),CF1:CF26&lt;&gt;"")))</f>
        <v>404</v>
      </c>
      <c r="CJ34" s="6" t="str" cm="1">
        <f t="array" ref="CJ34">IF(INDEX(CL:CL,MAX(_xlfn._xlws.FILTER(ROW(CL:CL),CL:CL&lt;&gt;"")))&gt;INDEX(CR:CR,MAX(_xlfn._xlws.FILTER(ROW(CR:CR),CR:CR&lt;&gt;""))),CL1,CR1)</f>
        <v>Greedy</v>
      </c>
      <c r="CK34">
        <f t="shared" ref="CK34" si="193">SUM(CK2:CK26)</f>
        <v>229.28445720672607</v>
      </c>
      <c r="CL34" s="6" cm="1">
        <f t="array" ref="CL34">INDEX(CL1:CL26,MAX(_xlfn._xlws.FILTER(ROW(CL1:CL26),CL1:CL26&lt;&gt;"")))</f>
        <v>437</v>
      </c>
      <c r="CM34" s="6">
        <f t="shared" ref="CM34" si="194">IF(CJ34="Kans",CR34-CL34,CL34-CR34)</f>
        <v>-17</v>
      </c>
      <c r="CQ34">
        <f t="shared" ref="CQ34" si="195">SUM(CQ2:CQ26)</f>
        <v>371.83377385139465</v>
      </c>
      <c r="CR34" s="6" cm="1">
        <f t="array" ref="CR34">INDEX(CR1:CR26,MAX(_xlfn._xlws.FILTER(ROW(CR1:CR26),CR1:CR26&lt;&gt;"")))</f>
        <v>454</v>
      </c>
      <c r="CV34" s="6" t="str" cm="1">
        <f t="array" ref="CV34">IF(INDEX(CX:CX,MAX(_xlfn._xlws.FILTER(ROW(CX:CX),CX:CX&lt;&gt;"")))&gt;INDEX(DD:DD,MAX(_xlfn._xlws.FILTER(ROW(DD:DD),DD:DD&lt;&gt;""))),CX1,DD1)</f>
        <v>Boardposition</v>
      </c>
      <c r="CW34">
        <f t="shared" ref="CW34" si="196">SUM(CW2:CW26)</f>
        <v>310.45035862922668</v>
      </c>
      <c r="CX34" s="6" cm="1">
        <f t="array" ref="CX34">INDEX(CX1:CX26,MAX(_xlfn._xlws.FILTER(ROW(CX1:CX26),CX1:CX26&lt;&gt;"")))</f>
        <v>496</v>
      </c>
      <c r="CY34" s="6">
        <f t="shared" ref="CY34" si="197">IF(CV34="Kans",DD34-CX34,CX34-DD34)</f>
        <v>140</v>
      </c>
      <c r="DC34">
        <f t="shared" ref="DC34" si="198">SUM(DC2:DC26)</f>
        <v>278.18575119972229</v>
      </c>
      <c r="DD34" s="6" cm="1">
        <f t="array" ref="DD34">INDEX(DD1:DD26,MAX(_xlfn._xlws.FILTER(ROW(DD1:DD26),DD1:DD26&lt;&gt;"")))</f>
        <v>356</v>
      </c>
      <c r="DH34" s="6" t="s">
        <v>4336</v>
      </c>
      <c r="DI34">
        <f t="shared" ref="DI34" si="199">SUM(DI2:DI26)</f>
        <v>196.22511506080627</v>
      </c>
      <c r="DJ34" s="6" cm="1">
        <f t="array" ref="DJ34">INDEX(DJ1:DJ26,MAX(_xlfn._xlws.FILTER(ROW(DJ1:DJ26),DJ1:DJ26&lt;&gt;"")))</f>
        <v>407</v>
      </c>
      <c r="DK34" s="6">
        <f t="shared" ref="DK34" si="200">IF(DH34="Kans",DP34-DJ34,DJ34-DP34)</f>
        <v>0</v>
      </c>
      <c r="DO34">
        <f t="shared" ref="DO34" si="201">SUM(DO2:DO26)</f>
        <v>199.46832680702209</v>
      </c>
      <c r="DP34" s="6" cm="1">
        <f t="array" ref="DP34">INDEX(DP1:DP26,MAX(_xlfn._xlws.FILTER(ROW(DP1:DP26),DP1:DP26&lt;&gt;"")))</f>
        <v>407</v>
      </c>
      <c r="DT34" s="6" t="str" cm="1">
        <f t="array" ref="DT34">IF(INDEX(DV:DV,MAX(_xlfn._xlws.FILTER(ROW(DV:DV),DV:DV&lt;&gt;"")))&gt;INDEX(EB:EB,MAX(_xlfn._xlws.FILTER(ROW(EB:EB),EB:EB&lt;&gt;""))),DV1,EB1)</f>
        <v>Boardposition</v>
      </c>
      <c r="DU34">
        <f t="shared" ref="DU34" si="202">SUM(DU2:DU26)</f>
        <v>598.61471843719482</v>
      </c>
      <c r="DV34" s="6" cm="1">
        <f t="array" ref="DV34">INDEX(DV1:DV26,MAX(_xlfn._xlws.FILTER(ROW(DV1:DV26),DV1:DV26&lt;&gt;"")))</f>
        <v>538</v>
      </c>
      <c r="DW34" s="6">
        <f t="shared" ref="DW34" si="203">IF(DT34="Kans",EB34-DV34,DV34-EB34)</f>
        <v>178</v>
      </c>
      <c r="EA34">
        <f t="shared" ref="EA34" si="204">SUM(EA2:EA26)</f>
        <v>131.39605140686035</v>
      </c>
      <c r="EB34" s="6" cm="1">
        <f t="array" ref="EB34">INDEX(EB1:EB26,MAX(_xlfn._xlws.FILTER(ROW(EB1:EB26),EB1:EB26&lt;&gt;"")))</f>
        <v>360</v>
      </c>
      <c r="EF34" s="6" t="str" cm="1">
        <f t="array" ref="EF34">IF(INDEX(EH:EH,MAX(_xlfn._xlws.FILTER(ROW(EH:EH),EH:EH&lt;&gt;"")))&gt;INDEX(EN:EN,MAX(_xlfn._xlws.FILTER(ROW(EN:EN),EN:EN&lt;&gt;""))),EH1,EN1)</f>
        <v>Greedy</v>
      </c>
      <c r="EG34">
        <f t="shared" ref="EG34" si="205">SUM(EG2:EG26)</f>
        <v>120.47432684898376</v>
      </c>
      <c r="EH34" s="6" cm="1">
        <f t="array" ref="EH34">INDEX(EH1:EH26,MAX(_xlfn._xlws.FILTER(ROW(EH1:EH26),EH1:EH26&lt;&gt;"")))</f>
        <v>323</v>
      </c>
      <c r="EI34" s="6">
        <f t="shared" ref="EI34" si="206">IF(EF34="Kans",EN34-EH34,EH34-EN34)</f>
        <v>-167</v>
      </c>
      <c r="EM34">
        <f t="shared" ref="EM34" si="207">SUM(EM2:EM26)</f>
        <v>355.39772534370422</v>
      </c>
      <c r="EN34" s="6" cm="1">
        <f t="array" ref="EN34">INDEX(EN1:EN26,MAX(_xlfn._xlws.FILTER(ROW(EN1:EN26),EN1:EN26&lt;&gt;"")))</f>
        <v>490</v>
      </c>
      <c r="ER34" s="6" t="str" cm="1">
        <f t="array" ref="ER34">IF(INDEX(ET:ET,MAX(_xlfn._xlws.FILTER(ROW(ET:ET),ET:ET&lt;&gt;"")))&gt;INDEX(EZ:EZ,MAX(_xlfn._xlws.FILTER(ROW(EZ:EZ),EZ:EZ&lt;&gt;""))),ET1,EZ1)</f>
        <v>Boardposition</v>
      </c>
      <c r="ES34">
        <f t="shared" ref="ES34" si="208">SUM(ES2:ES26)</f>
        <v>369.72315597534185</v>
      </c>
      <c r="ET34" s="6" cm="1">
        <f t="array" ref="ET34">INDEX(ET1:ET26,MAX(_xlfn._xlws.FILTER(ROW(ET1:ET26),ET1:ET26&lt;&gt;"")))</f>
        <v>396</v>
      </c>
      <c r="EU34" s="6">
        <f t="shared" ref="EU34" si="209">IF(ER34="Kans",EZ34-ET34,ET34-EZ34)</f>
        <v>87</v>
      </c>
      <c r="EY34">
        <f t="shared" ref="EY34" si="210">SUM(EY2:EY26)</f>
        <v>502.24794054031372</v>
      </c>
      <c r="EZ34" s="6" cm="1">
        <f t="array" ref="EZ34">INDEX(EZ1:EZ26,MAX(_xlfn._xlws.FILTER(ROW(EZ1:EZ26),EZ1:EZ26&lt;&gt;"")))</f>
        <v>309</v>
      </c>
      <c r="FD34" s="6" t="str" cm="1">
        <f t="array" ref="FD34">IF(INDEX(FF:FF,MAX(_xlfn._xlws.FILTER(ROW(FF:FF),FF:FF&lt;&gt;"")))&gt;INDEX(FL:FL,MAX(_xlfn._xlws.FILTER(ROW(FL:FL),FL:FL&lt;&gt;""))),FF1,FL1)</f>
        <v>Boardposition</v>
      </c>
      <c r="FE34">
        <f t="shared" ref="FE34" si="211">SUM(FE2:FE26)</f>
        <v>290.31908130645752</v>
      </c>
      <c r="FF34" s="6" cm="1">
        <f t="array" ref="FF34">INDEX(FF1:FF26,MAX(_xlfn._xlws.FILTER(ROW(FF1:FF26),FF1:FF26&lt;&gt;"")))</f>
        <v>464</v>
      </c>
      <c r="FG34" s="6">
        <f t="shared" ref="FG34" si="212">IF(FD34="Kans",FL34-FF34,FF34-FL34)</f>
        <v>15</v>
      </c>
      <c r="FK34">
        <f t="shared" ref="FK34" si="213">SUM(FK2:FK26)</f>
        <v>191.80292201042175</v>
      </c>
      <c r="FL34" s="6" cm="1">
        <f t="array" ref="FL34">INDEX(FL1:FL26,MAX(_xlfn._xlws.FILTER(ROW(FL1:FL26),FL1:FL26&lt;&gt;"")))</f>
        <v>449</v>
      </c>
      <c r="FP34" s="6" t="str" cm="1">
        <f t="array" ref="FP34">IF(INDEX(FR:FR,MAX(_xlfn._xlws.FILTER(ROW(FR:FR),FR:FR&lt;&gt;"")))&gt;INDEX(FX:FX,MAX(_xlfn._xlws.FILTER(ROW(FX:FX),FX:FX&lt;&gt;""))),FR1,FX1)</f>
        <v>Greedy</v>
      </c>
      <c r="FQ34">
        <f t="shared" ref="FQ34" si="214">SUM(FQ2:FQ26)</f>
        <v>163.77954506874084</v>
      </c>
      <c r="FR34" s="6" cm="1">
        <f t="array" ref="FR34">INDEX(FR1:FR26,MAX(_xlfn._xlws.FILTER(ROW(FR1:FR26),FR1:FR26&lt;&gt;"")))</f>
        <v>458</v>
      </c>
      <c r="FS34" s="6">
        <f t="shared" ref="FS34" si="215">IF(FP34="Kans",FX34-FR34,FR34-FX34)</f>
        <v>-44</v>
      </c>
      <c r="FW34">
        <f t="shared" ref="FW34" si="216">SUM(FW2:FW26)</f>
        <v>329.77329778671265</v>
      </c>
      <c r="FX34" s="6" cm="1">
        <f t="array" ref="FX34">INDEX(FX1:FX26,MAX(_xlfn._xlws.FILTER(ROW(FX1:FX26),FX1:FX26&lt;&gt;"")))</f>
        <v>502</v>
      </c>
      <c r="GB34" s="6" t="str" cm="1">
        <f t="array" ref="GB34">IF(INDEX(GD:GD,MAX(_xlfn._xlws.FILTER(ROW(GD:GD),GD:GD&lt;&gt;"")))&gt;INDEX(GJ:GJ,MAX(_xlfn._xlws.FILTER(ROW(GJ:GJ),GJ:GJ&lt;&gt;""))),GD1,GJ1)</f>
        <v>Boardposition</v>
      </c>
      <c r="GC34">
        <f t="shared" ref="GC34" si="217">SUM(GC2:GC26)</f>
        <v>401.11685848236084</v>
      </c>
      <c r="GD34" s="6" cm="1">
        <f t="array" ref="GD34">INDEX(GD1:GD26,MAX(_xlfn._xlws.FILTER(ROW(GD1:GD26),GD1:GD26&lt;&gt;"")))</f>
        <v>421</v>
      </c>
      <c r="GE34" s="6">
        <f t="shared" ref="GE34" si="218">IF(GB34="Kans",GJ34-GD34,GD34-GJ34)</f>
        <v>13</v>
      </c>
      <c r="GI34">
        <f t="shared" ref="GI34" si="219">SUM(GI2:GI26)</f>
        <v>521.83431434631336</v>
      </c>
      <c r="GJ34" s="6" cm="1">
        <f t="array" ref="GJ34">INDEX(GJ1:GJ26,MAX(_xlfn._xlws.FILTER(ROW(GJ1:GJ26),GJ1:GJ26&lt;&gt;"")))</f>
        <v>408</v>
      </c>
      <c r="GN34" s="6" t="str" cm="1">
        <f t="array" ref="GN34">IF(INDEX(GP:GP,MAX(_xlfn._xlws.FILTER(ROW(GP:GP),GP:GP&lt;&gt;"")))&gt;INDEX(GV:GV,MAX(_xlfn._xlws.FILTER(ROW(GV:GV),GV:GV&lt;&gt;""))),GP1,GV1)</f>
        <v>Greedy</v>
      </c>
      <c r="GO34">
        <f t="shared" ref="GO34" si="220">SUM(GO2:GO26)</f>
        <v>279.12682890892029</v>
      </c>
      <c r="GP34" s="6" cm="1">
        <f t="array" ref="GP34">INDEX(GP1:GP26,MAX(_xlfn._xlws.FILTER(ROW(GP1:GP26),GP1:GP26&lt;&gt;"")))</f>
        <v>455</v>
      </c>
      <c r="GQ34" s="6">
        <f t="shared" ref="GQ34" si="221">IF(GN34="Kans",GV34-GP34,GP34-GV34)</f>
        <v>-55</v>
      </c>
      <c r="GU34">
        <f t="shared" ref="GU34" si="222">SUM(GU2:GU26)</f>
        <v>475.31636023521423</v>
      </c>
      <c r="GV34" s="6" cm="1">
        <f t="array" ref="GV34">INDEX(GV1:GV26,MAX(_xlfn._xlws.FILTER(ROW(GV1:GV26),GV1:GV26&lt;&gt;"")))</f>
        <v>510</v>
      </c>
      <c r="GZ34" s="6" t="str" cm="1">
        <f t="array" ref="GZ34">IF(INDEX(HB:HB,MAX(_xlfn._xlws.FILTER(ROW(HB:HB),HB:HB&lt;&gt;"")))&gt;INDEX(HH:HH,MAX(_xlfn._xlws.FILTER(ROW(HH:HH),HH:HH&lt;&gt;""))),HB1,HH1)</f>
        <v>Boardposition</v>
      </c>
      <c r="HA34">
        <f t="shared" ref="HA34" si="223">SUM(HA2:HA26)</f>
        <v>254.94588875770563</v>
      </c>
      <c r="HB34" s="6" cm="1">
        <f t="array" ref="HB34">INDEX(HB1:HB26,MAX(_xlfn._xlws.FILTER(ROW(HB1:HB26),HB1:HB26&lt;&gt;"")))</f>
        <v>517</v>
      </c>
      <c r="HC34" s="6">
        <f t="shared" ref="HC34" si="224">IF(GZ34="Kans",HH34-HB34,HB34-HH34)</f>
        <v>168</v>
      </c>
      <c r="HG34">
        <f t="shared" ref="HG34" si="225">SUM(HG2:HG26)</f>
        <v>206.27742004394531</v>
      </c>
      <c r="HH34" s="6" cm="1">
        <f t="array" ref="HH34">INDEX(HH1:HH26,MAX(_xlfn._xlws.FILTER(ROW(HH1:HH26),HH1:HH26&lt;&gt;"")))</f>
        <v>349</v>
      </c>
      <c r="HL34" s="6" t="str" cm="1">
        <f t="array" ref="HL34">IF(INDEX(HN:HN,MAX(_xlfn._xlws.FILTER(ROW(HN:HN),HN:HN&lt;&gt;"")))&gt;INDEX(HT:HT,MAX(_xlfn._xlws.FILTER(ROW(HT:HT),HT:HT&lt;&gt;""))),HN1,HT1)</f>
        <v>Boardposition</v>
      </c>
      <c r="HM34">
        <f t="shared" ref="HM34" si="226">SUM(HM2:HM26)</f>
        <v>182.06252145767212</v>
      </c>
      <c r="HN34" s="6" cm="1">
        <f t="array" ref="HN34">INDEX(HN1:HN26,MAX(_xlfn._xlws.FILTER(ROW(HN1:HN26),HN1:HN26&lt;&gt;"")))</f>
        <v>430</v>
      </c>
      <c r="HO34" s="6">
        <f t="shared" ref="HO34" si="227">IF(HL34="Kans",HT34-HN34,HN34-HT34)</f>
        <v>72</v>
      </c>
      <c r="HS34">
        <f t="shared" ref="HS34" si="228">SUM(HS2:HS26)</f>
        <v>324.34595060348511</v>
      </c>
      <c r="HT34" s="6" cm="1">
        <f t="array" ref="HT34">INDEX(HT1:HT26,MAX(_xlfn._xlws.FILTER(ROW(HT1:HT26),HT1:HT26&lt;&gt;"")))</f>
        <v>358</v>
      </c>
      <c r="HX34" s="6" t="str" cm="1">
        <f t="array" ref="HX34">IF(INDEX(HZ:HZ,MAX(_xlfn._xlws.FILTER(ROW(HZ:HZ),HZ:HZ&lt;&gt;"")))&gt;INDEX(IF:IF,MAX(_xlfn._xlws.FILTER(ROW(IF:IF),IF:IF&lt;&gt;""))),HZ1,IF1)</f>
        <v>Greedy</v>
      </c>
      <c r="HY34">
        <f t="shared" ref="HY34" si="229">SUM(HY2:HY26)</f>
        <v>491.72227597236633</v>
      </c>
      <c r="HZ34" s="6" cm="1">
        <f t="array" ref="HZ34">INDEX(HZ1:HZ26,MAX(_xlfn._xlws.FILTER(ROW(HZ1:HZ26),HZ1:HZ26&lt;&gt;"")))</f>
        <v>431</v>
      </c>
      <c r="IA34" s="6">
        <f t="shared" ref="IA34" si="230">IF(HX34="Kans",IF34-HZ34,HZ34-IF34)</f>
        <v>-36</v>
      </c>
      <c r="IE34">
        <f t="shared" ref="IE34" si="231">SUM(IE2:IE26)</f>
        <v>255.08633923530579</v>
      </c>
      <c r="IF34" s="6" cm="1">
        <f t="array" ref="IF34">INDEX(IF1:IF26,MAX(_xlfn._xlws.FILTER(ROW(IF1:IF26),IF1:IF26&lt;&gt;"")))</f>
        <v>467</v>
      </c>
      <c r="IJ34" s="6" t="str" cm="1">
        <f t="array" ref="IJ34">IF(INDEX(IL:IL,MAX(_xlfn._xlws.FILTER(ROW(IL:IL),IL:IL&lt;&gt;"")))&gt;INDEX(IR:IR,MAX(_xlfn._xlws.FILTER(ROW(IR:IR),IR:IR&lt;&gt;""))),IL1,IR1)</f>
        <v>Boardposition</v>
      </c>
      <c r="IK34">
        <f t="shared" ref="IK34" si="232">SUM(IK2:IK26)</f>
        <v>470.33880829811091</v>
      </c>
      <c r="IL34" s="6" cm="1">
        <f t="array" ref="IL34">INDEX(IL1:IL26,MAX(_xlfn._xlws.FILTER(ROW(IL1:IL26),IL1:IL26&lt;&gt;"")))</f>
        <v>555</v>
      </c>
      <c r="IM34" s="6">
        <f t="shared" ref="IM34" si="233">IF(IJ34="Kans",IR34-IL34,IL34-IR34)</f>
        <v>175</v>
      </c>
      <c r="IQ34">
        <f t="shared" ref="IQ34" si="234">SUM(IQ2:IQ26)</f>
        <v>240.4198215007782</v>
      </c>
      <c r="IR34" s="6" cm="1">
        <f t="array" ref="IR34">INDEX(IR1:IR26,MAX(_xlfn._xlws.FILTER(ROW(IR1:IR26),IR1:IR26&lt;&gt;"")))</f>
        <v>380</v>
      </c>
      <c r="IV34" s="6" t="str" cm="1">
        <f t="array" ref="IV34">IF(INDEX(IX:IX,MAX(_xlfn._xlws.FILTER(ROW(IX:IX),IX:IX&lt;&gt;"")))&gt;INDEX(JD:JD,MAX(_xlfn._xlws.FILTER(ROW(JD:JD),JD:JD&lt;&gt;""))),IX1,JD1)</f>
        <v>Greedy</v>
      </c>
      <c r="IW34">
        <f t="shared" ref="IW34" si="235">SUM(IW2:IW26)</f>
        <v>257.8706374168396</v>
      </c>
      <c r="IX34" s="6" cm="1">
        <f t="array" ref="IX34">INDEX(IX1:IX26,MAX(_xlfn._xlws.FILTER(ROW(IX1:IX26),IX1:IX26&lt;&gt;"")))</f>
        <v>376</v>
      </c>
      <c r="IY34" s="6">
        <f t="shared" ref="IY34" si="236">IF(IV34="Kans",JD34-IX34,IX34-JD34)</f>
        <v>-56</v>
      </c>
      <c r="JC34">
        <f t="shared" ref="JC34" si="237">SUM(JC2:JC26)</f>
        <v>400.21507906913757</v>
      </c>
      <c r="JD34" s="6" cm="1">
        <f t="array" ref="JD34">INDEX(JD1:JD26,MAX(_xlfn._xlws.FILTER(ROW(JD1:JD26),JD1:JD26&lt;&gt;"")))</f>
        <v>432</v>
      </c>
      <c r="JH34" s="6" t="str" cm="1">
        <f t="array" ref="JH34">IF(INDEX(JJ:JJ,MAX(_xlfn._xlws.FILTER(ROW(JJ:JJ),JJ:JJ&lt;&gt;"")))&gt;INDEX(JP:JP,MAX(_xlfn._xlws.FILTER(ROW(JP:JP),JP:JP&lt;&gt;""))),JJ1,JP1)</f>
        <v>Boardposition</v>
      </c>
      <c r="JI34">
        <f t="shared" ref="JI34" si="238">SUM(JI2:JI26)</f>
        <v>184.09663009643555</v>
      </c>
      <c r="JJ34" s="6" cm="1">
        <f t="array" ref="JJ34">INDEX(JJ1:JJ26,MAX(_xlfn._xlws.FILTER(ROW(JJ1:JJ26),JJ1:JJ26&lt;&gt;"")))</f>
        <v>380</v>
      </c>
      <c r="JK34" s="6">
        <f t="shared" ref="JK34" si="239">IF(JH34="Kans",JP34-JJ34,JJ34-JP34)</f>
        <v>18</v>
      </c>
      <c r="JO34">
        <f t="shared" ref="JO34" si="240">SUM(JO2:JO26)</f>
        <v>165.46685671806335</v>
      </c>
      <c r="JP34" s="6" cm="1">
        <f t="array" ref="JP34">INDEX(JP1:JP26,MAX(_xlfn._xlws.FILTER(ROW(JP1:JP26),JP1:JP26&lt;&gt;"")))</f>
        <v>362</v>
      </c>
      <c r="JT34" s="6" t="str" cm="1">
        <f t="array" ref="JT34">IF(INDEX(JV:JV,MAX(_xlfn._xlws.FILTER(ROW(JV:JV),JV:JV&lt;&gt;"")))&gt;INDEX(KB:KB,MAX(_xlfn._xlws.FILTER(ROW(KB:KB),KB:KB&lt;&gt;""))),JV1,KB1)</f>
        <v>Greedy</v>
      </c>
      <c r="JU34">
        <f t="shared" ref="JU34" si="241">SUM(JU2:JU26)</f>
        <v>261.05367088317871</v>
      </c>
      <c r="JV34" s="6" cm="1">
        <f t="array" ref="JV34">INDEX(JV1:JV26,MAX(_xlfn._xlws.FILTER(ROW(JV1:JV26),JV1:JV26&lt;&gt;"")))</f>
        <v>407</v>
      </c>
      <c r="JW34" s="6">
        <f t="shared" ref="JW34" si="242">IF(JT34="Kans",KB34-JV34,JV34-KB34)</f>
        <v>-6</v>
      </c>
      <c r="KA34">
        <f t="shared" ref="KA34" si="243">SUM(KA2:KA26)</f>
        <v>378.35536766052246</v>
      </c>
      <c r="KB34" s="6" cm="1">
        <f t="array" ref="KB34">INDEX(KB1:KB26,MAX(_xlfn._xlws.FILTER(ROW(KB1:KB26),KB1:KB26&lt;&gt;"")))</f>
        <v>413</v>
      </c>
      <c r="KF34" s="6" t="str" cm="1">
        <f t="array" ref="KF34">IF(INDEX(KH:KH,MAX(_xlfn._xlws.FILTER(ROW(KH:KH),KH:KH&lt;&gt;"")))&gt;INDEX(KN:KN,MAX(_xlfn._xlws.FILTER(ROW(KN:KN),KN:KN&lt;&gt;""))),KH1,KN1)</f>
        <v>Greedy</v>
      </c>
      <c r="KG34">
        <f t="shared" ref="KG34" si="244">SUM(KG2:KG26)</f>
        <v>180.58566236495972</v>
      </c>
      <c r="KH34" s="6" cm="1">
        <f t="array" ref="KH34">INDEX(KH1:KH26,MAX(_xlfn._xlws.FILTER(ROW(KH1:KH26),KH1:KH26&lt;&gt;"")))</f>
        <v>340</v>
      </c>
      <c r="KI34" s="6">
        <f t="shared" ref="KI34" si="245">IF(KF34="Kans",KN34-KH34,KH34-KN34)</f>
        <v>-224</v>
      </c>
      <c r="KM34">
        <f t="shared" ref="KM34" si="246">SUM(KM2:KM26)</f>
        <v>297.24906611442572</v>
      </c>
      <c r="KN34" s="6" cm="1">
        <f t="array" ref="KN34">INDEX(KN1:KN26,MAX(_xlfn._xlws.FILTER(ROW(KN1:KN26),KN1:KN26&lt;&gt;"")))</f>
        <v>564</v>
      </c>
      <c r="KR34" s="6" t="str" cm="1">
        <f t="array" ref="KR34">IF(INDEX(KT:KT,MAX(_xlfn._xlws.FILTER(ROW(KT:KT),KT:KT&lt;&gt;"")))&gt;INDEX(KZ:KZ,MAX(_xlfn._xlws.FILTER(ROW(KZ:KZ),KZ:KZ&lt;&gt;""))),KT1,KZ1)</f>
        <v>Boardposition</v>
      </c>
      <c r="KS34">
        <f t="shared" ref="KS34" si="247">SUM(KS2:KS26)</f>
        <v>505.07481336593622</v>
      </c>
      <c r="KT34" s="6" cm="1">
        <f t="array" ref="KT34">INDEX(KT1:KT26,MAX(_xlfn._xlws.FILTER(ROW(KT1:KT26),KT1:KT26&lt;&gt;"")))</f>
        <v>521</v>
      </c>
      <c r="KU34" s="6">
        <f t="shared" ref="KU34" si="248">IF(KR34="Kans",KZ34-KT34,KT34-KZ34)</f>
        <v>142</v>
      </c>
      <c r="KY34">
        <f t="shared" ref="KY34" si="249">SUM(KY2:KY26)</f>
        <v>197.51520538330078</v>
      </c>
      <c r="KZ34" s="6" cm="1">
        <f t="array" ref="KZ34">INDEX(KZ1:KZ26,MAX(_xlfn._xlws.FILTER(ROW(KZ1:KZ26),KZ1:KZ26&lt;&gt;"")))</f>
        <v>379</v>
      </c>
      <c r="LD34" s="6" t="str" cm="1">
        <f t="array" ref="LD34">IF(INDEX(LF:LF,MAX(_xlfn._xlws.FILTER(ROW(LF:LF),LF:LF&lt;&gt;"")))&gt;INDEX(LL:LL,MAX(_xlfn._xlws.FILTER(ROW(LL:LL),LL:LL&lt;&gt;""))),LF1,LL1)</f>
        <v>Greedy</v>
      </c>
      <c r="LE34">
        <f t="shared" ref="LE34" si="250">SUM(LE2:LE26)</f>
        <v>163.61780786514282</v>
      </c>
      <c r="LF34" s="6" cm="1">
        <f t="array" ref="LF34">INDEX(LF1:LF26,MAX(_xlfn._xlws.FILTER(ROW(LF1:LF26),LF1:LF26&lt;&gt;"")))</f>
        <v>412</v>
      </c>
      <c r="LG34" s="6">
        <f t="shared" ref="LG34" si="251">IF(LD34="Kans",LL34-LF34,LF34-LL34)</f>
        <v>-104</v>
      </c>
      <c r="LK34">
        <f t="shared" ref="LK34" si="252">SUM(LK2:LK26)</f>
        <v>283.70527935028076</v>
      </c>
      <c r="LL34" s="6" cm="1">
        <f t="array" ref="LL34">INDEX(LL1:LL26,MAX(_xlfn._xlws.FILTER(ROW(LL1:LL26),LL1:LL26&lt;&gt;"")))</f>
        <v>516</v>
      </c>
      <c r="LP34" s="6" t="str" cm="1">
        <f t="array" ref="LP34">IF(INDEX(LR:LR,MAX(_xlfn._xlws.FILTER(ROW(LR:LR),LR:LR&lt;&gt;"")))&gt;INDEX(LX:LX,MAX(_xlfn._xlws.FILTER(ROW(LX:LX),LX:LX&lt;&gt;""))),LR1,LX1)</f>
        <v>Boardposition</v>
      </c>
      <c r="LQ34">
        <f t="shared" ref="LQ34" si="253">SUM(LQ2:LQ26)</f>
        <v>359.61876559257507</v>
      </c>
      <c r="LR34" s="6" cm="1">
        <f t="array" ref="LR34">INDEX(LR1:LR26,MAX(_xlfn._xlws.FILTER(ROW(LR1:LR26),LR1:LR26&lt;&gt;"")))</f>
        <v>485</v>
      </c>
      <c r="LS34" s="6">
        <f t="shared" ref="LS34" si="254">IF(LP34="Kans",LX34-LR34,LR34-LX34)</f>
        <v>46</v>
      </c>
      <c r="LW34">
        <f t="shared" ref="LW34" si="255">SUM(LW2:LW26)</f>
        <v>170.87330317497253</v>
      </c>
      <c r="LX34" s="6" cm="1">
        <f t="array" ref="LX34">INDEX(LX1:LX26,MAX(_xlfn._xlws.FILTER(ROW(LX1:LX26),LX1:LX26&lt;&gt;"")))</f>
        <v>439</v>
      </c>
      <c r="MB34" s="6" t="str" cm="1">
        <f t="array" ref="MB34">IF(INDEX(MD:MD,MAX(_xlfn._xlws.FILTER(ROW(MD:MD),MD:MD&lt;&gt;"")))&gt;INDEX(MJ:MJ,MAX(_xlfn._xlws.FILTER(ROW(MJ:MJ),MJ:MJ&lt;&gt;""))),MD1,MJ1)</f>
        <v>Greedy</v>
      </c>
      <c r="MC34">
        <f t="shared" ref="MC34" si="256">SUM(MC2:MC26)</f>
        <v>200.34255504608154</v>
      </c>
      <c r="MD34" s="6" cm="1">
        <f t="array" ref="MD34">INDEX(MD1:MD26,MAX(_xlfn._xlws.FILTER(ROW(MD1:MD26),MD1:MD26&lt;&gt;"")))</f>
        <v>437</v>
      </c>
      <c r="ME34" s="6">
        <f t="shared" ref="ME34" si="257">IF(MB34="Kans",MJ34-MD34,MD34-MJ34)</f>
        <v>-36</v>
      </c>
      <c r="MI34">
        <f t="shared" ref="MI34" si="258">SUM(MI2:MI26)</f>
        <v>657.44289302825928</v>
      </c>
      <c r="MJ34" s="6" cm="1">
        <f t="array" ref="MJ34">INDEX(MJ1:MJ26,MAX(_xlfn._xlws.FILTER(ROW(MJ1:MJ26),MJ1:MJ26&lt;&gt;"")))</f>
        <v>473</v>
      </c>
      <c r="MN34" s="6" t="str" cm="1">
        <f t="array" ref="MN34">IF(INDEX(MP:MP,MAX(_xlfn._xlws.FILTER(ROW(MP:MP),MP:MP&lt;&gt;"")))&gt;INDEX(MV:MV,MAX(_xlfn._xlws.FILTER(ROW(MV:MV),MV:MV&lt;&gt;""))),MP1,MV1)</f>
        <v>Greedy</v>
      </c>
      <c r="MO34">
        <f t="shared" ref="MO34" si="259">SUM(MO2:MO26)</f>
        <v>183.50779962539673</v>
      </c>
      <c r="MP34" s="6" cm="1">
        <f t="array" ref="MP34">INDEX(MP1:MP26,MAX(_xlfn._xlws.FILTER(ROW(MP1:MP26),MP1:MP26&lt;&gt;"")))</f>
        <v>375</v>
      </c>
      <c r="MQ34" s="6">
        <f t="shared" ref="MQ34" si="260">IF(MN34="Kans",MV34-MP34,MP34-MV34)</f>
        <v>-102</v>
      </c>
      <c r="MU34">
        <f t="shared" ref="MU34" si="261">SUM(MU2:MU26)</f>
        <v>526.21277022361755</v>
      </c>
      <c r="MV34" s="6" cm="1">
        <f t="array" ref="MV34">INDEX(MV1:MV26,MAX(_xlfn._xlws.FILTER(ROW(MV1:MV26),MV1:MV26&lt;&gt;"")))</f>
        <v>477</v>
      </c>
      <c r="MZ34" s="6" t="str" cm="1">
        <f t="array" ref="MZ34">IF(INDEX(NB:NB,MAX(_xlfn._xlws.FILTER(ROW(NB:NB),NB:NB&lt;&gt;"")))&gt;INDEX(NH:NH,MAX(_xlfn._xlws.FILTER(ROW(NH:NH),NH:NH&lt;&gt;""))),NB1,NH1)</f>
        <v>Greedy</v>
      </c>
      <c r="NA34">
        <f t="shared" ref="NA34" si="262">SUM(NA2:NA26)</f>
        <v>1235.6114280223849</v>
      </c>
      <c r="NB34" s="6" cm="1">
        <f t="array" ref="NB34">INDEX(NB1:NB26,MAX(_xlfn._xlws.FILTER(ROW(NB1:NB26),NB1:NB26&lt;&gt;"")))</f>
        <v>445</v>
      </c>
      <c r="NC34" s="6">
        <f t="shared" ref="NC34" si="263">IF(MZ34="Kans",NH34-NB34,NB34-NH34)</f>
        <v>-71</v>
      </c>
      <c r="NG34">
        <f t="shared" ref="NG34" si="264">SUM(NG2:NG26)</f>
        <v>171.16809272766113</v>
      </c>
      <c r="NH34" s="6" cm="1">
        <f t="array" ref="NH34">INDEX(NH1:NH26,MAX(_xlfn._xlws.FILTER(ROW(NH1:NH26),NH1:NH26&lt;&gt;"")))</f>
        <v>516</v>
      </c>
      <c r="NL34" s="6" t="str" cm="1">
        <f t="array" ref="NL34">IF(INDEX(NN:NN,MAX(_xlfn._xlws.FILTER(ROW(NN:NN),NN:NN&lt;&gt;"")))&gt;INDEX(NT:NT,MAX(_xlfn._xlws.FILTER(ROW(NT:NT),NT:NT&lt;&gt;""))),NN1,NT1)</f>
        <v>Greedy</v>
      </c>
      <c r="NM34">
        <f t="shared" ref="NM34" si="265">SUM(NM2:NM26)</f>
        <v>289.29594159126282</v>
      </c>
      <c r="NN34" s="6" cm="1">
        <f t="array" ref="NN34">INDEX(NN1:NN26,MAX(_xlfn._xlws.FILTER(ROW(NN1:NN26),NN1:NN26&lt;&gt;"")))</f>
        <v>388</v>
      </c>
      <c r="NO34" s="6">
        <f t="shared" ref="NO34" si="266">IF(NL34="Kans",NT34-NN34,NN34-NT34)</f>
        <v>-51</v>
      </c>
      <c r="NS34">
        <f t="shared" ref="NS34" si="267">SUM(NS2:NS26)</f>
        <v>207.65624165534973</v>
      </c>
      <c r="NT34" s="6" cm="1">
        <f t="array" ref="NT34">INDEX(NT1:NT26,MAX(_xlfn._xlws.FILTER(ROW(NT1:NT26),NT1:NT26&lt;&gt;"")))</f>
        <v>439</v>
      </c>
      <c r="NX34" s="6" t="str" cm="1">
        <f t="array" ref="NX34">IF(INDEX(NZ:NZ,MAX(_xlfn._xlws.FILTER(ROW(NZ:NZ),NZ:NZ&lt;&gt;"")))&gt;INDEX(OF:OF,MAX(_xlfn._xlws.FILTER(ROW(OF:OF),OF:OF&lt;&gt;""))),NZ1,OF1)</f>
        <v>Greedy</v>
      </c>
      <c r="NY34">
        <f t="shared" ref="NY34" si="268">SUM(NY2:NY26)</f>
        <v>342.67896771430969</v>
      </c>
      <c r="NZ34" s="6" cm="1">
        <f t="array" ref="NZ34">INDEX(NZ1:NZ26,MAX(_xlfn._xlws.FILTER(ROW(NZ1:NZ26),NZ1:NZ26&lt;&gt;"")))</f>
        <v>348</v>
      </c>
      <c r="OA34" s="6">
        <f t="shared" ref="OA34" si="269">IF(NX34="Kans",OF34-NZ34,NZ34-OF34)</f>
        <v>-124</v>
      </c>
      <c r="OE34">
        <f t="shared" ref="OE34" si="270">SUM(OE2:OE26)</f>
        <v>175.72382044792175</v>
      </c>
      <c r="OF34" s="6" cm="1">
        <f t="array" ref="OF34">INDEX(OF1:OF26,MAX(_xlfn._xlws.FILTER(ROW(OF1:OF26),OF1:OF26&lt;&gt;"")))</f>
        <v>472</v>
      </c>
      <c r="OJ34" s="6" t="str" cm="1">
        <f t="array" ref="OJ34">IF(INDEX(OL:OL,MAX(_xlfn._xlws.FILTER(ROW(OL:OL),OL:OL&lt;&gt;"")))&gt;INDEX(OR:OR,MAX(_xlfn._xlws.FILTER(ROW(OR:OR),OR:OR&lt;&gt;""))),OL1,OR1)</f>
        <v>Greedy</v>
      </c>
      <c r="OK34">
        <f t="shared" ref="OK34" si="271">SUM(OK2:OK26)</f>
        <v>229.29172873497009</v>
      </c>
      <c r="OL34" s="6" cm="1">
        <f t="array" ref="OL34">INDEX(OL1:OL26,MAX(_xlfn._xlws.FILTER(ROW(OL1:OL26),OL1:OL26&lt;&gt;"")))</f>
        <v>378</v>
      </c>
      <c r="OM34" s="6">
        <f t="shared" ref="OM34" si="272">IF(OJ34="Kans",OR34-OL34,OL34-OR34)</f>
        <v>-137</v>
      </c>
      <c r="OQ34">
        <f t="shared" ref="OQ34" si="273">SUM(OQ2:OQ26)</f>
        <v>381.64385771751404</v>
      </c>
      <c r="OR34" s="6" cm="1">
        <f t="array" ref="OR34">INDEX(OR1:OR26,MAX(_xlfn._xlws.FILTER(ROW(OR1:OR26),OR1:OR26&lt;&gt;"")))</f>
        <v>515</v>
      </c>
      <c r="OV34" s="6" t="str" cm="1">
        <f t="array" ref="OV34">IF(INDEX(OX:OX,MAX(_xlfn._xlws.FILTER(ROW(OX:OX),OX:OX&lt;&gt;"")))&gt;INDEX(PD:PD,MAX(_xlfn._xlws.FILTER(ROW(PD:PD),PD:PD&lt;&gt;""))),OX1,PD1)</f>
        <v>Greedy</v>
      </c>
      <c r="OW34">
        <f t="shared" ref="OW34" si="274">SUM(OW2:OW26)</f>
        <v>163.48145937919617</v>
      </c>
      <c r="OX34" s="6" cm="1">
        <f t="array" ref="OX34">INDEX(OX1:OX26,MAX(_xlfn._xlws.FILTER(ROW(OX1:OX26),OX1:OX26&lt;&gt;"")))</f>
        <v>415</v>
      </c>
      <c r="OY34" s="6">
        <f t="shared" ref="OY34" si="275">IF(OV34="Kans",PD34-OX34,OX34-PD34)</f>
        <v>-94</v>
      </c>
      <c r="PC34">
        <f t="shared" ref="PC34" si="276">SUM(PC2:PC26)</f>
        <v>277.61677384376526</v>
      </c>
      <c r="PD34" s="6" cm="1">
        <f t="array" ref="PD34">INDEX(PD1:PD26,MAX(_xlfn._xlws.FILTER(ROW(PD1:PD26),PD1:PD26&lt;&gt;"")))</f>
        <v>509</v>
      </c>
      <c r="PH34" s="6" t="str" cm="1">
        <f t="array" ref="PH34">IF(INDEX(PJ:PJ,MAX(_xlfn._xlws.FILTER(ROW(PJ:PJ),PJ:PJ&lt;&gt;"")))&gt;INDEX(PP:PP,MAX(_xlfn._xlws.FILTER(ROW(PP:PP),PP:PP&lt;&gt;""))),PJ1,PP1)</f>
        <v>Greedy</v>
      </c>
      <c r="PI34">
        <f t="shared" ref="PI34" si="277">SUM(PI2:PI26)</f>
        <v>328.82279109954834</v>
      </c>
      <c r="PJ34" s="6" cm="1">
        <f t="array" ref="PJ34">INDEX(PJ1:PJ26,MAX(_xlfn._xlws.FILTER(ROW(PJ1:PJ26),PJ1:PJ26&lt;&gt;"")))</f>
        <v>395</v>
      </c>
      <c r="PK34" s="6">
        <f t="shared" ref="PK34" si="278">IF(PH34="Kans",PP34-PJ34,PJ34-PP34)</f>
        <v>-94</v>
      </c>
      <c r="PO34">
        <f t="shared" ref="PO34" si="279">SUM(PO2:PO26)</f>
        <v>219.80353236198425</v>
      </c>
      <c r="PP34" s="6" cm="1">
        <f t="array" ref="PP34">INDEX(PP1:PP26,MAX(_xlfn._xlws.FILTER(ROW(PP1:PP26),PP1:PP26&lt;&gt;"")))</f>
        <v>489</v>
      </c>
      <c r="PT34" s="6" t="str" cm="1">
        <f t="array" ref="PT34">IF(INDEX(PV:PV,MAX(_xlfn._xlws.FILTER(ROW(PV:PV),PV:PV&lt;&gt;"")))&gt;INDEX(QB:QB,MAX(_xlfn._xlws.FILTER(ROW(QB:QB),QB:QB&lt;&gt;""))),PV1,QB1)</f>
        <v>Greedy</v>
      </c>
      <c r="PU34">
        <f t="shared" ref="PU34" si="280">SUM(PU2:PU26)</f>
        <v>330.63314914703369</v>
      </c>
      <c r="PV34" s="6" cm="1">
        <f t="array" ref="PV34">INDEX(PV1:PV26,MAX(_xlfn._xlws.FILTER(ROW(PV1:PV26),PV1:PV26&lt;&gt;"")))</f>
        <v>374</v>
      </c>
      <c r="PW34" s="6">
        <f t="shared" ref="PW34" si="281">IF(PT34="Kans",QB34-PV34,PV34-QB34)</f>
        <v>-88</v>
      </c>
      <c r="QA34">
        <f t="shared" ref="QA34" si="282">SUM(QA2:QA26)</f>
        <v>237.44515180587769</v>
      </c>
      <c r="QB34" s="6" cm="1">
        <f t="array" ref="QB34">INDEX(QB1:QB26,MAX(_xlfn._xlws.FILTER(ROW(QB1:QB26),QB1:QB26&lt;&gt;"")))</f>
        <v>462</v>
      </c>
      <c r="QF34" s="6" t="str" cm="1">
        <f t="array" ref="QF34">IF(INDEX(QH:QH,MAX(_xlfn._xlws.FILTER(ROW(QH:QH),QH:QH&lt;&gt;"")))&gt;INDEX(QN:QN,MAX(_xlfn._xlws.FILTER(ROW(QN:QN),QN:QN&lt;&gt;""))),QH1,QN1)</f>
        <v>Greedy</v>
      </c>
      <c r="QG34">
        <f t="shared" ref="QG34" si="283">SUM(QG2:QG26)</f>
        <v>305.1104719638825</v>
      </c>
      <c r="QH34" s="6" cm="1">
        <f t="array" ref="QH34">INDEX(QH1:QH26,MAX(_xlfn._xlws.FILTER(ROW(QH1:QH26),QH1:QH26&lt;&gt;"")))</f>
        <v>371</v>
      </c>
      <c r="QI34" s="6">
        <f t="shared" ref="QI34" si="284">IF(QF34="Kans",QN34-QH34,QH34-QN34)</f>
        <v>-70</v>
      </c>
      <c r="QM34">
        <f t="shared" ref="QM34" si="285">SUM(QM2:QM26)</f>
        <v>330.69345593452454</v>
      </c>
      <c r="QN34" s="6" cm="1">
        <f t="array" ref="QN34">INDEX(QN1:QN26,MAX(_xlfn._xlws.FILTER(ROW(QN1:QN26),QN1:QN26&lt;&gt;"")))</f>
        <v>441</v>
      </c>
      <c r="QR34" s="6" t="str" cm="1">
        <f t="array" ref="QR34">IF(INDEX(QT:QT,MAX(_xlfn._xlws.FILTER(ROW(QT:QT),QT:QT&lt;&gt;"")))&gt;INDEX(QZ:QZ,MAX(_xlfn._xlws.FILTER(ROW(QZ:QZ),QZ:QZ&lt;&gt;""))),QT1,QZ1)</f>
        <v>Boardposition</v>
      </c>
      <c r="QS34">
        <f t="shared" ref="QS34" si="286">SUM(QS2:QS26)</f>
        <v>210.65444397926331</v>
      </c>
      <c r="QT34" s="6" cm="1">
        <f t="array" ref="QT34">INDEX(QT1:QT26,MAX(_xlfn._xlws.FILTER(ROW(QT1:QT26),QT1:QT26&lt;&gt;"")))</f>
        <v>369</v>
      </c>
      <c r="QU34" s="6">
        <f t="shared" ref="QU34" si="287">IF(QR34="Kans",QZ34-QT34,QT34-QZ34)</f>
        <v>11</v>
      </c>
      <c r="QY34">
        <f t="shared" ref="QY34" si="288">SUM(QY2:QY26)</f>
        <v>425.57422304153442</v>
      </c>
      <c r="QZ34" s="6" cm="1">
        <f t="array" ref="QZ34">INDEX(QZ1:QZ26,MAX(_xlfn._xlws.FILTER(ROW(QZ1:QZ26),QZ1:QZ26&lt;&gt;"")))</f>
        <v>358</v>
      </c>
      <c r="RD34" s="6" t="str" cm="1">
        <f t="array" ref="RD34">IF(INDEX(RF:RF,MAX(_xlfn._xlws.FILTER(ROW(RF:RF),RF:RF&lt;&gt;"")))&gt;INDEX(RL:RL,MAX(_xlfn._xlws.FILTER(ROW(RL:RL),RL:RL&lt;&gt;""))),RF1,RL1)</f>
        <v>Boardposition</v>
      </c>
      <c r="RE34">
        <f t="shared" ref="RE34" si="289">SUM(RE2:RE26)</f>
        <v>178.89330101013184</v>
      </c>
      <c r="RF34" s="6" cm="1">
        <f t="array" ref="RF34">INDEX(RF1:RF26,MAX(_xlfn._xlws.FILTER(ROW(RF1:RF26),RF1:RF26&lt;&gt;"")))</f>
        <v>445</v>
      </c>
      <c r="RG34" s="6">
        <f t="shared" ref="RG34" si="290">IF(RD34="Kans",RL34-RF34,RF34-RL34)</f>
        <v>19</v>
      </c>
      <c r="RK34">
        <f t="shared" ref="RK34" si="291">SUM(RK2:RK26)</f>
        <v>589.93345975875854</v>
      </c>
      <c r="RL34" s="6" cm="1">
        <f t="array" ref="RL34">INDEX(RL1:RL26,MAX(_xlfn._xlws.FILTER(ROW(RL1:RL26),RL1:RL26&lt;&gt;"")))</f>
        <v>426</v>
      </c>
      <c r="RP34" s="6" t="str" cm="1">
        <f t="array" ref="RP34">IF(INDEX(RR:RR,MAX(_xlfn._xlws.FILTER(ROW(RR:RR),RR:RR&lt;&gt;"")))&gt;INDEX(RX:RX,MAX(_xlfn._xlws.FILTER(ROW(RX:RX),RX:RX&lt;&gt;""))),RR1,RX1)</f>
        <v>Greedy</v>
      </c>
      <c r="RQ34">
        <f t="shared" ref="RQ34" si="292">SUM(RQ2:RQ26)</f>
        <v>196.75482988357544</v>
      </c>
      <c r="RR34" s="6" cm="1">
        <f t="array" ref="RR34">INDEX(RR1:RR26,MAX(_xlfn._xlws.FILTER(ROW(RR1:RR26),RR1:RR26&lt;&gt;"")))</f>
        <v>381</v>
      </c>
      <c r="RS34" s="6">
        <f t="shared" ref="RS34" si="293">IF(RP34="Kans",RX34-RR34,RR34-RX34)</f>
        <v>-81</v>
      </c>
      <c r="RW34">
        <f t="shared" ref="RW34" si="294">SUM(RW2:RW26)</f>
        <v>244.58914923667908</v>
      </c>
      <c r="RX34" s="6" cm="1">
        <f t="array" ref="RX34">INDEX(RX1:RX26,MAX(_xlfn._xlws.FILTER(ROW(RX1:RX26),RX1:RX26&lt;&gt;"")))</f>
        <v>462</v>
      </c>
      <c r="SB34" s="6" t="str" cm="1">
        <f t="array" ref="SB34">IF(INDEX(SD:SD,MAX(_xlfn._xlws.FILTER(ROW(SD:SD),SD:SD&lt;&gt;"")))&gt;INDEX(SJ:SJ,MAX(_xlfn._xlws.FILTER(ROW(SJ:SJ),SJ:SJ&lt;&gt;""))),SD1,SJ1)</f>
        <v>Greedy</v>
      </c>
      <c r="SC34">
        <f t="shared" ref="SC34" si="295">SUM(SC2:SC26)</f>
        <v>276.45908761024475</v>
      </c>
      <c r="SD34" s="6" cm="1">
        <f t="array" ref="SD34">INDEX(SD1:SD26,MAX(_xlfn._xlws.FILTER(ROW(SD1:SD26),SD1:SD26&lt;&gt;"")))</f>
        <v>350</v>
      </c>
      <c r="SE34" s="6">
        <f t="shared" ref="SE34" si="296">IF(SB34="Kans",SJ34-SD34,SD34-SJ34)</f>
        <v>-100</v>
      </c>
      <c r="SI34">
        <f t="shared" ref="SI34" si="297">SUM(SI2:SI26)</f>
        <v>205.63152647018433</v>
      </c>
      <c r="SJ34" s="6" cm="1">
        <f t="array" ref="SJ34">INDEX(SJ1:SJ26,MAX(_xlfn._xlws.FILTER(ROW(SJ1:SJ26),SJ1:SJ26&lt;&gt;"")))</f>
        <v>450</v>
      </c>
      <c r="SN34" s="6" t="str" cm="1">
        <f t="array" ref="SN34">IF(INDEX(SP:SP,MAX(_xlfn._xlws.FILTER(ROW(SP:SP),SP:SP&lt;&gt;"")))&gt;INDEX(SV:SV,MAX(_xlfn._xlws.FILTER(ROW(SV:SV),SV:SV&lt;&gt;""))),SP1,SV1)</f>
        <v>Greedy</v>
      </c>
      <c r="SO34">
        <f t="shared" ref="SO34" si="298">SUM(SO2:SO26)</f>
        <v>361.00896739959717</v>
      </c>
      <c r="SP34" s="6" cm="1">
        <f t="array" ref="SP34">INDEX(SP1:SP26,MAX(_xlfn._xlws.FILTER(ROW(SP1:SP26),SP1:SP26&lt;&gt;"")))</f>
        <v>350</v>
      </c>
      <c r="SQ34" s="6">
        <f t="shared" ref="SQ34" si="299">IF(SN34="Kans",SV34-SP34,SP34-SV34)</f>
        <v>-107</v>
      </c>
      <c r="SU34">
        <f t="shared" ref="SU34" si="300">SUM(SU2:SU26)</f>
        <v>295.76981544494635</v>
      </c>
      <c r="SV34" s="6" cm="1">
        <f t="array" ref="SV34">INDEX(SV1:SV26,MAX(_xlfn._xlws.FILTER(ROW(SV1:SV26),SV1:SV26&lt;&gt;"")))</f>
        <v>457</v>
      </c>
      <c r="SZ34" s="6" t="str" cm="1">
        <f t="array" ref="SZ34">IF(INDEX(TB:TB,MAX(_xlfn._xlws.FILTER(ROW(TB:TB),TB:TB&lt;&gt;"")))&gt;INDEX(TH:TH,MAX(_xlfn._xlws.FILTER(ROW(TH:TH),TH:TH&lt;&gt;""))),TB1,TH1)</f>
        <v>Greedy</v>
      </c>
      <c r="TA34">
        <f t="shared" ref="TA34" si="301">SUM(TA2:TA26)</f>
        <v>573.34556651115429</v>
      </c>
      <c r="TB34" s="6" cm="1">
        <f t="array" ref="TB34">INDEX(TB1:TB26,MAX(_xlfn._xlws.FILTER(ROW(TB1:TB26),TB1:TB26&lt;&gt;"")))</f>
        <v>477</v>
      </c>
      <c r="TC34" s="6">
        <f t="shared" ref="TC34" si="302">IF(SZ34="Kans",TH34-TB34,TB34-TH34)</f>
        <v>128</v>
      </c>
      <c r="TG34">
        <f t="shared" ref="TG34" si="303">SUM(TG2:TG26)</f>
        <v>183.73755216598511</v>
      </c>
      <c r="TH34" s="6" cm="1">
        <f t="array" ref="TH34">INDEX(TH1:TH26,MAX(_xlfn._xlws.FILTER(ROW(TH1:TH26),TH1:TH26&lt;&gt;"")))</f>
        <v>349</v>
      </c>
      <c r="TL34" s="6" t="str" cm="1">
        <f t="array" ref="TL34">IF(INDEX(TN:TN,MAX(_xlfn._xlws.FILTER(ROW(TN:TN),TN:TN&lt;&gt;"")))&gt;INDEX(TT:TT,MAX(_xlfn._xlws.FILTER(ROW(TT:TT),TT:TT&lt;&gt;""))),TN1,TT1)</f>
        <v>Greedy</v>
      </c>
      <c r="TM34">
        <f t="shared" ref="TM34" si="304">SUM(TM2:TM26)</f>
        <v>534.88611316680897</v>
      </c>
      <c r="TN34" s="6" cm="1">
        <f t="array" ref="TN34">INDEX(TN1:TN26,MAX(_xlfn._xlws.FILTER(ROW(TN1:TN26),TN1:TN26&lt;&gt;"")))</f>
        <v>489</v>
      </c>
      <c r="TO34" s="6">
        <f t="shared" ref="TO34" si="305">IF(TL34="Kans",TT34-TN34,TN34-TT34)</f>
        <v>98</v>
      </c>
      <c r="TS34">
        <f t="shared" ref="TS34" si="306">SUM(TS2:TS26)</f>
        <v>565.21349549293518</v>
      </c>
      <c r="TT34" s="6" cm="1">
        <f t="array" ref="TT34">INDEX(TT1:TT26,MAX(_xlfn._xlws.FILTER(ROW(TT1:TT26),TT1:TT26&lt;&gt;"")))</f>
        <v>391</v>
      </c>
      <c r="TX34" s="6" t="str" cm="1">
        <f t="array" ref="TX34">IF(INDEX(TZ:TZ,MAX(_xlfn._xlws.FILTER(ROW(TZ:TZ),TZ:TZ&lt;&gt;"")))&gt;INDEX(UF:UF,MAX(_xlfn._xlws.FILTER(ROW(UF:UF),UF:UF&lt;&gt;""))),TZ1,UF1)</f>
        <v>Boardposition</v>
      </c>
      <c r="TY34">
        <f t="shared" ref="TY34" si="307">SUM(TY2:TY26)</f>
        <v>218.54323792457581</v>
      </c>
      <c r="TZ34" s="6" cm="1">
        <f t="array" ref="TZ34">INDEX(TZ1:TZ26,MAX(_xlfn._xlws.FILTER(ROW(TZ1:TZ26),TZ1:TZ26&lt;&gt;"")))</f>
        <v>374</v>
      </c>
      <c r="UA34" s="6">
        <f t="shared" ref="UA34" si="308">IF(TX34="Kans",UF34-TZ34,TZ34-UF34)</f>
        <v>-126</v>
      </c>
      <c r="UE34">
        <f t="shared" ref="UE34" si="309">SUM(UE2:UE26)</f>
        <v>420.94529962539673</v>
      </c>
      <c r="UF34" s="6" cm="1">
        <f t="array" ref="UF34">INDEX(UF1:UF26,MAX(_xlfn._xlws.FILTER(ROW(UF1:UF26),UF1:UF26&lt;&gt;"")))</f>
        <v>500</v>
      </c>
      <c r="UJ34" s="6" t="str" cm="1">
        <f t="array" ref="UJ34">IF(INDEX(UL:UL,MAX(_xlfn._xlws.FILTER(ROW(UL:UL),UL:UL&lt;&gt;"")))&gt;INDEX(UR:UR,MAX(_xlfn._xlws.FILTER(ROW(UR:UR),UR:UR&lt;&gt;""))),UL1,UR1)</f>
        <v>Boardposition</v>
      </c>
      <c r="UK34">
        <f t="shared" ref="UK34" si="310">SUM(UK2:UK26)</f>
        <v>195.86609125137329</v>
      </c>
      <c r="UL34" s="6" cm="1">
        <f t="array" ref="UL34">INDEX(UL1:UL26,MAX(_xlfn._xlws.FILTER(ROW(UL1:UL26),UL1:UL26&lt;&gt;"")))</f>
        <v>448</v>
      </c>
      <c r="UM34" s="6">
        <f t="shared" ref="UM34" si="311">IF(UJ34="Kans",UR34-UL34,UL34-UR34)</f>
        <v>-18</v>
      </c>
      <c r="UQ34">
        <f t="shared" ref="UQ34" si="312">SUM(UQ2:UQ26)</f>
        <v>697.31291437149059</v>
      </c>
      <c r="UR34" s="6" cm="1">
        <f t="array" ref="UR34">INDEX(UR1:UR26,MAX(_xlfn._xlws.FILTER(ROW(UR1:UR26),UR1:UR26&lt;&gt;"")))</f>
        <v>466</v>
      </c>
      <c r="UV34" s="6" t="str" cm="1">
        <f t="array" ref="UV34">IF(INDEX(UX:UX,MAX(_xlfn._xlws.FILTER(ROW(UX:UX),UX:UX&lt;&gt;"")))&gt;INDEX(VD:VD,MAX(_xlfn._xlws.FILTER(ROW(VD:VD),VD:VD&lt;&gt;""))),UX1,VD1)</f>
        <v>Boardposition</v>
      </c>
      <c r="UW34">
        <f t="shared" ref="UW34" si="313">SUM(UW2:UW26)</f>
        <v>339.63308334350586</v>
      </c>
      <c r="UX34" s="6" cm="1">
        <f t="array" ref="UX34">INDEX(UX1:UX26,MAX(_xlfn._xlws.FILTER(ROW(UX1:UX26),UX1:UX26&lt;&gt;"")))</f>
        <v>461</v>
      </c>
      <c r="UY34" s="6">
        <f t="shared" ref="UY34" si="314">IF(UV34="Kans",VD34-UX34,UX34-VD34)</f>
        <v>-42</v>
      </c>
      <c r="VC34">
        <f t="shared" ref="VC34" si="315">SUM(VC2:VC26)</f>
        <v>365.97133183479309</v>
      </c>
      <c r="VD34" s="6" cm="1">
        <f t="array" ref="VD34">INDEX(VD1:VD26,MAX(_xlfn._xlws.FILTER(ROW(VD1:VD26),VD1:VD26&lt;&gt;"")))</f>
        <v>503</v>
      </c>
      <c r="VH34" s="6" t="str" cm="1">
        <f t="array" ref="VH34">IF(INDEX(VJ:VJ,MAX(_xlfn._xlws.FILTER(ROW(VJ:VJ),VJ:VJ&lt;&gt;"")))&gt;INDEX(VP:VP,MAX(_xlfn._xlws.FILTER(ROW(VP:VP),VP:VP&lt;&gt;""))),VJ1,VP1)</f>
        <v>Boardposition</v>
      </c>
      <c r="VI34">
        <f t="shared" ref="VI34" si="316">SUM(VI2:VI26)</f>
        <v>259.20711016654968</v>
      </c>
      <c r="VJ34" s="6" cm="1">
        <f t="array" ref="VJ34">INDEX(VJ1:VJ26,MAX(_xlfn._xlws.FILTER(ROW(VJ1:VJ26),VJ1:VJ26&lt;&gt;"")))</f>
        <v>370</v>
      </c>
      <c r="VK34" s="6">
        <f t="shared" ref="VK34" si="317">IF(VH34="Kans",VP34-VJ34,VJ34-VP34)</f>
        <v>-96</v>
      </c>
      <c r="VO34">
        <f t="shared" ref="VO34" si="318">SUM(VO2:VO26)</f>
        <v>457.2021861076355</v>
      </c>
      <c r="VP34" s="6" cm="1">
        <f t="array" ref="VP34">INDEX(VP1:VP26,MAX(_xlfn._xlws.FILTER(ROW(VP1:VP26),VP1:VP26&lt;&gt;"")))</f>
        <v>466</v>
      </c>
      <c r="VT34" s="6" t="str" cm="1">
        <f t="array" ref="VT34">IF(INDEX(VV:VV,MAX(_xlfn._xlws.FILTER(ROW(VV:VV),VV:VV&lt;&gt;"")))&gt;INDEX(WB:WB,MAX(_xlfn._xlws.FILTER(ROW(WB:WB),WB:WB&lt;&gt;""))),VV1,WB1)</f>
        <v>Boardposition</v>
      </c>
      <c r="VU34">
        <f t="shared" ref="VU34" si="319">SUM(VU2:VU26)</f>
        <v>442.04631352424616</v>
      </c>
      <c r="VV34" s="6" cm="1">
        <f t="array" ref="VV34">INDEX(VV1:VV26,MAX(_xlfn._xlws.FILTER(ROW(VV1:VV26),VV1:VV26&lt;&gt;"")))</f>
        <v>442</v>
      </c>
      <c r="VW34" s="6">
        <f t="shared" ref="VW34" si="320">IF(VT34="Kans",WB34-VV34,VV34-WB34)</f>
        <v>-6</v>
      </c>
      <c r="WA34">
        <f t="shared" ref="WA34" si="321">SUM(WA2:WA26)</f>
        <v>498.46100783348078</v>
      </c>
      <c r="WB34" s="6" cm="1">
        <f t="array" ref="WB34">INDEX(WB1:WB26,MAX(_xlfn._xlws.FILTER(ROW(WB1:WB26),WB1:WB26&lt;&gt;"")))</f>
        <v>448</v>
      </c>
      <c r="WF34" s="6" t="str" cm="1">
        <f t="array" ref="WF34">IF(INDEX(WH:WH,MAX(_xlfn._xlws.FILTER(ROW(WH:WH),WH:WH&lt;&gt;"")))&gt;INDEX(WN:WN,MAX(_xlfn._xlws.FILTER(ROW(WN:WN),WN:WN&lt;&gt;""))),WH1,WN1)</f>
        <v>Boardposition</v>
      </c>
      <c r="WG34">
        <f t="shared" ref="WG34" si="322">SUM(WG2:WG26)</f>
        <v>228.16216373443604</v>
      </c>
      <c r="WH34" s="6" cm="1">
        <f t="array" ref="WH34">INDEX(WH1:WH26,MAX(_xlfn._xlws.FILTER(ROW(WH1:WH26),WH1:WH26&lt;&gt;"")))</f>
        <v>430</v>
      </c>
      <c r="WI34" s="6">
        <f t="shared" ref="WI34" si="323">IF(WF34="Kans",WN34-WH34,WH34-WN34)</f>
        <v>-25</v>
      </c>
      <c r="WM34">
        <f t="shared" ref="WM34" si="324">SUM(WM2:WM26)</f>
        <v>342.03782725334173</v>
      </c>
      <c r="WN34" s="6" cm="1">
        <f t="array" ref="WN34">INDEX(WN1:WN26,MAX(_xlfn._xlws.FILTER(ROW(WN1:WN26),WN1:WN26&lt;&gt;"")))</f>
        <v>455</v>
      </c>
      <c r="WR34" s="6" t="str" cm="1">
        <f t="array" ref="WR34">IF(INDEX(WT:WT,MAX(_xlfn._xlws.FILTER(ROW(WT:WT),WT:WT&lt;&gt;"")))&gt;INDEX(WZ:WZ,MAX(_xlfn._xlws.FILTER(ROW(WZ:WZ),WZ:WZ&lt;&gt;""))),WT1,WZ1)</f>
        <v>Greedy</v>
      </c>
      <c r="WS34">
        <f t="shared" ref="WS34" si="325">SUM(WS2:WS26)</f>
        <v>241.59596610069275</v>
      </c>
      <c r="WT34" s="6" cm="1">
        <f t="array" ref="WT34">INDEX(WT1:WT26,MAX(_xlfn._xlws.FILTER(ROW(WT1:WT26),WT1:WT26&lt;&gt;"")))</f>
        <v>525</v>
      </c>
      <c r="WU34" s="6">
        <f t="shared" ref="WU34" si="326">IF(WR34="Kans",WZ34-WT34,WT34-WZ34)</f>
        <v>139</v>
      </c>
      <c r="WY34">
        <f t="shared" ref="WY34" si="327">SUM(WY2:WY26)</f>
        <v>375.92832279205322</v>
      </c>
      <c r="WZ34" s="6" cm="1">
        <f t="array" ref="WZ34">INDEX(WZ1:WZ26,MAX(_xlfn._xlws.FILTER(ROW(WZ1:WZ26),WZ1:WZ26&lt;&gt;"")))</f>
        <v>386</v>
      </c>
      <c r="XD34" s="6" t="str" cm="1">
        <f t="array" ref="XD34">IF(INDEX(XF:XF,MAX(_xlfn._xlws.FILTER(ROW(XF:XF),XF:XF&lt;&gt;"")))&gt;INDEX(XL:XL,MAX(_xlfn._xlws.FILTER(ROW(XL:XL),XL:XL&lt;&gt;""))),XF1,XL1)</f>
        <v>Greedy</v>
      </c>
      <c r="XE34">
        <f t="shared" ref="XE34" si="328">SUM(XE2:XE26)</f>
        <v>238.45428204536438</v>
      </c>
      <c r="XF34" s="6" cm="1">
        <f t="array" ref="XF34">INDEX(XF1:XF26,MAX(_xlfn._xlws.FILTER(ROW(XF1:XF26),XF1:XF26&lt;&gt;"")))</f>
        <v>475</v>
      </c>
      <c r="XG34" s="6">
        <f t="shared" ref="XG34" si="329">IF(XD34="Kans",XL34-XF34,XF34-XL34)</f>
        <v>30</v>
      </c>
      <c r="XK34">
        <f t="shared" ref="XK34" si="330">SUM(XK2:XK26)</f>
        <v>315.35360717773443</v>
      </c>
      <c r="XL34" s="6" cm="1">
        <f t="array" ref="XL34">INDEX(XL1:XL26,MAX(_xlfn._xlws.FILTER(ROW(XL1:XL26),XL1:XL26&lt;&gt;"")))</f>
        <v>445</v>
      </c>
      <c r="XP34" s="6" t="str" cm="1">
        <f t="array" ref="XP34">IF(INDEX(XR:XR,MAX(_xlfn._xlws.FILTER(ROW(XR:XR),XR:XR&lt;&gt;"")))&gt;INDEX(XX:XX,MAX(_xlfn._xlws.FILTER(ROW(XX:XX),XX:XX&lt;&gt;""))),XR1,XX1)</f>
        <v>Boardposition</v>
      </c>
      <c r="XQ34">
        <f t="shared" ref="XQ34" si="331">SUM(XQ2:XQ26)</f>
        <v>157.70549178123474</v>
      </c>
      <c r="XR34" s="6" cm="1">
        <f t="array" ref="XR34">INDEX(XR1:XR26,MAX(_xlfn._xlws.FILTER(ROW(XR1:XR26),XR1:XR26&lt;&gt;"")))</f>
        <v>368</v>
      </c>
      <c r="XS34" s="6">
        <f t="shared" ref="XS34" si="332">IF(XP34="Kans",XX34-XR34,XR34-XX34)</f>
        <v>-278</v>
      </c>
      <c r="XW34">
        <f t="shared" ref="XW34" si="333">SUM(XW2:XW26)</f>
        <v>413.46621584892267</v>
      </c>
      <c r="XX34" s="6" cm="1">
        <f t="array" ref="XX34">INDEX(XX1:XX26,MAX(_xlfn._xlws.FILTER(ROW(XX1:XX26),XX1:XX26&lt;&gt;"")))</f>
        <v>646</v>
      </c>
      <c r="YB34" s="6" t="str" cm="1">
        <f t="array" ref="YB34">IF(INDEX(YD:YD,MAX(_xlfn._xlws.FILTER(ROW(YD:YD),YD:YD&lt;&gt;"")))&gt;INDEX(YJ:YJ,MAX(_xlfn._xlws.FILTER(ROW(YJ:YJ),YJ:YJ&lt;&gt;""))),YD1,YJ1)</f>
        <v>Greedy</v>
      </c>
      <c r="YC34">
        <f t="shared" ref="YC34" si="334">SUM(YC2:YC26)</f>
        <v>670.31649589538586</v>
      </c>
      <c r="YD34" s="6" cm="1">
        <f t="array" ref="YD34">INDEX(YD1:YD26,MAX(_xlfn._xlws.FILTER(ROW(YD1:YD26),YD1:YD26&lt;&gt;"")))</f>
        <v>473</v>
      </c>
      <c r="YE34" s="6">
        <f t="shared" ref="YE34" si="335">IF(YB34="Kans",YJ34-YD34,YD34-YJ34)</f>
        <v>60</v>
      </c>
      <c r="YI34">
        <f t="shared" ref="YI34" si="336">SUM(YI2:YI26)</f>
        <v>192.93795084953308</v>
      </c>
      <c r="YJ34" s="6" cm="1">
        <f t="array" ref="YJ34">INDEX(YJ1:YJ26,MAX(_xlfn._xlws.FILTER(ROW(YJ1:YJ26),YJ1:YJ26&lt;&gt;"")))</f>
        <v>413</v>
      </c>
      <c r="YN34" s="6" t="str" cm="1">
        <f t="array" ref="YN34">IF(INDEX(YP:YP,MAX(_xlfn._xlws.FILTER(ROW(YP:YP),YP:YP&lt;&gt;"")))&gt;INDEX(YV:YV,MAX(_xlfn._xlws.FILTER(ROW(YV:YV),YV:YV&lt;&gt;""))),YP1,YV1)</f>
        <v>Boardposition</v>
      </c>
      <c r="YO34">
        <f t="shared" ref="YO34" si="337">SUM(YO2:YO26)</f>
        <v>387.54138422012329</v>
      </c>
      <c r="YP34" s="6" cm="1">
        <f t="array" ref="YP34">INDEX(YP1:YP26,MAX(_xlfn._xlws.FILTER(ROW(YP1:YP26),YP1:YP26&lt;&gt;"")))</f>
        <v>408</v>
      </c>
      <c r="YQ34" s="6">
        <f t="shared" ref="YQ34" si="338">IF(YN34="Kans",YV34-YP34,YP34-YV34)</f>
        <v>-97</v>
      </c>
      <c r="YU34">
        <f t="shared" ref="YU34" si="339">SUM(YU2:YU26)</f>
        <v>263.40826654434204</v>
      </c>
      <c r="YV34" s="6" cm="1">
        <f t="array" ref="YV34">INDEX(YV1:YV26,MAX(_xlfn._xlws.FILTER(ROW(YV1:YV26),YV1:YV26&lt;&gt;"")))</f>
        <v>505</v>
      </c>
      <c r="YZ34" s="6" t="str" cm="1">
        <f t="array" ref="YZ34">IF(INDEX(ZB:ZB,MAX(_xlfn._xlws.FILTER(ROW(ZB:ZB),ZB:ZB&lt;&gt;"")))&gt;INDEX(ZH:ZH,MAX(_xlfn._xlws.FILTER(ROW(ZH:ZH),ZH:ZH&lt;&gt;""))),ZB1,ZH1)</f>
        <v>Greedy</v>
      </c>
      <c r="ZA34">
        <f t="shared" ref="ZA34" si="340">SUM(ZA2:ZA26)</f>
        <v>348.72626948356628</v>
      </c>
      <c r="ZB34" s="6" cm="1">
        <f t="array" ref="ZB34">INDEX(ZB1:ZB26,MAX(_xlfn._xlws.FILTER(ROW(ZB1:ZB26),ZB1:ZB26&lt;&gt;"")))</f>
        <v>522</v>
      </c>
      <c r="ZC34" s="6">
        <f t="shared" ref="ZC34" si="341">IF(YZ34="Kans",ZH34-ZB34,ZB34-ZH34)</f>
        <v>164</v>
      </c>
      <c r="ZG34">
        <f t="shared" ref="ZG34" si="342">SUM(ZG2:ZG26)</f>
        <v>305.76432275772095</v>
      </c>
      <c r="ZH34" s="6" cm="1">
        <f t="array" ref="ZH34">INDEX(ZH1:ZH26,MAX(_xlfn._xlws.FILTER(ROW(ZH1:ZH26),ZH1:ZH26&lt;&gt;"")))</f>
        <v>358</v>
      </c>
      <c r="ZL34" s="6" t="str" cm="1">
        <f t="array" ref="ZL34">IF(INDEX(ZN:ZN,MAX(_xlfn._xlws.FILTER(ROW(ZN:ZN),ZN:ZN&lt;&gt;"")))&gt;INDEX(ZT:ZT,MAX(_xlfn._xlws.FILTER(ROW(ZT:ZT),ZT:ZT&lt;&gt;""))),ZN1,ZT1)</f>
        <v>Greedy</v>
      </c>
      <c r="ZM34">
        <f t="shared" ref="ZM34" si="343">SUM(ZM2:ZM26)</f>
        <v>629.85932993888844</v>
      </c>
      <c r="ZN34" s="6" cm="1">
        <f t="array" ref="ZN34">INDEX(ZN1:ZN26,MAX(_xlfn._xlws.FILTER(ROW(ZN1:ZN26),ZN1:ZN26&lt;&gt;"")))</f>
        <v>476</v>
      </c>
      <c r="ZO34" s="6">
        <f t="shared" ref="ZO34" si="344">IF(ZL34="Kans",ZT34-ZN34,ZN34-ZT34)</f>
        <v>80</v>
      </c>
      <c r="ZS34">
        <f t="shared" ref="ZS34" si="345">SUM(ZS2:ZS26)</f>
        <v>202.76547455787662</v>
      </c>
      <c r="ZT34" s="6" cm="1">
        <f t="array" ref="ZT34">INDEX(ZT1:ZT26,MAX(_xlfn._xlws.FILTER(ROW(ZT1:ZT26),ZT1:ZT26&lt;&gt;"")))</f>
        <v>396</v>
      </c>
      <c r="ZX34" s="6" t="str" cm="1">
        <f t="array" ref="ZX34">IF(INDEX(ZZ:ZZ,MAX(_xlfn._xlws.FILTER(ROW(ZZ:ZZ),ZZ:ZZ&lt;&gt;"")))&gt;INDEX(AAF:AAF,MAX(_xlfn._xlws.FILTER(ROW(AAF:AAF),AAF:AAF&lt;&gt;""))),ZZ1,AAF1)</f>
        <v>Greedy</v>
      </c>
      <c r="ZY34">
        <f t="shared" ref="ZY34" si="346">SUM(ZY2:ZY26)</f>
        <v>140.05815839767456</v>
      </c>
      <c r="ZZ34" s="6" cm="1">
        <f t="array" ref="ZZ34">INDEX(ZZ1:ZZ26,MAX(_xlfn._xlws.FILTER(ROW(ZZ1:ZZ26),ZZ1:ZZ26&lt;&gt;"")))</f>
        <v>512</v>
      </c>
      <c r="AAA34" s="6">
        <f t="shared" ref="AAA34" si="347">IF(ZX34="Kans",AAF34-ZZ34,ZZ34-AAF34)</f>
        <v>10</v>
      </c>
      <c r="AAE34">
        <f t="shared" ref="AAE34" si="348">SUM(AAE2:AAE26)</f>
        <v>358.98618006706243</v>
      </c>
      <c r="AAF34" s="6" cm="1">
        <f t="array" ref="AAF34">INDEX(AAF1:AAF26,MAX(_xlfn._xlws.FILTER(ROW(AAF1:AAF26),AAF1:AAF26&lt;&gt;"")))</f>
        <v>502</v>
      </c>
      <c r="AAJ34" s="6" t="str" cm="1">
        <f t="array" ref="AAJ34">IF(INDEX(AAL:AAL,MAX(_xlfn._xlws.FILTER(ROW(AAL:AAL),AAL:AAL&lt;&gt;"")))&gt;INDEX(AAR:AAR,MAX(_xlfn._xlws.FILTER(ROW(AAR:AAR),AAR:AAR&lt;&gt;""))),AAL1,AAR1)</f>
        <v>Greedy</v>
      </c>
      <c r="AAK34">
        <f t="shared" ref="AAK34" si="349">SUM(AAK2:AAK26)</f>
        <v>272.85007810592651</v>
      </c>
      <c r="AAL34" s="6" cm="1">
        <f t="array" ref="AAL34">INDEX(AAL1:AAL26,MAX(_xlfn._xlws.FILTER(ROW(AAL1:AAL26),AAL1:AAL26&lt;&gt;"")))</f>
        <v>429</v>
      </c>
      <c r="AAM34" s="6">
        <f t="shared" ref="AAM34" si="350">IF(AAJ34="Kans",AAR34-AAL34,AAL34-AAR34)</f>
        <v>9</v>
      </c>
      <c r="AAQ34">
        <f t="shared" ref="AAQ34" si="351">SUM(AAQ2:AAQ26)</f>
        <v>399.27715373039246</v>
      </c>
      <c r="AAR34" s="6" cm="1">
        <f t="array" ref="AAR34">INDEX(AAR1:AAR26,MAX(_xlfn._xlws.FILTER(ROW(AAR1:AAR26),AAR1:AAR26&lt;&gt;"")))</f>
        <v>420</v>
      </c>
      <c r="AAV34" s="6" t="str" cm="1">
        <f t="array" ref="AAV34">IF(INDEX(AAX:AAX,MAX(_xlfn._xlws.FILTER(ROW(AAX:AAX),AAX:AAX&lt;&gt;"")))&gt;INDEX(ABD:ABD,MAX(_xlfn._xlws.FILTER(ROW(ABD:ABD),ABD:ABD&lt;&gt;""))),AAX1,ABD1)</f>
        <v>Greedy</v>
      </c>
      <c r="AAW34">
        <f t="shared" ref="AAW34" si="352">SUM(AAW2:AAW26)</f>
        <v>352.8611044883728</v>
      </c>
      <c r="AAX34" s="6" cm="1">
        <f t="array" ref="AAX34">INDEX(AAX1:AAX26,MAX(_xlfn._xlws.FILTER(ROW(AAX1:AAX26),AAX1:AAX26&lt;&gt;"")))</f>
        <v>524</v>
      </c>
      <c r="AAY34" s="6">
        <f t="shared" ref="AAY34" si="353">IF(AAV34="Kans",ABD34-AAX34,AAX34-ABD34)</f>
        <v>224</v>
      </c>
      <c r="ABC34">
        <f t="shared" ref="ABC34" si="354">SUM(ABC2:ABC26)</f>
        <v>126.65858840942383</v>
      </c>
      <c r="ABD34" s="6" cm="1">
        <f t="array" ref="ABD34">INDEX(ABD1:ABD26,MAX(_xlfn._xlws.FILTER(ROW(ABD1:ABD26),ABD1:ABD26&lt;&gt;"")))</f>
        <v>300</v>
      </c>
      <c r="ABH34" s="6" t="str" cm="1">
        <f t="array" ref="ABH34">IF(INDEX(ABJ:ABJ,MAX(_xlfn._xlws.FILTER(ROW(ABJ:ABJ),ABJ:ABJ&lt;&gt;"")))&gt;INDEX(ABP:ABP,MAX(_xlfn._xlws.FILTER(ROW(ABP:ABP),ABP:ABP&lt;&gt;""))),ABJ1,ABP1)</f>
        <v>Greedy</v>
      </c>
      <c r="ABI34">
        <f t="shared" ref="ABI34" si="355">SUM(ABI2:ABI26)</f>
        <v>651.29633617401123</v>
      </c>
      <c r="ABJ34" s="6" cm="1">
        <f t="array" ref="ABJ34">INDEX(ABJ1:ABJ26,MAX(_xlfn._xlws.FILTER(ROW(ABJ1:ABJ26),ABJ1:ABJ26&lt;&gt;"")))</f>
        <v>562</v>
      </c>
      <c r="ABK34" s="6">
        <f t="shared" ref="ABK34" si="356">IF(ABH34="Kans",ABP34-ABJ34,ABJ34-ABP34)</f>
        <v>192</v>
      </c>
      <c r="ABO34">
        <f t="shared" ref="ABO34" si="357">SUM(ABO2:ABO26)</f>
        <v>166.4124743938446</v>
      </c>
      <c r="ABP34" s="6" cm="1">
        <f t="array" ref="ABP34">INDEX(ABP1:ABP26,MAX(_xlfn._xlws.FILTER(ROW(ABP1:ABP26),ABP1:ABP26&lt;&gt;"")))</f>
        <v>370</v>
      </c>
      <c r="ABT34" s="6" t="str" cm="1">
        <f t="array" ref="ABT34">IF(INDEX(ABV:ABV,MAX(_xlfn._xlws.FILTER(ROW(ABV:ABV),ABV:ABV&lt;&gt;"")))&gt;INDEX(ACB:ACB,MAX(_xlfn._xlws.FILTER(ROW(ACB:ACB),ACB:ACB&lt;&gt;""))),ABV1,ACB1)</f>
        <v>Boardposition</v>
      </c>
      <c r="ABU34">
        <f t="shared" ref="ABU34" si="358">SUM(ABU2:ABU26)</f>
        <v>255.71097874641418</v>
      </c>
      <c r="ABV34" s="6" cm="1">
        <f t="array" ref="ABV34">INDEX(ABV1:ABV26,MAX(_xlfn._xlws.FILTER(ROW(ABV1:ABV26),ABV1:ABV26&lt;&gt;"")))</f>
        <v>414</v>
      </c>
      <c r="ABW34" s="6">
        <f t="shared" ref="ABW34" si="359">IF(ABT34="Kans",ACB34-ABV34,ABV34-ACB34)</f>
        <v>-22</v>
      </c>
      <c r="ACA34">
        <f t="shared" ref="ACA34" si="360">SUM(ACA2:ACA26)</f>
        <v>433.91259932518005</v>
      </c>
      <c r="ACB34" s="6" cm="1">
        <f t="array" ref="ACB34">INDEX(ACB1:ACB26,MAX(_xlfn._xlws.FILTER(ROW(ACB1:ACB26),ACB1:ACB26&lt;&gt;"")))</f>
        <v>436</v>
      </c>
      <c r="ACF34" s="6" t="str" cm="1">
        <f t="array" ref="ACF34">IF(INDEX(ACH:ACH,MAX(_xlfn._xlws.FILTER(ROW(ACH:ACH),ACH:ACH&lt;&gt;"")))&gt;INDEX(ACN:ACN,MAX(_xlfn._xlws.FILTER(ROW(ACN:ACN),ACN:ACN&lt;&gt;""))),ACH1,ACN1)</f>
        <v>Boardposition</v>
      </c>
      <c r="ACG34">
        <f t="shared" ref="ACG34" si="361">SUM(ACG2:ACG26)</f>
        <v>151.40186071395874</v>
      </c>
      <c r="ACH34" s="6" cm="1">
        <f t="array" ref="ACH34">INDEX(ACH1:ACH26,MAX(_xlfn._xlws.FILTER(ROW(ACH1:ACH26),ACH1:ACH26&lt;&gt;"")))</f>
        <v>399</v>
      </c>
      <c r="ACI34" s="6">
        <f t="shared" ref="ACI34" si="362">IF(ACF34="Kans",ACN34-ACH34,ACH34-ACN34)</f>
        <v>-106</v>
      </c>
      <c r="ACM34">
        <f t="shared" ref="ACM34" si="363">SUM(ACM2:ACM26)</f>
        <v>411.08403062820435</v>
      </c>
      <c r="ACN34" s="6" cm="1">
        <f t="array" ref="ACN34">INDEX(ACN1:ACN26,MAX(_xlfn._xlws.FILTER(ROW(ACN1:ACN26),ACN1:ACN26&lt;&gt;"")))</f>
        <v>505</v>
      </c>
      <c r="ACR34" s="6" t="str" cm="1">
        <f t="array" ref="ACR34">IF(INDEX(ACT:ACT,MAX(_xlfn._xlws.FILTER(ROW(ACT:ACT),ACT:ACT&lt;&gt;"")))&gt;INDEX(ACZ:ACZ,MAX(_xlfn._xlws.FILTER(ROW(ACZ:ACZ),ACZ:ACZ&lt;&gt;""))),ACT1,ACZ1)</f>
        <v>Boardposition</v>
      </c>
      <c r="ACS34">
        <f t="shared" ref="ACS34" si="364">SUM(ACS2:ACS26)</f>
        <v>253.2839937210083</v>
      </c>
      <c r="ACT34" s="6" cm="1">
        <f t="array" ref="ACT34">INDEX(ACT1:ACT26,MAX(_xlfn._xlws.FILTER(ROW(ACT1:ACT26),ACT1:ACT26&lt;&gt;"")))</f>
        <v>395</v>
      </c>
      <c r="ACU34" s="6">
        <f t="shared" ref="ACU34" si="365">IF(ACR34="Kans",ACZ34-ACT34,ACT34-ACZ34)</f>
        <v>-100</v>
      </c>
      <c r="ACY34">
        <f t="shared" ref="ACY34" si="366">SUM(ACY2:ACY26)</f>
        <v>248.30393218994141</v>
      </c>
      <c r="ACZ34" s="6" cm="1">
        <f t="array" ref="ACZ34">INDEX(ACZ1:ACZ26,MAX(_xlfn._xlws.FILTER(ROW(ACZ1:ACZ26),ACZ1:ACZ26&lt;&gt;"")))</f>
        <v>495</v>
      </c>
      <c r="ADD34" s="6" t="str" cm="1">
        <f t="array" ref="ADD34">IF(INDEX(ADF:ADF,MAX(_xlfn._xlws.FILTER(ROW(ADF:ADF),ADF:ADF&lt;&gt;"")))&gt;INDEX(ADL:ADL,MAX(_xlfn._xlws.FILTER(ROW(ADL:ADL),ADL:ADL&lt;&gt;""))),ADF1,ADL1)</f>
        <v>Greedy</v>
      </c>
      <c r="ADE34">
        <f t="shared" ref="ADE34" si="367">SUM(ADE2:ADE26)</f>
        <v>563.76500487327576</v>
      </c>
      <c r="ADF34" s="6" cm="1">
        <f t="array" ref="ADF34">INDEX(ADF1:ADF26,MAX(_xlfn._xlws.FILTER(ROW(ADF1:ADF26),ADF1:ADF26&lt;&gt;"")))</f>
        <v>459</v>
      </c>
      <c r="ADG34" s="6">
        <f t="shared" ref="ADG34" si="368">IF(ADD34="Kans",ADL34-ADF34,ADF34-ADL34)</f>
        <v>17</v>
      </c>
      <c r="ADK34">
        <f t="shared" ref="ADK34" si="369">SUM(ADK2:ADK26)</f>
        <v>257.11481809616089</v>
      </c>
      <c r="ADL34" s="6" cm="1">
        <f t="array" ref="ADL34">INDEX(ADL1:ADL26,MAX(_xlfn._xlws.FILTER(ROW(ADL1:ADL26),ADL1:ADL26&lt;&gt;"")))</f>
        <v>442</v>
      </c>
      <c r="ADP34" s="6" t="str" cm="1">
        <f t="array" ref="ADP34">IF(INDEX(ADR:ADR,MAX(_xlfn._xlws.FILTER(ROW(ADR:ADR),ADR:ADR&lt;&gt;"")))&gt;INDEX(ADX:ADX,MAX(_xlfn._xlws.FILTER(ROW(ADX:ADX),ADX:ADX&lt;&gt;""))),ADR1,ADX1)</f>
        <v>Boardposition</v>
      </c>
      <c r="ADQ34">
        <f t="shared" ref="ADQ34" si="370">SUM(ADQ2:ADQ26)</f>
        <v>315.09615874290472</v>
      </c>
      <c r="ADR34" s="6" cm="1">
        <f t="array" ref="ADR34">INDEX(ADR1:ADR26,MAX(_xlfn._xlws.FILTER(ROW(ADR1:ADR26),ADR1:ADR26&lt;&gt;"")))</f>
        <v>367</v>
      </c>
      <c r="ADS34" s="6">
        <f t="shared" ref="ADS34" si="371">IF(ADP34="Kans",ADX34-ADR34,ADR34-ADX34)</f>
        <v>-127</v>
      </c>
      <c r="ADW34">
        <f t="shared" ref="ADW34" si="372">SUM(ADW2:ADW26)</f>
        <v>291.84173417091375</v>
      </c>
      <c r="ADX34" s="6" cm="1">
        <f t="array" ref="ADX34">INDEX(ADX1:ADX26,MAX(_xlfn._xlws.FILTER(ROW(ADX1:ADX26),ADX1:ADX26&lt;&gt;"")))</f>
        <v>494</v>
      </c>
      <c r="AEB34" s="6" t="str" cm="1">
        <f t="array" ref="AEB34">IF(INDEX(AED:AED,MAX(_xlfn._xlws.FILTER(ROW(AED:AED),AED:AED&lt;&gt;"")))&gt;INDEX(AEJ:AEJ,MAX(_xlfn._xlws.FILTER(ROW(AEJ:AEJ),AEJ:AEJ&lt;&gt;""))),AED1,AEJ1)</f>
        <v>Greedy</v>
      </c>
      <c r="AEC34">
        <f t="shared" ref="AEC34" si="373">SUM(AEC2:AEC26)</f>
        <v>270.91442966461182</v>
      </c>
      <c r="AED34" s="6" cm="1">
        <f t="array" ref="AED34">INDEX(AED1:AED26,MAX(_xlfn._xlws.FILTER(ROW(AED1:AED26),AED1:AED26&lt;&gt;"")))</f>
        <v>461</v>
      </c>
      <c r="AEE34" s="6">
        <f t="shared" ref="AEE34" si="374">IF(AEB34="Kans",AEJ34-AED34,AED34-AEJ34)</f>
        <v>22</v>
      </c>
      <c r="AEI34">
        <f t="shared" ref="AEI34" si="375">SUM(AEI2:AEI26)</f>
        <v>594.09276938438416</v>
      </c>
      <c r="AEJ34" s="6" cm="1">
        <f t="array" ref="AEJ34">INDEX(AEJ1:AEJ26,MAX(_xlfn._xlws.FILTER(ROW(AEJ1:AEJ26),AEJ1:AEJ26&lt;&gt;"")))</f>
        <v>439</v>
      </c>
      <c r="AEN34" s="6" t="str" cm="1">
        <f t="array" ref="AEN34">IF(INDEX(AEP:AEP,MAX(_xlfn._xlws.FILTER(ROW(AEP:AEP),AEP:AEP&lt;&gt;"")))&gt;INDEX(AEV:AEV,MAX(_xlfn._xlws.FILTER(ROW(AEV:AEV),AEV:AEV&lt;&gt;""))),AEP1,AEV1)</f>
        <v>Greedy</v>
      </c>
      <c r="AEO34">
        <f t="shared" ref="AEO34" si="376">SUM(AEO2:AEO26)</f>
        <v>167.66955018043518</v>
      </c>
      <c r="AEP34" s="6" cm="1">
        <f t="array" ref="AEP34">INDEX(AEP1:AEP26,MAX(_xlfn._xlws.FILTER(ROW(AEP1:AEP26),AEP1:AEP26&lt;&gt;"")))</f>
        <v>431</v>
      </c>
      <c r="AEQ34" s="6">
        <f t="shared" ref="AEQ34" si="377">IF(AEN34="Kans",AEV34-AEP34,AEP34-AEV34)</f>
        <v>34</v>
      </c>
      <c r="AEU34">
        <f t="shared" ref="AEU34" si="378">SUM(AEU2:AEU26)</f>
        <v>621.87142491340637</v>
      </c>
      <c r="AEV34" s="6" cm="1">
        <f t="array" ref="AEV34">INDEX(AEV1:AEV26,MAX(_xlfn._xlws.FILTER(ROW(AEV1:AEV26),AEV1:AEV26&lt;&gt;"")))</f>
        <v>397</v>
      </c>
      <c r="AEZ34" s="6" t="str" cm="1">
        <f t="array" ref="AEZ34">IF(INDEX(AFB:AFB,MAX(_xlfn._xlws.FILTER(ROW(AFB:AFB),AFB:AFB&lt;&gt;"")))&gt;INDEX(AFH:AFH,MAX(_xlfn._xlws.FILTER(ROW(AFH:AFH),AFH:AFH&lt;&gt;""))),AFB1,AFH1)</f>
        <v>Greedy</v>
      </c>
      <c r="AFA34">
        <f t="shared" ref="AFA34" si="379">SUM(AFA2:AFA26)</f>
        <v>269.6984326839447</v>
      </c>
      <c r="AFB34" s="6" cm="1">
        <f t="array" ref="AFB34">INDEX(AFB1:AFB26,MAX(_xlfn._xlws.FILTER(ROW(AFB1:AFB26),AFB1:AFB26&lt;&gt;"")))</f>
        <v>456</v>
      </c>
      <c r="AFC34" s="6">
        <f t="shared" ref="AFC34" si="380">IF(AEZ34="Kans",AFH34-AFB34,AFB34-AFH34)</f>
        <v>56</v>
      </c>
      <c r="AFG34">
        <f t="shared" ref="AFG34" si="381">SUM(AFG2:AFG26)</f>
        <v>344.2977831363678</v>
      </c>
      <c r="AFH34" s="6" cm="1">
        <f t="array" ref="AFH34">INDEX(AFH1:AFH26,MAX(_xlfn._xlws.FILTER(ROW(AFH1:AFH26),AFH1:AFH26&lt;&gt;"")))</f>
        <v>400</v>
      </c>
      <c r="AFL34" s="6" t="str" cm="1">
        <f t="array" ref="AFL34">IF(INDEX(AFN:AFN,MAX(_xlfn._xlws.FILTER(ROW(AFN:AFN),AFN:AFN&lt;&gt;"")))&gt;INDEX(AFT:AFT,MAX(_xlfn._xlws.FILTER(ROW(AFT:AFT),AFT:AFT&lt;&gt;""))),AFN1,AFT1)</f>
        <v>Greedy</v>
      </c>
      <c r="AFM34">
        <f t="shared" ref="AFM34" si="382">SUM(AFM2:AFM26)</f>
        <v>302.69732046127314</v>
      </c>
      <c r="AFN34" s="6" cm="1">
        <f t="array" ref="AFN34">INDEX(AFN1:AFN26,MAX(_xlfn._xlws.FILTER(ROW(AFN1:AFN26),AFN1:AFN26&lt;&gt;"")))</f>
        <v>503</v>
      </c>
      <c r="AFO34" s="6">
        <f t="shared" ref="AFO34" si="383">IF(AFL34="Kans",AFT34-AFN34,AFN34-AFT34)</f>
        <v>55</v>
      </c>
      <c r="AFS34">
        <f t="shared" ref="AFS34" si="384">SUM(AFS2:AFS26)</f>
        <v>349.81599164009094</v>
      </c>
      <c r="AFT34" s="6" cm="1">
        <f t="array" ref="AFT34">INDEX(AFT1:AFT26,MAX(_xlfn._xlws.FILTER(ROW(AFT1:AFT26),AFT1:AFT26&lt;&gt;"")))</f>
        <v>448</v>
      </c>
      <c r="AFX34" s="6" t="str" cm="1">
        <f t="array" ref="AFX34">IF(INDEX(AFZ:AFZ,MAX(_xlfn._xlws.FILTER(ROW(AFZ:AFZ),AFZ:AFZ&lt;&gt;"")))&gt;INDEX(AGF:AGF,MAX(_xlfn._xlws.FILTER(ROW(AGF:AGF),AGF:AGF&lt;&gt;""))),AFZ1,AGF1)</f>
        <v>Greedy</v>
      </c>
      <c r="AFY34">
        <f t="shared" ref="AFY34" si="385">SUM(AFY2:AFY26)</f>
        <v>418.6869969367981</v>
      </c>
      <c r="AFZ34" s="6" cm="1">
        <f t="array" ref="AFZ34">INDEX(AFZ1:AFZ26,MAX(_xlfn._xlws.FILTER(ROW(AFZ1:AFZ26),AFZ1:AFZ26&lt;&gt;"")))</f>
        <v>440</v>
      </c>
      <c r="AGA34" s="6">
        <f t="shared" ref="AGA34" si="386">IF(AFX34="Kans",AGF34-AFZ34,AFZ34-AGF34)</f>
        <v>46</v>
      </c>
      <c r="AGE34">
        <f t="shared" ref="AGE34" si="387">SUM(AGE2:AGE26)</f>
        <v>203.66812562942505</v>
      </c>
      <c r="AGF34" s="6" cm="1">
        <f t="array" ref="AGF34">INDEX(AGF1:AGF26,MAX(_xlfn._xlws.FILTER(ROW(AGF1:AGF26),AGF1:AGF26&lt;&gt;"")))</f>
        <v>394</v>
      </c>
      <c r="AGJ34" s="6" t="str" cm="1">
        <f t="array" ref="AGJ34">IF(INDEX(AGL:AGL,MAX(_xlfn._xlws.FILTER(ROW(AGL:AGL),AGL:AGL&lt;&gt;"")))&gt;INDEX(AGR:AGR,MAX(_xlfn._xlws.FILTER(ROW(AGR:AGR),AGR:AGR&lt;&gt;""))),AGL1,AGR1)</f>
        <v>Greedy</v>
      </c>
      <c r="AGK34">
        <f t="shared" ref="AGK34" si="388">SUM(AGK2:AGK26)</f>
        <v>260.33781862258911</v>
      </c>
      <c r="AGL34" s="6" cm="1">
        <f t="array" ref="AGL34">INDEX(AGL1:AGL26,MAX(_xlfn._xlws.FILTER(ROW(AGL1:AGL26),AGL1:AGL26&lt;&gt;"")))</f>
        <v>559</v>
      </c>
      <c r="AGM34" s="6">
        <f t="shared" ref="AGM34" si="389">IF(AGJ34="Kans",AGR34-AGL34,AGL34-AGR34)</f>
        <v>134</v>
      </c>
      <c r="AGQ34">
        <f t="shared" ref="AGQ34" si="390">SUM(AGQ2:AGQ26)</f>
        <v>369.35881900787354</v>
      </c>
      <c r="AGR34" s="6" cm="1">
        <f t="array" ref="AGR34">INDEX(AGR1:AGR26,MAX(_xlfn._xlws.FILTER(ROW(AGR1:AGR26),AGR1:AGR26&lt;&gt;"")))</f>
        <v>425</v>
      </c>
      <c r="AGV34" s="6" t="str" cm="1">
        <f t="array" ref="AGV34">IF(INDEX(AGX:AGX,MAX(_xlfn._xlws.FILTER(ROW(AGX:AGX),AGX:AGX&lt;&gt;"")))&gt;INDEX(AHD:AHD,MAX(_xlfn._xlws.FILTER(ROW(AHD:AHD),AHD:AHD&lt;&gt;""))),AGX1,AHD1)</f>
        <v>Boardposition</v>
      </c>
      <c r="AGW34">
        <f t="shared" ref="AGW34" si="391">SUM(AGW2:AGW26)</f>
        <v>248.71148228645325</v>
      </c>
      <c r="AGX34" s="6" cm="1">
        <f t="array" ref="AGX34">INDEX(AGX1:AGX26,MAX(_xlfn._xlws.FILTER(ROW(AGX1:AGX26),AGX1:AGX26&lt;&gt;"")))</f>
        <v>419</v>
      </c>
      <c r="AGY34" s="6">
        <f t="shared" ref="AGY34" si="392">IF(AGV34="Kans",AHD34-AGX34,AGX34-AHD34)</f>
        <v>-97</v>
      </c>
      <c r="AHC34">
        <f t="shared" ref="AHC34" si="393">SUM(AHC2:AHC26)</f>
        <v>785.98308229446434</v>
      </c>
      <c r="AHD34" s="6" cm="1">
        <f t="array" ref="AHD34">INDEX(AHD1:AHD26,MAX(_xlfn._xlws.FILTER(ROW(AHD1:AHD26),AHD1:AHD26&lt;&gt;"")))</f>
        <v>516</v>
      </c>
      <c r="AHH34" s="6" t="str" cm="1">
        <f t="array" ref="AHH34">IF(INDEX(AHJ:AHJ,MAX(_xlfn._xlws.FILTER(ROW(AHJ:AHJ),AHJ:AHJ&lt;&gt;"")))&gt;INDEX(AHP:AHP,MAX(_xlfn._xlws.FILTER(ROW(AHP:AHP),AHP:AHP&lt;&gt;""))),AHJ1,AHP1)</f>
        <v>Greedy</v>
      </c>
      <c r="AHI34">
        <f t="shared" ref="AHI34" si="394">SUM(AHI2:AHI26)</f>
        <v>396.59364461898804</v>
      </c>
      <c r="AHJ34" s="6" cm="1">
        <f t="array" ref="AHJ34">INDEX(AHJ1:AHJ26,MAX(_xlfn._xlws.FILTER(ROW(AHJ1:AHJ26),AHJ1:AHJ26&lt;&gt;"")))</f>
        <v>446</v>
      </c>
      <c r="AHK34" s="6">
        <f t="shared" ref="AHK34" si="395">IF(AHH34="Kans",AHP34-AHJ34,AHJ34-AHP34)</f>
        <v>47</v>
      </c>
      <c r="AHO34">
        <f t="shared" ref="AHO34" si="396">SUM(AHO2:AHO26)</f>
        <v>190.78093981742859</v>
      </c>
      <c r="AHP34" s="6" cm="1">
        <f t="array" ref="AHP34">INDEX(AHP1:AHP26,MAX(_xlfn._xlws.FILTER(ROW(AHP1:AHP26),AHP1:AHP26&lt;&gt;"")))</f>
        <v>399</v>
      </c>
      <c r="AHT34" s="6" t="str" cm="1">
        <f t="array" ref="AHT34">IF(INDEX(AHV:AHV,MAX(_xlfn._xlws.FILTER(ROW(AHV:AHV),AHV:AHV&lt;&gt;"")))&gt;INDEX(AIB:AIB,MAX(_xlfn._xlws.FILTER(ROW(AIB:AIB),AIB:AIB&lt;&gt;""))),AHV1,AIB1)</f>
        <v>Greedy</v>
      </c>
      <c r="AHU34">
        <f t="shared" ref="AHU34" si="397">SUM(AHU2:AHU26)</f>
        <v>229.23986124992371</v>
      </c>
      <c r="AHV34" s="6" cm="1">
        <f t="array" ref="AHV34">INDEX(AHV1:AHV26,MAX(_xlfn._xlws.FILTER(ROW(AHV1:AHV26),AHV1:AHV26&lt;&gt;"")))</f>
        <v>566</v>
      </c>
      <c r="AHW34" s="6">
        <f t="shared" ref="AHW34" si="398">IF(AHT34="Kans",AIB34-AHV34,AHV34-AIB34)</f>
        <v>228</v>
      </c>
      <c r="AIA34">
        <f t="shared" ref="AIA34" si="399">SUM(AIA2:AIA26)</f>
        <v>396.33692312240601</v>
      </c>
      <c r="AIB34" s="6" cm="1">
        <f t="array" ref="AIB34">INDEX(AIB1:AIB26,MAX(_xlfn._xlws.FILTER(ROW(AIB1:AIB26),AIB1:AIB26&lt;&gt;"")))</f>
        <v>338</v>
      </c>
      <c r="AIF34" s="6" t="str" cm="1">
        <f t="array" ref="AIF34">IF(INDEX(AIH:AIH,MAX(_xlfn._xlws.FILTER(ROW(AIH:AIH),AIH:AIH&lt;&gt;"")))&gt;INDEX(AIN:AIN,MAX(_xlfn._xlws.FILTER(ROW(AIN:AIN),AIN:AIN&lt;&gt;""))),AIH1,AIN1)</f>
        <v>Greedy</v>
      </c>
      <c r="AIG34">
        <f t="shared" ref="AIG34" si="400">SUM(AIG2:AIG26)</f>
        <v>290.22236943244934</v>
      </c>
      <c r="AIH34" s="6" cm="1">
        <f t="array" ref="AIH34">INDEX(AIH1:AIH26,MAX(_xlfn._xlws.FILTER(ROW(AIH1:AIH26),AIH1:AIH26&lt;&gt;"")))</f>
        <v>428</v>
      </c>
      <c r="AII34" s="6">
        <f t="shared" ref="AII34" si="401">IF(AIF34="Kans",AIN34-AIH34,AIH34-AIN34)</f>
        <v>21</v>
      </c>
      <c r="AIM34">
        <f t="shared" ref="AIM34" si="402">SUM(AIM2:AIM26)</f>
        <v>254.78891968727112</v>
      </c>
      <c r="AIN34" s="6" cm="1">
        <f t="array" ref="AIN34">INDEX(AIN1:AIN26,MAX(_xlfn._xlws.FILTER(ROW(AIN1:AIN26),AIN1:AIN26&lt;&gt;"")))</f>
        <v>407</v>
      </c>
      <c r="AIR34" s="6" t="str" cm="1">
        <f t="array" ref="AIR34">IF(INDEX(AIT:AIT,MAX(_xlfn._xlws.FILTER(ROW(AIT:AIT),AIT:AIT&lt;&gt;"")))&gt;INDEX(AIZ:AIZ,MAX(_xlfn._xlws.FILTER(ROW(AIZ:AIZ),AIZ:AIZ&lt;&gt;""))),AIT1,AIZ1)</f>
        <v>Boardposition</v>
      </c>
      <c r="AIS34">
        <f t="shared" ref="AIS34" si="403">SUM(AIS2:AIS26)</f>
        <v>210.28292059898376</v>
      </c>
      <c r="AIT34" s="6" cm="1">
        <f t="array" ref="AIT34">INDEX(AIT1:AIT26,MAX(_xlfn._xlws.FILTER(ROW(AIT1:AIT26),AIT1:AIT26&lt;&gt;"")))</f>
        <v>378</v>
      </c>
      <c r="AIU34" s="6">
        <f t="shared" ref="AIU34" si="404">IF(AIR34="Kans",AIZ34-AIT34,AIT34-AIZ34)</f>
        <v>-64</v>
      </c>
      <c r="AIY34">
        <f t="shared" ref="AIY34" si="405">SUM(AIY2:AIY26)</f>
        <v>282.88887500762939</v>
      </c>
      <c r="AIZ34" s="6" cm="1">
        <f t="array" ref="AIZ34">INDEX(AIZ1:AIZ26,MAX(_xlfn._xlws.FILTER(ROW(AIZ1:AIZ26),AIZ1:AIZ26&lt;&gt;"")))</f>
        <v>442</v>
      </c>
      <c r="AJD34" s="6" t="str" cm="1">
        <f t="array" ref="AJD34">IF(INDEX(AJF:AJF,MAX(_xlfn._xlws.FILTER(ROW(AJF:AJF),AJF:AJF&lt;&gt;"")))&gt;INDEX(AJL:AJL,MAX(_xlfn._xlws.FILTER(ROW(AJL:AJL),AJL:AJL&lt;&gt;""))),AJF1,AJL1)</f>
        <v>Greedy</v>
      </c>
      <c r="AJE34">
        <f t="shared" ref="AJE34" si="406">SUM(AJE2:AJE26)</f>
        <v>588.05169820785522</v>
      </c>
      <c r="AJF34" s="6" cm="1">
        <f t="array" ref="AJF34">INDEX(AJF1:AJF26,MAX(_xlfn._xlws.FILTER(ROW(AJF1:AJF26),AJF1:AJF26&lt;&gt;"")))</f>
        <v>576</v>
      </c>
      <c r="AJG34" s="6">
        <f t="shared" ref="AJG34" si="407">IF(AJD34="Kans",AJL34-AJF34,AJF34-AJL34)</f>
        <v>170</v>
      </c>
      <c r="AJK34">
        <f t="shared" ref="AJK34" si="408">SUM(AJK2:AJK26)</f>
        <v>236.33518409729004</v>
      </c>
      <c r="AJL34" s="6" cm="1">
        <f t="array" ref="AJL34">INDEX(AJL1:AJL26,MAX(_xlfn._xlws.FILTER(ROW(AJL1:AJL26),AJL1:AJL26&lt;&gt;"")))</f>
        <v>406</v>
      </c>
      <c r="AJP34" s="6" t="str" cm="1">
        <f t="array" ref="AJP34">IF(INDEX(AJR:AJR,MAX(_xlfn._xlws.FILTER(ROW(AJR:AJR),AJR:AJR&lt;&gt;"")))&gt;INDEX(AJX:AJX,MAX(_xlfn._xlws.FILTER(ROW(AJX:AJX),AJX:AJX&lt;&gt;""))),AJR1,AJX1)</f>
        <v>Greedy</v>
      </c>
      <c r="AJQ34">
        <f t="shared" ref="AJQ34" si="409">SUM(AJQ2:AJQ26)</f>
        <v>231.45533871650696</v>
      </c>
      <c r="AJR34" s="6" cm="1">
        <f t="array" ref="AJR34">INDEX(AJR1:AJR26,MAX(_xlfn._xlws.FILTER(ROW(AJR1:AJR26),AJR1:AJR26&lt;&gt;"")))</f>
        <v>468</v>
      </c>
      <c r="AJS34" s="6">
        <f t="shared" ref="AJS34" si="410">IF(AJP34="Kans",AJX34-AJR34,AJR34-AJX34)</f>
        <v>15</v>
      </c>
      <c r="AJW34">
        <f t="shared" ref="AJW34" si="411">SUM(AJW2:AJW26)</f>
        <v>406.02066969871515</v>
      </c>
      <c r="AJX34" s="6" cm="1">
        <f t="array" ref="AJX34">INDEX(AJX1:AJX26,MAX(_xlfn._xlws.FILTER(ROW(AJX1:AJX26),AJX1:AJX26&lt;&gt;"")))</f>
        <v>453</v>
      </c>
      <c r="AKB34" s="6" t="str" cm="1">
        <f t="array" ref="AKB34">IF(INDEX(AKD:AKD,MAX(_xlfn._xlws.FILTER(ROW(AKD:AKD),AKD:AKD&lt;&gt;"")))&gt;INDEX(AKJ:AKJ,MAX(_xlfn._xlws.FILTER(ROW(AKJ:AKJ),AKJ:AKJ&lt;&gt;""))),AKD1,AKJ1)</f>
        <v>Boardposition</v>
      </c>
      <c r="AKC34">
        <f t="shared" ref="AKC34" si="412">SUM(AKC2:AKC26)</f>
        <v>179.35531997680664</v>
      </c>
      <c r="AKD34" s="6" cm="1">
        <f t="array" ref="AKD34">INDEX(AKD1:AKD26,MAX(_xlfn._xlws.FILTER(ROW(AKD1:AKD26),AKD1:AKD26&lt;&gt;"")))</f>
        <v>423</v>
      </c>
      <c r="AKE34" s="6">
        <f t="shared" ref="AKE34" si="413">IF(AKB34="Kans",AKJ34-AKD34,AKD34-AKJ34)</f>
        <v>-53</v>
      </c>
      <c r="AKI34">
        <f t="shared" ref="AKI34" si="414">SUM(AKI2:AKI26)</f>
        <v>405.43383026123047</v>
      </c>
      <c r="AKJ34" s="6" cm="1">
        <f t="array" ref="AKJ34">INDEX(AKJ1:AKJ26,MAX(_xlfn._xlws.FILTER(ROW(AKJ1:AKJ26),AKJ1:AKJ26&lt;&gt;"")))</f>
        <v>476</v>
      </c>
      <c r="AKN34" s="6" t="str" cm="1">
        <f t="array" ref="AKN34">IF(INDEX(AKP:AKP,MAX(_xlfn._xlws.FILTER(ROW(AKP:AKP),AKP:AKP&lt;&gt;"")))&gt;INDEX(AKV:AKV,MAX(_xlfn._xlws.FILTER(ROW(AKV:AKV),AKV:AKV&lt;&gt;""))),AKP1,AKV1)</f>
        <v>Boardposition</v>
      </c>
      <c r="AKO34">
        <f t="shared" ref="AKO34" si="415">SUM(AKO2:AKO26)</f>
        <v>215.67926335334778</v>
      </c>
      <c r="AKP34" s="6" cm="1">
        <f t="array" ref="AKP34">INDEX(AKP1:AKP26,MAX(_xlfn._xlws.FILTER(ROW(AKP1:AKP26),AKP1:AKP26&lt;&gt;"")))</f>
        <v>394</v>
      </c>
      <c r="AKQ34" s="6">
        <f t="shared" ref="AKQ34" si="416">IF(AKN34="Kans",AKV34-AKP34,AKP34-AKV34)</f>
        <v>-102</v>
      </c>
      <c r="AKU34">
        <f t="shared" ref="AKU34" si="417">SUM(AKU2:AKU26)</f>
        <v>310.26601481437683</v>
      </c>
      <c r="AKV34" s="6" cm="1">
        <f t="array" ref="AKV34">INDEX(AKV1:AKV26,MAX(_xlfn._xlws.FILTER(ROW(AKV1:AKV26),AKV1:AKV26&lt;&gt;"")))</f>
        <v>496</v>
      </c>
      <c r="AKZ34" s="6" t="str" cm="1">
        <f t="array" ref="AKZ34">IF(INDEX(ALB:ALB,MAX(_xlfn._xlws.FILTER(ROW(ALB:ALB),ALB:ALB&lt;&gt;"")))&gt;INDEX(ALH:ALH,MAX(_xlfn._xlws.FILTER(ROW(ALH:ALH),ALH:ALH&lt;&gt;""))),ALB1,ALH1)</f>
        <v>Greedy</v>
      </c>
      <c r="ALA34">
        <f t="shared" ref="ALA34" si="418">SUM(ALA2:ALA26)</f>
        <v>234.16481590270996</v>
      </c>
      <c r="ALB34" s="6" cm="1">
        <f t="array" ref="ALB34">INDEX(ALB1:ALB26,MAX(_xlfn._xlws.FILTER(ROW(ALB1:ALB26),ALB1:ALB26&lt;&gt;"")))</f>
        <v>519</v>
      </c>
      <c r="ALC34" s="6">
        <f t="shared" ref="ALC34" si="419">IF(AKZ34="Kans",ALH34-ALB34,ALB34-ALH34)</f>
        <v>4</v>
      </c>
      <c r="ALG34">
        <f t="shared" ref="ALG34" si="420">SUM(ALG2:ALG26)</f>
        <v>451.56170344352728</v>
      </c>
      <c r="ALH34" s="6" cm="1">
        <f t="array" ref="ALH34">INDEX(ALH1:ALH26,MAX(_xlfn._xlws.FILTER(ROW(ALH1:ALH26),ALH1:ALH26&lt;&gt;"")))</f>
        <v>515</v>
      </c>
      <c r="ALL34" s="6" t="str" cm="1">
        <f t="array" ref="ALL34">IF(INDEX(ALN:ALN,MAX(_xlfn._xlws.FILTER(ROW(ALN:ALN),ALN:ALN&lt;&gt;"")))&gt;INDEX(ALT:ALT,MAX(_xlfn._xlws.FILTER(ROW(ALT:ALT),ALT:ALT&lt;&gt;""))),ALN1,ALT1)</f>
        <v>Greedy</v>
      </c>
      <c r="ALM34">
        <f t="shared" ref="ALM34" si="421">SUM(ALM2:ALM26)</f>
        <v>200.2281346321106</v>
      </c>
      <c r="ALN34" s="6" cm="1">
        <f t="array" ref="ALN34">INDEX(ALN1:ALN26,MAX(_xlfn._xlws.FILTER(ROW(ALN1:ALN26),ALN1:ALN26&lt;&gt;"")))</f>
        <v>510</v>
      </c>
      <c r="ALO34" s="6">
        <f t="shared" ref="ALO34" si="422">IF(ALL34="Kans",ALT34-ALN34,ALN34-ALT34)</f>
        <v>110</v>
      </c>
      <c r="ALS34">
        <f t="shared" ref="ALS34" si="423">SUM(ALS2:ALS26)</f>
        <v>678.54374694824219</v>
      </c>
      <c r="ALT34" s="6" cm="1">
        <f t="array" ref="ALT34">INDEX(ALT1:ALT26,MAX(_xlfn._xlws.FILTER(ROW(ALT1:ALT26),ALT1:ALT26&lt;&gt;"")))</f>
        <v>400</v>
      </c>
      <c r="ALX34" s="6" t="str" cm="1">
        <f t="array" ref="ALX34">IF(INDEX(ALZ:ALZ,MAX(_xlfn._xlws.FILTER(ROW(ALZ:ALZ),ALZ:ALZ&lt;&gt;"")))&gt;INDEX(AMF:AMF,MAX(_xlfn._xlws.FILTER(ROW(AMF:AMF),AMF:AMF&lt;&gt;""))),ALZ1,AMF1)</f>
        <v>Greedy</v>
      </c>
      <c r="ALY34">
        <f t="shared" ref="ALY34" si="424">SUM(ALY2:ALY26)</f>
        <v>218.92602896690369</v>
      </c>
      <c r="ALZ34" s="6" cm="1">
        <f t="array" ref="ALZ34">INDEX(ALZ1:ALZ26,MAX(_xlfn._xlws.FILTER(ROW(ALZ1:ALZ26),ALZ1:ALZ26&lt;&gt;"")))</f>
        <v>519</v>
      </c>
      <c r="AMA34" s="6">
        <f t="shared" ref="AMA34" si="425">IF(ALX34="Kans",AMF34-ALZ34,ALZ34-AMF34)</f>
        <v>115</v>
      </c>
      <c r="AME34">
        <f t="shared" ref="AME34" si="426">SUM(AME2:AME26)</f>
        <v>268.56498527526855</v>
      </c>
      <c r="AMF34" s="6" cm="1">
        <f t="array" ref="AMF34">INDEX(AMF1:AMF26,MAX(_xlfn._xlws.FILTER(ROW(AMF1:AMF26),AMF1:AMF26&lt;&gt;"")))</f>
        <v>404</v>
      </c>
      <c r="AMJ34" s="6" t="str" cm="1">
        <f t="array" ref="AMJ34">IF(INDEX(AML:AML,MAX(_xlfn._xlws.FILTER(ROW(AML:AML),AML:AML&lt;&gt;"")))&gt;INDEX(AMR:AMR,MAX(_xlfn._xlws.FILTER(ROW(AMR:AMR),AMR:AMR&lt;&gt;""))),AML1,AMR1)</f>
        <v>Greedy</v>
      </c>
      <c r="AMK34">
        <f t="shared" ref="AMK34" si="427">SUM(AMK2:AMK26)</f>
        <v>348.53288865089422</v>
      </c>
      <c r="AML34" s="6" cm="1">
        <f t="array" ref="AML34">INDEX(AML1:AML26,MAX(_xlfn._xlws.FILTER(ROW(AML1:AML26),AML1:AML26&lt;&gt;"")))</f>
        <v>425</v>
      </c>
      <c r="AMM34" s="6">
        <f t="shared" ref="AMM34" si="428">IF(AMJ34="Kans",AMR34-AML34,AML34-AMR34)</f>
        <v>-19</v>
      </c>
      <c r="AMQ34">
        <f>SUM(AMQ2:AMQ26)</f>
        <v>196.83965754508972</v>
      </c>
      <c r="AMR34" s="6" cm="1">
        <f t="array" ref="AMR34">INDEX(AMR1:AMR26,MAX(_xlfn._xlws.FILTER(ROW(AMR1:AMR26),AMR1:AMR26&lt;&gt;"")))</f>
        <v>444</v>
      </c>
    </row>
    <row r="45" spans="1:1032" x14ac:dyDescent="0.25">
      <c r="A45" s="6" t="s">
        <v>4337</v>
      </c>
      <c r="B45" s="6" t="s">
        <v>4342</v>
      </c>
      <c r="C45" s="6" t="s">
        <v>1</v>
      </c>
      <c r="D45" s="6" t="s">
        <v>4338</v>
      </c>
    </row>
    <row r="46" spans="1:1032" x14ac:dyDescent="0.25">
      <c r="A46" s="6" t="s">
        <v>4339</v>
      </c>
      <c r="B46">
        <v>43</v>
      </c>
      <c r="C46">
        <v>43</v>
      </c>
      <c r="D46">
        <f>SUM(B46:C46)</f>
        <v>86</v>
      </c>
    </row>
    <row r="48" spans="1:1032" x14ac:dyDescent="0.25">
      <c r="A48" s="6"/>
      <c r="B48" s="6" t="s">
        <v>4344</v>
      </c>
      <c r="C48" s="6" t="s">
        <v>4345</v>
      </c>
      <c r="D48" s="6" t="s">
        <v>4346</v>
      </c>
      <c r="E48" s="6" t="s">
        <v>4347</v>
      </c>
      <c r="F48" s="6" t="s">
        <v>4348</v>
      </c>
      <c r="G48" s="6" t="s">
        <v>4349</v>
      </c>
      <c r="I48" s="6" t="s">
        <v>4350</v>
      </c>
    </row>
    <row r="49" spans="1:519" x14ac:dyDescent="0.25">
      <c r="A49" s="7" t="s">
        <v>4343</v>
      </c>
      <c r="B49">
        <f>COUNTIF(34:34,"Boardposition")</f>
        <v>34</v>
      </c>
      <c r="C49" s="8" cm="1">
        <f t="array" ref="C49">SUM(_xlfn._xlws.FILTER($B$34:$AVL$34,($B$1:$AVL$1="Boardposition")))/$D$46</f>
        <v>432.90697674418607</v>
      </c>
      <c r="D49" s="9" cm="1">
        <f t="array" ref="D49">_xlfn.STDEV.P(_xlfn._xlws.FILTER($B$34:$AVL$34,($B$1:$AVL$1="Boardposition")))</f>
        <v>60.446714552258747</v>
      </c>
      <c r="E49" s="8" t="str" cm="1">
        <f t="array" ref="E49">TEXT(SUM(_xlfn._xlws.FILTER($B$34:$AVL$34,($B$1:$AVL$1="Move time Boardposition")))/$D$46/86400,"mm:ss")</f>
        <v>05:40</v>
      </c>
      <c r="F49" t="str" cm="1">
        <f t="array" ref="F49">TEXT(AVERAGE(_xlfn._xlws.FILTER($B$2:$AVL$26,($B$1:$AVL$1="Move time Boardposition")))/86400,"ss,00")</f>
        <v>21,18</v>
      </c>
      <c r="I49">
        <v>1</v>
      </c>
      <c r="J49">
        <f>51/34</f>
        <v>1.5</v>
      </c>
    </row>
    <row r="50" spans="1:519" x14ac:dyDescent="0.25">
      <c r="A50" s="7" t="s">
        <v>1</v>
      </c>
      <c r="B50">
        <f>COUNTIF(34:34,"Greedy")</f>
        <v>51</v>
      </c>
      <c r="C50" s="8" cm="1">
        <f t="array" ref="C50">SUM(_xlfn._xlws.FILTER($B$34:$AVL$34,($B$1:$AVL$1="Greedy")))/$D$46</f>
        <v>448.46511627906978</v>
      </c>
      <c r="D50" s="9" cm="1">
        <f t="array" ref="D50">_xlfn.STDEV.P(_xlfn._xlws.FILTER($B$34:$AVL$34,($B$1:$AVL$1="Greedy")))</f>
        <v>57.635724078931794</v>
      </c>
      <c r="E50" s="8" t="str" cm="1">
        <f t="array" ref="E50">TEXT(SUM(_xlfn._xlws.FILTER($B$34:$AVL$34,($B$1:$AVL$1="Move time Greedy")))/$D$46/86400,"mm:ss")</f>
        <v>05:09</v>
      </c>
      <c r="F50" t="str" cm="1">
        <f t="array" ref="F50">TEXT(AVERAGE(_xlfn._xlws.FILTER($B$2:$AVL$26,($B$1:$AVL$1="Move time Greedy")))/86400,"ss,00")</f>
        <v>19,34</v>
      </c>
      <c r="I50">
        <v>1</v>
      </c>
      <c r="J50">
        <f>34/51</f>
        <v>0.66666666666666663</v>
      </c>
    </row>
    <row r="51" spans="1:519" x14ac:dyDescent="0.25">
      <c r="A51" s="7" t="s">
        <v>4351</v>
      </c>
      <c r="B51">
        <f>D46-B50-B49</f>
        <v>1</v>
      </c>
      <c r="E51" s="8"/>
    </row>
    <row r="55" spans="1:519" x14ac:dyDescent="0.25">
      <c r="A55" t="s">
        <v>4352</v>
      </c>
    </row>
    <row r="56" spans="1:519" x14ac:dyDescent="0.25">
      <c r="B56" t="s">
        <v>4342</v>
      </c>
      <c r="C56" t="s">
        <v>1</v>
      </c>
      <c r="SX56" t="s">
        <v>1</v>
      </c>
      <c r="SY56" t="s">
        <v>4342</v>
      </c>
    </row>
    <row r="57" spans="1:519" x14ac:dyDescent="0.25">
      <c r="A57">
        <v>0</v>
      </c>
      <c r="B57">
        <v>0</v>
      </c>
      <c r="C57">
        <v>0</v>
      </c>
      <c r="SW57">
        <v>0</v>
      </c>
      <c r="SX57">
        <v>0</v>
      </c>
      <c r="SY57">
        <v>0</v>
      </c>
    </row>
    <row r="58" spans="1:519" x14ac:dyDescent="0.25">
      <c r="A58">
        <v>1</v>
      </c>
      <c r="B58" s="9">
        <f>AVERAGE(F3,R3,AD3,AP3,BB3,BN3,BZ3,CL3,CX3,DJ3,DV3,EH3,ET3,FF3,FR3,GD3,GP3,HB3,HN3,HZ3,IL3,IX3,JJ3,JV3,KH3,KT3,LF3,LR3,MD3,MP3,NB3,NN3,NZ3,OL3,OX3,PJ3,PV3,QH3,QT3,RF3,RR3,SD3,SP3,AML3)</f>
        <v>15.659090909090908</v>
      </c>
      <c r="C58" s="9">
        <f>AVERAGE(L3,X3,AJ3,AV3,BH3,BT3,CF3,CR3,DD3,DP3,EB3,EN3,EZ3,FL3,FX3,GJ3,GV3,HH3,HT3,IF3,IR3,JD3,JP3,KB3,KN3,KZ3,LL3,LX3,MJ3,MV3,NH3,NT3,OF3,OR3,PD3,PP3,QB3,QN3,QZ3,RL3,RX3,SJ3,SV3,AMR3)</f>
        <v>30.727272727272727</v>
      </c>
      <c r="SW58">
        <v>1</v>
      </c>
      <c r="SX58" s="9">
        <f>AVERAGE(TB3,TN3,TZ3,UL3,UX3,VJ3,VV3,WH3,WT3,XF3,XR3,YD3,YP3,ZB3,ZN3,ZZ3,AAL3,AAX3,ABJ3,ABV3,ACH3,ACT3,ADF3,ADR3,AED3,AEP3,AFB3,AFN3,AFZ3,AGL3,AGX3,AHJ3,AHV3,AIH3,AIT3,AJF3,AJR3,AKD3,AKP3,ALB3,ALN3,ALZ3)</f>
        <v>26.547619047619047</v>
      </c>
      <c r="SY58" s="9">
        <f>AVERAGE(TH3,TT3,UF3,UR3,VD3,VP3,WB3,WN3,WZ3,XL3,XX3,YJ3,YV3,ZH3,ZT3,AAF3,AAR3,ABD3,ABP3,ACB3,ACN3,ACZ3,ADL3,ADX3,AEJ3,AEV3,AFH3,AFT3,AGF3,AGR3,AHD3,AHP3,AIB3,AIN3,AIZ3,AJL3,AJX3,AKJ3,AKV3,ALH3,ALT3,AMF3)</f>
        <v>32.452380952380949</v>
      </c>
    </row>
    <row r="59" spans="1:519" x14ac:dyDescent="0.25">
      <c r="A59">
        <v>2</v>
      </c>
      <c r="B59" s="9">
        <f t="shared" ref="B59:B81" si="429">AVERAGE(F4,R4,AD4,AP4,BB4,BN4,BZ4,CL4,CX4,DJ4,DV4,EH4,ET4,FF4,FR4,GD4,GP4,HB4,HN4,HZ4,IL4,IX4,JJ4,JV4,KH4,KT4,LF4,LR4,MD4,MP4,NB4,NN4,NZ4,OL4,OX4,PJ4,PV4,QH4,QT4,RF4,RR4,SD4,SP4,AML4)</f>
        <v>53.795454545454547</v>
      </c>
      <c r="C59" s="9">
        <f t="shared" ref="C59:C81" si="430">AVERAGE(L4,X4,AJ4,AV4,BH4,BT4,CF4,CR4,DD4,DP4,EB4,EN4,EZ4,FL4,FX4,GJ4,GV4,HH4,HT4,IF4,IR4,JD4,JP4,KB4,KN4,KZ4,LL4,LX4,MJ4,MV4,NH4,NT4,OF4,OR4,PD4,PP4,QB4,QN4,QZ4,RL4,RX4,SJ4,SV4,AMR4)</f>
        <v>71.068181818181813</v>
      </c>
      <c r="SW59">
        <v>2</v>
      </c>
      <c r="SX59" s="9">
        <f t="shared" ref="SX59:SX81" si="431">AVERAGE(TB4,TN4,TZ4,UL4,UX4,VJ4,VV4,WH4,WT4,XF4,XR4,YD4,YP4,ZB4,ZN4,ZZ4,AAL4,AAX4,ABJ4,ABV4,ACH4,ACT4,ADF4,ADR4,AED4,AEP4,AFB4,AFN4,AFZ4,AGL4,AGX4,AHJ4,AHV4,AIH4,AIT4,AJF4,AJR4,AKD4,AKP4,ALB4,ALN4,ALZ4)</f>
        <v>65.714285714285708</v>
      </c>
      <c r="SY59" s="9">
        <f t="shared" ref="SY59:SY81" si="432">AVERAGE(TH4,TT4,UF4,UR4,VD4,VP4,WB4,WN4,WZ4,XL4,XX4,YJ4,YV4,ZH4,ZT4,AAF4,AAR4,ABD4,ABP4,ACB4,ACN4,ACZ4,ADL4,ADX4,AEJ4,AEV4,AFH4,AFT4,AGF4,AGR4,AHD4,AHP4,AIB4,AIN4,AIZ4,AJL4,AJX4,AKJ4,AKV4,ALH4,ALT4,AMF4)</f>
        <v>65.285714285714292</v>
      </c>
    </row>
    <row r="60" spans="1:519" x14ac:dyDescent="0.25">
      <c r="A60">
        <v>3</v>
      </c>
      <c r="B60" s="9">
        <f t="shared" si="429"/>
        <v>86.522727272727266</v>
      </c>
      <c r="C60" s="9">
        <f t="shared" si="430"/>
        <v>108</v>
      </c>
      <c r="SW60">
        <v>3</v>
      </c>
      <c r="SX60" s="9">
        <f t="shared" si="431"/>
        <v>103.9047619047619</v>
      </c>
      <c r="SY60" s="9">
        <f t="shared" si="432"/>
        <v>102.54761904761905</v>
      </c>
    </row>
    <row r="61" spans="1:519" x14ac:dyDescent="0.25">
      <c r="A61">
        <v>4</v>
      </c>
      <c r="B61" s="9">
        <f t="shared" si="429"/>
        <v>119.90909090909091</v>
      </c>
      <c r="C61" s="9">
        <f t="shared" si="430"/>
        <v>143.06818181818181</v>
      </c>
      <c r="SW61">
        <v>4</v>
      </c>
      <c r="SX61" s="9">
        <f t="shared" si="431"/>
        <v>141.66666666666666</v>
      </c>
      <c r="SY61" s="9">
        <f t="shared" si="432"/>
        <v>131.83333333333334</v>
      </c>
    </row>
    <row r="62" spans="1:519" x14ac:dyDescent="0.25">
      <c r="A62">
        <v>5</v>
      </c>
      <c r="B62" s="9">
        <f t="shared" si="429"/>
        <v>152.13636363636363</v>
      </c>
      <c r="C62" s="9">
        <f t="shared" si="430"/>
        <v>182.5</v>
      </c>
      <c r="SW62">
        <v>5</v>
      </c>
      <c r="SX62" s="9">
        <f t="shared" si="431"/>
        <v>176.33333333333334</v>
      </c>
      <c r="SY62" s="9">
        <f t="shared" si="432"/>
        <v>169.73809523809524</v>
      </c>
    </row>
    <row r="63" spans="1:519" x14ac:dyDescent="0.25">
      <c r="A63">
        <v>6</v>
      </c>
      <c r="B63" s="9">
        <f t="shared" si="429"/>
        <v>186.79545454545453</v>
      </c>
      <c r="C63" s="9">
        <f t="shared" si="430"/>
        <v>214.97727272727272</v>
      </c>
      <c r="SW63">
        <v>6</v>
      </c>
      <c r="SX63" s="9">
        <f t="shared" si="431"/>
        <v>207.73809523809524</v>
      </c>
      <c r="SY63" s="9">
        <f t="shared" si="432"/>
        <v>200.92857142857142</v>
      </c>
    </row>
    <row r="64" spans="1:519" x14ac:dyDescent="0.25">
      <c r="A64">
        <v>7</v>
      </c>
      <c r="B64" s="9">
        <f t="shared" si="429"/>
        <v>213.93181818181819</v>
      </c>
      <c r="C64" s="9">
        <f t="shared" si="430"/>
        <v>249.36363636363637</v>
      </c>
      <c r="SW64">
        <v>7</v>
      </c>
      <c r="SX64" s="9">
        <f t="shared" si="431"/>
        <v>242.28571428571428</v>
      </c>
      <c r="SY64" s="9">
        <f t="shared" si="432"/>
        <v>235.45238095238096</v>
      </c>
    </row>
    <row r="65" spans="1:519" x14ac:dyDescent="0.25">
      <c r="A65">
        <v>8</v>
      </c>
      <c r="B65" s="9">
        <f t="shared" si="429"/>
        <v>242.06818181818181</v>
      </c>
      <c r="C65" s="9">
        <f t="shared" si="430"/>
        <v>278.59090909090907</v>
      </c>
      <c r="SW65">
        <v>8</v>
      </c>
      <c r="SX65" s="9">
        <f t="shared" si="431"/>
        <v>276.59523809523807</v>
      </c>
      <c r="SY65" s="9">
        <f t="shared" si="432"/>
        <v>268.6904761904762</v>
      </c>
    </row>
    <row r="66" spans="1:519" x14ac:dyDescent="0.25">
      <c r="A66">
        <v>9</v>
      </c>
      <c r="B66" s="9">
        <f t="shared" si="429"/>
        <v>273.36363636363637</v>
      </c>
      <c r="C66" s="9">
        <f t="shared" si="430"/>
        <v>306</v>
      </c>
      <c r="SW66">
        <v>9</v>
      </c>
      <c r="SX66" s="9">
        <f t="shared" si="431"/>
        <v>305.57142857142856</v>
      </c>
      <c r="SY66" s="9">
        <f t="shared" si="432"/>
        <v>296.23809523809524</v>
      </c>
    </row>
    <row r="67" spans="1:519" x14ac:dyDescent="0.25">
      <c r="A67">
        <v>10</v>
      </c>
      <c r="B67" s="9">
        <f t="shared" si="429"/>
        <v>302.88636363636363</v>
      </c>
      <c r="C67" s="9">
        <f t="shared" si="430"/>
        <v>333.15909090909093</v>
      </c>
      <c r="SW67">
        <v>10</v>
      </c>
      <c r="SX67" s="9">
        <f t="shared" si="431"/>
        <v>333.88095238095241</v>
      </c>
      <c r="SY67" s="9">
        <f t="shared" si="432"/>
        <v>321.73809523809524</v>
      </c>
    </row>
    <row r="68" spans="1:519" x14ac:dyDescent="0.25">
      <c r="A68">
        <v>11</v>
      </c>
      <c r="B68" s="9">
        <f t="shared" si="429"/>
        <v>331.20454545454544</v>
      </c>
      <c r="C68" s="9">
        <f t="shared" si="430"/>
        <v>361.84090909090907</v>
      </c>
      <c r="SW68">
        <v>11</v>
      </c>
      <c r="SX68" s="9">
        <f t="shared" si="431"/>
        <v>362.04761904761904</v>
      </c>
      <c r="SY68" s="9">
        <f t="shared" si="432"/>
        <v>352.16666666666669</v>
      </c>
    </row>
    <row r="69" spans="1:519" x14ac:dyDescent="0.25">
      <c r="A69">
        <v>12</v>
      </c>
      <c r="B69" s="9">
        <f t="shared" si="429"/>
        <v>357.59090909090907</v>
      </c>
      <c r="C69" s="9">
        <f t="shared" si="430"/>
        <v>388.61363636363637</v>
      </c>
      <c r="SW69">
        <v>12</v>
      </c>
      <c r="SX69" s="9">
        <f t="shared" si="431"/>
        <v>392.16666666666669</v>
      </c>
      <c r="SY69" s="9">
        <f t="shared" si="432"/>
        <v>379.95238095238096</v>
      </c>
    </row>
    <row r="70" spans="1:519" x14ac:dyDescent="0.25">
      <c r="A70">
        <v>13</v>
      </c>
      <c r="B70" s="9">
        <f t="shared" si="429"/>
        <v>379.86363636363637</v>
      </c>
      <c r="C70" s="9">
        <f t="shared" si="430"/>
        <v>407.31818181818181</v>
      </c>
      <c r="SW70">
        <v>13</v>
      </c>
      <c r="SX70" s="9">
        <f t="shared" si="431"/>
        <v>416.66666666666669</v>
      </c>
      <c r="SY70" s="9">
        <f t="shared" si="432"/>
        <v>401.3095238095238</v>
      </c>
    </row>
    <row r="71" spans="1:519" x14ac:dyDescent="0.25">
      <c r="A71">
        <v>14</v>
      </c>
      <c r="B71" s="9">
        <f t="shared" si="429"/>
        <v>400.75</v>
      </c>
      <c r="C71" s="9">
        <f t="shared" si="430"/>
        <v>421.77272727272725</v>
      </c>
      <c r="SW71">
        <v>14</v>
      </c>
      <c r="SX71" s="9">
        <f t="shared" si="431"/>
        <v>436.09523809523807</v>
      </c>
      <c r="SY71" s="9">
        <f t="shared" si="432"/>
        <v>416.28571428571428</v>
      </c>
    </row>
    <row r="72" spans="1:519" x14ac:dyDescent="0.25">
      <c r="A72">
        <v>15</v>
      </c>
      <c r="B72" s="9">
        <f t="shared" si="429"/>
        <v>413.79545454545456</v>
      </c>
      <c r="C72" s="9">
        <f t="shared" si="430"/>
        <v>428.75</v>
      </c>
      <c r="SW72">
        <v>15</v>
      </c>
      <c r="SX72" s="9">
        <f t="shared" si="431"/>
        <v>449.95238095238096</v>
      </c>
      <c r="SY72" s="9">
        <f t="shared" si="432"/>
        <v>427.8095238095238</v>
      </c>
    </row>
    <row r="73" spans="1:519" x14ac:dyDescent="0.25">
      <c r="A73">
        <v>16</v>
      </c>
      <c r="B73" s="9">
        <f t="shared" si="429"/>
        <v>418.70454545454544</v>
      </c>
      <c r="C73" s="9">
        <f t="shared" si="430"/>
        <v>435.04545454545456</v>
      </c>
      <c r="SW73">
        <v>16</v>
      </c>
      <c r="SX73" s="9">
        <f t="shared" si="431"/>
        <v>456.76190476190476</v>
      </c>
      <c r="SY73" s="9">
        <f t="shared" si="432"/>
        <v>434.88095238095241</v>
      </c>
    </row>
    <row r="74" spans="1:519" x14ac:dyDescent="0.25">
      <c r="A74">
        <v>17</v>
      </c>
      <c r="B74" s="9">
        <f t="shared" si="429"/>
        <v>422.84090909090907</v>
      </c>
      <c r="C74" s="9">
        <f t="shared" si="430"/>
        <v>437.43181818181819</v>
      </c>
      <c r="SW74">
        <v>17</v>
      </c>
      <c r="SX74" s="9">
        <f>AVERAGE(TB19,TN19,TZ19,UL19,UX19,VJ19,VV19,WH19,WT19,XF19,XR19,YD19,YP19,ZB19,ZN19,ZZ19,AAL19,AAX19,ABJ19,ABV19,ACH19,ACT19,ADF19,ADR19,AED19,AEP19,AFB19,AFN19,AFZ19,AGL19,AGX19,AHJ19,AHV19,AIH19,AIT19,AJF19,AJR19,AKD19,AKP19,ALB19,ALN19,ALZ19)</f>
        <v>459.07142857142856</v>
      </c>
      <c r="SY74" s="9">
        <f t="shared" si="432"/>
        <v>437.52380952380952</v>
      </c>
    </row>
    <row r="75" spans="1:519" x14ac:dyDescent="0.25">
      <c r="A75">
        <v>18</v>
      </c>
      <c r="B75" s="9">
        <f t="shared" si="429"/>
        <v>425.75</v>
      </c>
      <c r="C75" s="9">
        <f t="shared" si="430"/>
        <v>438.22727272727275</v>
      </c>
      <c r="SW75">
        <v>18</v>
      </c>
      <c r="SX75" s="9">
        <f t="shared" si="431"/>
        <v>459.90476190476193</v>
      </c>
      <c r="SY75" s="9">
        <f t="shared" si="432"/>
        <v>438.8095238095238</v>
      </c>
    </row>
    <row r="76" spans="1:519" x14ac:dyDescent="0.25">
      <c r="A76">
        <v>19</v>
      </c>
      <c r="B76" s="9">
        <f t="shared" si="429"/>
        <v>427.20454545454544</v>
      </c>
      <c r="C76" s="9">
        <f t="shared" si="430"/>
        <v>438.29545454545456</v>
      </c>
      <c r="SW76">
        <v>19</v>
      </c>
      <c r="SX76" s="9">
        <f t="shared" si="431"/>
        <v>459.78571428571428</v>
      </c>
      <c r="SY76" s="9">
        <f t="shared" si="432"/>
        <v>439.61904761904759</v>
      </c>
    </row>
    <row r="77" spans="1:519" x14ac:dyDescent="0.25">
      <c r="A77">
        <v>20</v>
      </c>
      <c r="B77" s="9">
        <f t="shared" si="429"/>
        <v>427.40909090909093</v>
      </c>
      <c r="C77" s="9">
        <f t="shared" si="430"/>
        <v>438.38636363636363</v>
      </c>
      <c r="SW77">
        <v>20</v>
      </c>
      <c r="SX77" s="9">
        <f t="shared" si="431"/>
        <v>459.35714285714283</v>
      </c>
      <c r="SY77" s="9">
        <f t="shared" si="432"/>
        <v>439.52380952380952</v>
      </c>
    </row>
    <row r="78" spans="1:519" x14ac:dyDescent="0.25">
      <c r="A78">
        <v>21</v>
      </c>
      <c r="B78" s="9">
        <f t="shared" si="429"/>
        <v>427</v>
      </c>
      <c r="C78" s="9">
        <f t="shared" si="430"/>
        <v>438.06818181818181</v>
      </c>
      <c r="SW78">
        <v>21</v>
      </c>
      <c r="SX78" s="9">
        <f t="shared" si="431"/>
        <v>459.40476190476193</v>
      </c>
      <c r="SY78" s="9">
        <f t="shared" si="432"/>
        <v>439.1904761904762</v>
      </c>
    </row>
    <row r="79" spans="1:519" x14ac:dyDescent="0.25">
      <c r="A79">
        <v>22</v>
      </c>
      <c r="B79" s="9">
        <f t="shared" si="429"/>
        <v>427</v>
      </c>
      <c r="C79" s="9">
        <f t="shared" si="430"/>
        <v>438.06818181818181</v>
      </c>
      <c r="SW79">
        <v>22</v>
      </c>
      <c r="SX79" s="9">
        <f t="shared" si="431"/>
        <v>459.40476190476193</v>
      </c>
      <c r="SY79" s="9">
        <f t="shared" si="432"/>
        <v>439.1904761904762</v>
      </c>
    </row>
    <row r="80" spans="1:519" x14ac:dyDescent="0.25">
      <c r="A80">
        <v>23</v>
      </c>
      <c r="B80" s="9">
        <f t="shared" si="429"/>
        <v>426.90909090909093</v>
      </c>
      <c r="C80" s="9">
        <f t="shared" si="430"/>
        <v>438.02272727272725</v>
      </c>
      <c r="SW80">
        <v>23</v>
      </c>
      <c r="SX80" s="9">
        <f t="shared" si="431"/>
        <v>459.40476190476193</v>
      </c>
      <c r="SY80" s="9">
        <f t="shared" si="432"/>
        <v>439.1904761904762</v>
      </c>
    </row>
    <row r="81" spans="1:519" x14ac:dyDescent="0.25">
      <c r="A81">
        <v>24</v>
      </c>
      <c r="B81" s="9">
        <f t="shared" si="429"/>
        <v>426.90909090909093</v>
      </c>
      <c r="C81" s="9">
        <f t="shared" si="430"/>
        <v>438.02272727272725</v>
      </c>
      <c r="SW81">
        <v>24</v>
      </c>
      <c r="SX81" s="9">
        <f t="shared" si="431"/>
        <v>459.40476190476193</v>
      </c>
      <c r="SY81" s="9">
        <f t="shared" si="432"/>
        <v>439.1904761904762</v>
      </c>
    </row>
    <row r="85" spans="1:519" x14ac:dyDescent="0.25">
      <c r="B85" t="s">
        <v>1</v>
      </c>
      <c r="C85" t="s">
        <v>4342</v>
      </c>
    </row>
    <row r="86" spans="1:519" x14ac:dyDescent="0.25">
      <c r="A86">
        <v>0</v>
      </c>
    </row>
    <row r="87" spans="1:519" x14ac:dyDescent="0.25">
      <c r="A87">
        <v>1</v>
      </c>
    </row>
    <row r="88" spans="1:519" x14ac:dyDescent="0.25">
      <c r="A88">
        <v>2</v>
      </c>
    </row>
    <row r="89" spans="1:519" x14ac:dyDescent="0.25">
      <c r="A89">
        <v>3</v>
      </c>
    </row>
    <row r="90" spans="1:519" x14ac:dyDescent="0.25">
      <c r="A90">
        <v>4</v>
      </c>
    </row>
    <row r="91" spans="1:519" x14ac:dyDescent="0.25">
      <c r="A91">
        <v>5</v>
      </c>
    </row>
    <row r="92" spans="1:519" x14ac:dyDescent="0.25">
      <c r="A92">
        <v>6</v>
      </c>
    </row>
    <row r="93" spans="1:519" x14ac:dyDescent="0.25">
      <c r="A93">
        <v>7</v>
      </c>
    </row>
    <row r="94" spans="1:519" x14ac:dyDescent="0.25">
      <c r="A94">
        <v>8</v>
      </c>
    </row>
    <row r="95" spans="1:519" x14ac:dyDescent="0.25">
      <c r="A95">
        <v>9</v>
      </c>
    </row>
    <row r="96" spans="1:519" x14ac:dyDescent="0.25">
      <c r="A96">
        <v>10</v>
      </c>
    </row>
    <row r="97" spans="1:1" x14ac:dyDescent="0.25">
      <c r="A97">
        <v>11</v>
      </c>
    </row>
    <row r="98" spans="1:1" x14ac:dyDescent="0.25">
      <c r="A98">
        <v>12</v>
      </c>
    </row>
    <row r="99" spans="1:1" x14ac:dyDescent="0.25">
      <c r="A99">
        <v>13</v>
      </c>
    </row>
    <row r="100" spans="1:1" x14ac:dyDescent="0.25">
      <c r="A100">
        <v>14</v>
      </c>
    </row>
    <row r="101" spans="1:1" x14ac:dyDescent="0.25">
      <c r="A101">
        <v>15</v>
      </c>
    </row>
    <row r="102" spans="1:1" x14ac:dyDescent="0.25">
      <c r="A102">
        <v>16</v>
      </c>
    </row>
    <row r="103" spans="1:1" x14ac:dyDescent="0.25">
      <c r="A103">
        <v>17</v>
      </c>
    </row>
    <row r="104" spans="1:1" x14ac:dyDescent="0.25">
      <c r="A104">
        <v>18</v>
      </c>
    </row>
    <row r="105" spans="1:1" x14ac:dyDescent="0.25">
      <c r="A105">
        <v>19</v>
      </c>
    </row>
    <row r="106" spans="1:1" x14ac:dyDescent="0.25">
      <c r="A106">
        <v>20</v>
      </c>
    </row>
    <row r="107" spans="1:1" x14ac:dyDescent="0.25">
      <c r="A107">
        <v>21</v>
      </c>
    </row>
    <row r="108" spans="1:1" x14ac:dyDescent="0.25">
      <c r="A108">
        <v>22</v>
      </c>
    </row>
    <row r="109" spans="1:1" x14ac:dyDescent="0.25">
      <c r="A109">
        <v>23</v>
      </c>
    </row>
    <row r="110" spans="1:1" x14ac:dyDescent="0.25">
      <c r="A110">
        <v>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Heek</dc:creator>
  <cp:lastModifiedBy>Stijn Boschloo</cp:lastModifiedBy>
  <dcterms:created xsi:type="dcterms:W3CDTF">2015-06-05T18:19:34Z</dcterms:created>
  <dcterms:modified xsi:type="dcterms:W3CDTF">2026-02-13T08:36:46Z</dcterms:modified>
</cp:coreProperties>
</file>